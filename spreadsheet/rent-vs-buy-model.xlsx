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Inputs" sheetId="2" state="visible" r:id="rId4"/>
    <sheet name="Monthly" sheetId="3" state="visible" r:id="rId5"/>
    <sheet name="Annual" sheetId="4" state="visible" r:id="rId6"/>
    <sheet name="Sources" sheetId="5" state="visible" r:id="rId7"/>
    <sheet name="Preset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<sst xmlns="http://schemas.openxmlformats.org/spreadsheetml/2006/main" count="362" uniqueCount="298">
  <si>
    <t xml:space="preserve">Rent vs Buy: Summary</t>
  </si>
  <si>
    <t xml:space="preserve">All values update from the Inputs sheet. Net worth is measured as if you sold in the horizon year.</t>
  </si>
  <si>
    <t xml:space="preserve">Verdict</t>
  </si>
  <si>
    <t xml:space="preserve">Years Until You Sell</t>
  </si>
  <si>
    <t xml:space="preserve">Buy Minus Rent (Future Dollars)</t>
  </si>
  <si>
    <t xml:space="preserve">Positive favors buying.</t>
  </si>
  <si>
    <t xml:space="preserve">Buy: Net Worth at Sale</t>
  </si>
  <si>
    <t xml:space="preserve">Home value minus selling costs, loan balance, and tax on gain above the exclusion, plus the owner's invested surplus after tax.</t>
  </si>
  <si>
    <t xml:space="preserve">Rent: Net Worth at Sale</t>
  </si>
  <si>
    <t xml:space="preserve">Renter's portfolio (down payment + closing costs + monthly savings, compounded) after capital gains tax.</t>
  </si>
  <si>
    <t xml:space="preserve">Buy Minus Rent (Today's Dollars)</t>
  </si>
  <si>
    <t xml:space="preserve">Buying Ahead for Good Starting in Year</t>
  </si>
  <si>
    <t xml:space="preserve">First year after which buying stays ahead through year 50.</t>
  </si>
  <si>
    <t xml:space="preserve">The Mortgage (Full Term)</t>
  </si>
  <si>
    <t xml:space="preserve">Loan Amount</t>
  </si>
  <si>
    <t xml:space="preserve">Monthly Principal and Interest</t>
  </si>
  <si>
    <t xml:space="preserve">Total Principal Paid</t>
  </si>
  <si>
    <t xml:space="preserve">Total Interest Paid</t>
  </si>
  <si>
    <t xml:space="preserve">Total Paid to the Lender</t>
  </si>
  <si>
    <t xml:space="preserve">Interest per $1 Borrowed</t>
  </si>
  <si>
    <t xml:space="preserve">Total PMI Paid</t>
  </si>
  <si>
    <t xml:space="preserve">Months with PMI</t>
  </si>
  <si>
    <t xml:space="preserve">First-Year Average Month</t>
  </si>
  <si>
    <t xml:space="preserve">Buy</t>
  </si>
  <si>
    <t xml:space="preserve">Rent</t>
  </si>
  <si>
    <t xml:space="preserve">Principal and Interest</t>
  </si>
  <si>
    <t xml:space="preserve">Property Tax, Insurance, Maintenance, HOA</t>
  </si>
  <si>
    <t xml:space="preserve">PMI</t>
  </si>
  <si>
    <t xml:space="preserve">Tax Savings from Itemizing</t>
  </si>
  <si>
    <t xml:space="preserve">All-in Monthly Cost</t>
  </si>
  <si>
    <t xml:space="preserve">Difference Invested Each Month (Renter if Positive)</t>
  </si>
  <si>
    <t xml:space="preserve">Money You Don't Get Back, Through the Sale Year (Future Dollars)</t>
  </si>
  <si>
    <t xml:space="preserve">Mortgage Interest</t>
  </si>
  <si>
    <t xml:space="preserve">Property Tax</t>
  </si>
  <si>
    <t xml:space="preserve">Homeowners Insurance</t>
  </si>
  <si>
    <t xml:space="preserve">Maintenance and Repairs</t>
  </si>
  <si>
    <t xml:space="preserve">HOA Dues</t>
  </si>
  <si>
    <t xml:space="preserve">Closing Costs at Purchase</t>
  </si>
  <si>
    <t xml:space="preserve">Selling Costs at Sale</t>
  </si>
  <si>
    <t xml:space="preserve">Tax on Home Gain</t>
  </si>
  <si>
    <t xml:space="preserve">Tax on Dividends While Invested</t>
  </si>
  <si>
    <t xml:space="preserve">Rent and Renter's Insurance</t>
  </si>
  <si>
    <t xml:space="preserve">Total Unrecoverable</t>
  </si>
  <si>
    <t xml:space="preserve">Sensitivity, Single filer, DEFAULT inputs only (static values, not live): buy minus rent after 30 years</t>
  </si>
  <si>
    <t xml:space="preserve">Computed with the same logic by the Python reference model. Rows = home appreciation, columns = investment return. Use the web version for a live grid, or change Inputs B17/B18 here and read B6.</t>
  </si>
  <si>
    <t xml:space="preserve">Sensitivity, Joint filer, DEFAULT inputs only (static values, not live): buy minus rent after 30 years</t>
  </si>
  <si>
    <t xml:space="preserve">Rent vs Buy Model: Inputs</t>
  </si>
  <si>
    <t xml:space="preserve">Edit the blue cells (yellow = the assumptions that move the answer most). Everything else is a formula. Example row values below are the national defaults as of Oct 2, 2026.</t>
  </si>
  <si>
    <t xml:space="preserve">Input</t>
  </si>
  <si>
    <t xml:space="preserve">Value</t>
  </si>
  <si>
    <t xml:space="preserve">Unit</t>
  </si>
  <si>
    <t xml:space="preserve">Source / Note</t>
  </si>
  <si>
    <t xml:space="preserve">Your Value (Used When Preset = Custom (Use My Inputs))</t>
  </si>
  <si>
    <t xml:space="preserve">Market</t>
  </si>
  <si>
    <t xml:space="preserve">Custom (Use My Inputs)</t>
  </si>
  <si>
    <t xml:space="preserve">One of 18 metros with fully sourced data: sets price, rent, property tax and cap, rent growth and the price-to-rent gap (see Presets sheet). Custom (Use My Inputs) = use your values in column E.</t>
  </si>
  <si>
    <t xml:space="preserve">Home Price Path</t>
  </si>
  <si>
    <t xml:space="preserve">Prices Track Rents / Local Historical Trend / Slow, Typical or Fast Reversion (half-life 24, 11 or 2 years). Column C shows the appreciation used. Custom (Use My Inputs) = use column E.</t>
  </si>
  <si>
    <t xml:space="preserve">Investment Return</t>
  </si>
  <si>
    <t xml:space="preserve">Conservative: 5% (Vanguard 10-Year Forecast) / Moderate: 7% / Historical: 10% (S&amp;P 500 Since 1928). Custom (Use My Inputs) = use column E.</t>
  </si>
  <si>
    <t xml:space="preserve">Home Price</t>
  </si>
  <si>
    <t xml:space="preserve">$</t>
  </si>
  <si>
    <t xml:space="preserve">Your input (placeholder default).</t>
  </si>
  <si>
    <t xml:space="preserve">Down Payment</t>
  </si>
  <si>
    <t xml:space="preserve">% of price</t>
  </si>
  <si>
    <t xml:space="preserve">Your input. Below 20% triggers PMI.</t>
  </si>
  <si>
    <t xml:space="preserve">Loan Term (15 or 30)</t>
  </si>
  <si>
    <t xml:space="preserve">years</t>
  </si>
  <si>
    <t xml:space="preserve">Your choice.</t>
  </si>
  <si>
    <t xml:space="preserve">Mortgage Rate</t>
  </si>
  <si>
    <t xml:space="preserve">annual</t>
  </si>
  <si>
    <t xml:space="preserve">Freddie Mac PMMS, Oct 1, 2026: 30-yr 7.28%, 15-yr 6.60% (20% down, excellent credit). https://www.globenewswire.com/news-release/2026/10/01/3373202/0/en/mortgage-rates-average-7-28.html</t>
  </si>
  <si>
    <t xml:space="preserve">Buyer Closing Costs</t>
  </si>
  <si>
    <t xml:space="preserve">Estimate. LodeStar 2026: title/settlement/recording/transfer taxes avg 1.04% of price, excluding lender fees. https://www.lodestarss.com/?p=17088</t>
  </si>
  <si>
    <t xml:space="preserve">% of value/yr</t>
  </si>
  <si>
    <t xml:space="preserve">NAHB analysis of 2024 ACS: $8.88 per $1,000 of value nationally. Use your county's rate. https://eyeonhousing.org/2025/11/property-taxes-by-state-2024/</t>
  </si>
  <si>
    <t xml:space="preserve">% of price/yr</t>
  </si>
  <si>
    <t xml:space="preserve">Estimate. Applied to purchase price, then grown with inflation (tracks rebuild cost, not land value). NAIC 2022 data: premiums +10.5% that year, wide state variation. Get a quote.</t>
  </si>
  <si>
    <t xml:space="preserve">Applied to purchase price, then grown with inflation. Harvard JCHS: ~$472B/yr owner improvement and repair spending vs ~$51.7T owner-occupied value (~1.1%).</t>
  </si>
  <si>
    <t xml:space="preserve">$/month</t>
  </si>
  <si>
    <t xml:space="preserve">Your input. Grows with inflation.</t>
  </si>
  <si>
    <t xml:space="preserve">PMI Rate (If Under 20% Down)</t>
  </si>
  <si>
    <t xml:space="preserve">% of loan/yr</t>
  </si>
  <si>
    <t xml:space="preserve">Urban Institute range 0.46%-1.5% by credit score. Stops at 78% of original value or the loan-term midpoint, whichever is first (Homeowners Protection Act).</t>
  </si>
  <si>
    <t xml:space="preserve">Monthly Rent Today (Comparable Home)</t>
  </si>
  <si>
    <t xml:space="preserve">Your input (placeholder default). The single most important input.</t>
  </si>
  <si>
    <t xml:space="preserve">Rent Growth</t>
  </si>
  <si>
    <t xml:space="preserve">BLS CPI rent of primary residence, 1982-84 to Jan 2026: ~3.55%/yr. https://fred.stlouisfed.org/series/CUUR0000SEHA</t>
  </si>
  <si>
    <t xml:space="preserve">Renter's Insurance</t>
  </si>
  <si>
    <t xml:space="preserve">Estimate. Grows with inflation.</t>
  </si>
  <si>
    <t xml:space="preserve">Home Appreciation</t>
  </si>
  <si>
    <t xml:space="preserve">FHFA HPI 1975Q1-2026Q1: 5.0%/yr; 1985-2026: 4.3%; 2006-2026: 3.4%. Damodaran real estate 1928-2025: 4.2%.</t>
  </si>
  <si>
    <t xml:space="preserve">Investment Return (Renter's Portfolio)</t>
  </si>
  <si>
    <t xml:space="preserve">Judgment call: S&amp;P 500 1928-2025 compounded 10.0% (NYU Stern, Damodaran); Vanguard Dec 2025 forecasts ~4-5% for US stocks over 5-10 yrs.</t>
  </si>
  <si>
    <t xml:space="preserve">Inflation</t>
  </si>
  <si>
    <t xml:space="preserve">BLS CPI-U 1982-84 to Jan 2026: ~2.81%/yr. https://fred.stlouisfed.org/series/cpiaucns</t>
  </si>
  <si>
    <t xml:space="preserve">Selling Costs</t>
  </si>
  <si>
    <t xml:space="preserve">% of sale price</t>
  </si>
  <si>
    <t xml:space="preserve">Federal Reserve FEDS Note (May 2025): buyer-agent commission ~2.7% (data through 2023); authors think the seller side likely matches. Lower in the Northeast and California. Plus seller closing costs.</t>
  </si>
  <si>
    <t xml:space="preserve">Filing Status (Single or Joint)</t>
  </si>
  <si>
    <t xml:space="preserve">Joint</t>
  </si>
  <si>
    <t xml:space="preserve">Defaults to Joint; change to Single if you file alone. Sets standard deduction ($16,100 / $32,200 in 2026, IRS) and home sale exclusion ($250k / $500k, IRS Topic 701). Moves the result by six figures.</t>
  </si>
  <si>
    <t xml:space="preserve">Itemize When It Beats Standard Deduction (Yes/No)</t>
  </si>
  <si>
    <t xml:space="preserve">No</t>
  </si>
  <si>
    <t xml:space="preserve">Defaults to No: no mortgage interest deduction is modeled. Yes = take whichever is larger each year, itemizing (mortgage interest + property tax) or the standard deduction.</t>
  </si>
  <si>
    <t xml:space="preserve">Federal Marginal Tax Rate</t>
  </si>
  <si>
    <t xml:space="preserve">IRS 2026 brackets: 24% applies above $105,700 single / $211,400 joint taxable income.</t>
  </si>
  <si>
    <t xml:space="preserve">State and Local Income Tax You Pay</t>
  </si>
  <si>
    <t xml:space="preserve">$/yr</t>
  </si>
  <si>
    <t xml:space="preserve">Counts toward SALT cap ($40,400 in 2026, +1%/yr through 2029, $10,000 from 2030; Journal of Accountancy).</t>
  </si>
  <si>
    <t xml:space="preserve">Other Itemized Deductions (Charity Etc.)</t>
  </si>
  <si>
    <t xml:space="preserve">Your input.</t>
  </si>
  <si>
    <t xml:space="preserve">Capital Gains Tax Rate</t>
  </si>
  <si>
    <t xml:space="preserve">2026 long-term rates 0/15/20% (IRS Rev. Proc. 2025-32). Applied to investment gains and home gain above the exclusion.</t>
  </si>
  <si>
    <t xml:space="preserve">Years Until You Sell (1-50)</t>
  </si>
  <si>
    <t xml:space="preserve">Dividend Yield, Taxed Yearly</t>
  </si>
  <si>
    <t xml:space="preserve">Part of the investment return, not added to it. Taxed yearly at the capital gains rate; after-tax dividends reinvested and added to basis. S&amp;P 500 ~1.06% (Sep 2026, Multpl from S&amp;P data). Set 0 for 401(k)/IRA money.</t>
  </si>
  <si>
    <t xml:space="preserve">Home Price Path (Fixed or Revert)</t>
  </si>
  <si>
    <t xml:space="preserve">Fixed = grow at the appreciation input (B17). Revert = price-to-rent gap closes by half every half-life (below); prices grow with rents times the change in the ratio.</t>
  </si>
  <si>
    <t xml:space="preserve">Fixed</t>
  </si>
  <si>
    <t xml:space="preserve">Price-to-Rent vs Long-Run Norm (Revert Mode)</t>
  </si>
  <si>
    <t xml:space="preserve">above norm</t>
  </si>
  <si>
    <t xml:space="preserve">San Diego 29.4% above its 1990-2019 average (log basis): FHFA San Diego HPI (ATNHPIUS41740Q) / BLS rent CPI, 2025. See the Market presets sheet for other metros. Negative = below norm.</t>
  </si>
  <si>
    <t xml:space="preserve">Half-Life of the Gap (Revert Mode)</t>
  </si>
  <si>
    <t xml:space="preserve">Years for the price-to-rent gap to close by half. Estimated from FHFA/BLS histories of 18 metros: ~11 yrs (1990-2019 data), ~24 yrs (1990-2025); 2000s bust pace ~2 yrs.</t>
  </si>
  <si>
    <t xml:space="preserve">Cap on Taxable Value Growth (Blank = None)</t>
  </si>
  <si>
    <t xml:space="preserve">per year</t>
  </si>
  <si>
    <t xml:space="preserve">California Prop 13: 2% (assessed value = purchase price, grows &lt;= 2%/yr, never above market). Blank where homes are reassessed at market value (e.g., Virginia). Sources: San Diego County Treasurer; county assessors.</t>
  </si>
  <si>
    <t xml:space="preserve">Derived Values (Formulas)</t>
  </si>
  <si>
    <t xml:space="preserve">Down Payment ($)</t>
  </si>
  <si>
    <t xml:space="preserve">Closing Costs ($)</t>
  </si>
  <si>
    <t xml:space="preserve">Standard amortization payment.</t>
  </si>
  <si>
    <t xml:space="preserve">Monthly Investment Return</t>
  </si>
  <si>
    <t xml:space="preserve">Monthly equivalent of the annual return.</t>
  </si>
  <si>
    <t xml:space="preserve">PMI Applies (1 = Yes)</t>
  </si>
  <si>
    <t xml:space="preserve">Standard Deduction, 2026</t>
  </si>
  <si>
    <t xml:space="preserve">IRS 2026 inflation adjustments (One Big Beautiful Bill).</t>
  </si>
  <si>
    <t xml:space="preserve">Home Sale Gain Exclusion</t>
  </si>
  <si>
    <t xml:space="preserve">IRS Topic 701 (2 of 5 years as main home).</t>
  </si>
  <si>
    <t xml:space="preserve">Mortgage Interest Debt Limit</t>
  </si>
  <si>
    <t xml:space="preserve">$750,000 acquisition debt, made permanent by OBBBA.</t>
  </si>
  <si>
    <t xml:space="preserve">Filing Status Set (1 = Yes)</t>
  </si>
  <si>
    <t xml:space="preserve">Results on Summary stay hidden until this is 1.</t>
  </si>
  <si>
    <t xml:space="preserve">Monthly Dividend Yield</t>
  </si>
  <si>
    <t xml:space="preserve">SALT Cap by Calendar Year</t>
  </si>
  <si>
    <t xml:space="preserve">2026</t>
  </si>
  <si>
    <t xml:space="preserve">Journal of Accountancy: $40,000 (2025), $40,400 (2026), +1%/yr through 2029, reverts to $10,000 in 2030. Phase-down above $505k MAGI not modeled.</t>
  </si>
  <si>
    <t xml:space="preserve">2027</t>
  </si>
  <si>
    <t xml:space="preserve">2028</t>
  </si>
  <si>
    <t xml:space="preserve">2029</t>
  </si>
  <si>
    <t xml:space="preserve">2030 and Later</t>
  </si>
  <si>
    <t xml:space="preserve">Month</t>
  </si>
  <si>
    <t xml:space="preserve">Year</t>
  </si>
  <si>
    <t xml:space="preserve">Begin Balance</t>
  </si>
  <si>
    <t xml:space="preserve">Interest</t>
  </si>
  <si>
    <t xml:space="preserve">Principal</t>
  </si>
  <si>
    <t xml:space="preserve">End Balance</t>
  </si>
  <si>
    <t xml:space="preserve">Home Value (Start of yr)</t>
  </si>
  <si>
    <t xml:space="preserve">Insurance</t>
  </si>
  <si>
    <t xml:space="preserve">Maintenance</t>
  </si>
  <si>
    <t xml:space="preserve">HOA</t>
  </si>
  <si>
    <t xml:space="preserve">Tax Savings</t>
  </si>
  <si>
    <t xml:space="preserve">Owner Cash Cost</t>
  </si>
  <si>
    <t xml:space="preserve">Rent Cash Cost</t>
  </si>
  <si>
    <t xml:space="preserve">Owner Minus Rent</t>
  </si>
  <si>
    <t xml:space="preserve">Renter Portfolio</t>
  </si>
  <si>
    <t xml:space="preserve">Renter Cost Basis</t>
  </si>
  <si>
    <t xml:space="preserve">Owner Portfolio</t>
  </si>
  <si>
    <t xml:space="preserve">Owner Cost Basis</t>
  </si>
  <si>
    <t xml:space="preserve">Renter Dividend Tax</t>
  </si>
  <si>
    <t xml:space="preserve">Owner Dividend Tax</t>
  </si>
  <si>
    <t xml:space="preserve">Calendar Year</t>
  </si>
  <si>
    <t xml:space="preserve">Avg Balance</t>
  </si>
  <si>
    <t xml:space="preserve">Deductible Interest</t>
  </si>
  <si>
    <t xml:space="preserve">SALT Cap</t>
  </si>
  <si>
    <t xml:space="preserve">Standard Deduction</t>
  </si>
  <si>
    <t xml:space="preserve">Owner Itemized</t>
  </si>
  <si>
    <t xml:space="preserve">Renter Itemized</t>
  </si>
  <si>
    <t xml:space="preserve">Owner Itemizes?</t>
  </si>
  <si>
    <t xml:space="preserve">Home Value (End of yr)</t>
  </si>
  <si>
    <t xml:space="preserve">Loan Balance</t>
  </si>
  <si>
    <t xml:space="preserve">Owner Portfolio After Tax</t>
  </si>
  <si>
    <t xml:space="preserve">Buy Net Worth</t>
  </si>
  <si>
    <t xml:space="preserve">Rent Net Worth</t>
  </si>
  <si>
    <t xml:space="preserve">Buy Minus Rent</t>
  </si>
  <si>
    <t xml:space="preserve">Inflation Deflator</t>
  </si>
  <si>
    <t xml:space="preserve">Buy Minus Rent (Today's $)</t>
  </si>
  <si>
    <t xml:space="preserve">Ahead for Good from This Year</t>
  </si>
  <si>
    <t xml:space="preserve">Appreciation This Year</t>
  </si>
  <si>
    <t xml:space="preserve">Home Value (End of yr, Path)</t>
  </si>
  <si>
    <t xml:space="preserve">Sources and Simplifications</t>
  </si>
  <si>
    <t xml:space="preserve">Mortgage Rates</t>
  </si>
  <si>
    <t xml:space="preserve">Freddie Mac PMMS, Oct 1, 2026: 30-yr 7.28%, 15-yr 6.60%. https://www.globenewswire.com/news-release/2026/10/01/3373202/0/en/mortgage-rates-average-7-28.html</t>
  </si>
  <si>
    <t xml:space="preserve">Home Prices</t>
  </si>
  <si>
    <t xml:space="preserve">FHFA All-Transactions HPI (FRED USSTHPI): 59.67 (1975Q1), 124.73 (1985Q1), 368.17 (2006Q1), 713.09 (2026Q1). https://fred.stlouisfed.org/series/USSTHPI ; Q2 2026 YoY +2.1%: https://www.fhfa.gov/news/news-release/u.s.-house-prices-rise-2.1-percent-year-over-year-up-0.3-percent-quarter-over-quarter</t>
  </si>
  <si>
    <t xml:space="preserve">Stock and Real Estate Returns</t>
  </si>
  <si>
    <t xml:space="preserve">NYU Stern (Damodaran), Historical Returns 1928-2025. $100 in S&amp;P 500 at start of 1928 -&gt; $1,157,599 end of 2025 (10.0%/yr); real estate series -&gt; $5,626 (4.2%/yr). https://pages.stern.nyu.edu/~adamodar/New_Home_Page/datafile/histretSP.html</t>
  </si>
  <si>
    <t xml:space="preserve">Forward Stock Forecast</t>
  </si>
  <si>
    <t xml:space="preserve">Vanguard 2026 Economic and Market Outlook (Dec 10, 2025): US stocks ~4-5% over the next 5-10 years. https://corporate.vanguard.com/content/corporatesite/us/en/corp/who-we-are/pressroom/press-release-vanguard-releases-2026-economic-and-market-outlook-121025.html</t>
  </si>
  <si>
    <t xml:space="preserve">Rent Growth and Inflation</t>
  </si>
  <si>
    <t xml:space="preserve">BLS CPI via FRED, 1982-84 = 100. Rent of primary residence Jan 2026 = 441.718; all items Jan 2026 = 325.252. https://fred.stlouisfed.org/series/CUUR0000SEHA ; https://fred.stlouisfed.org/series/cpiaucns</t>
  </si>
  <si>
    <t xml:space="preserve">NAHB, 2024 ACS: $370.0B taxes / $51.7T value = $8.88 per $1,000. https://eyeonhousing.org/2025/11/property-taxes-by-state-2024/</t>
  </si>
  <si>
    <t xml:space="preserve">NAIC homeowners report, 2022 data (premiums +10.5% vs 2021). https://content.naic.org/index.php/article/naic-releases-homeowners-insurance-report-2022 . Default 0.5% of value is an estimate.</t>
  </si>
  <si>
    <t xml:space="preserve">Harvard JCHS LIRA: owner improvement and repair spending ~$472B/yr. https://jchs.harvard.edu/blog/turn-growth-expected-residential-remodeling</t>
  </si>
  <si>
    <t xml:space="preserve">Closing Costs</t>
  </si>
  <si>
    <t xml:space="preserve">LodeStar 2026 Purchase Closing Cost Report: avg 1.04% of price excluding lender fees. https://www.lodestarss.com/?p=17088</t>
  </si>
  <si>
    <t xml:space="preserve">Dividend Yield</t>
  </si>
  <si>
    <t xml:space="preserve">Multpl (S&amp;P data): S&amp;P 500 dividend yield ~1.06% at end of Sep 2026, 1.15% at end of 2025. https://www.multpl.com/s-p-500-dividend-yield/table/by-year</t>
  </si>
  <si>
    <t xml:space="preserve">Federal Reserve FEDS Note, May 12, 2025: buyer-agent commissions fell from ~3% (late 1990s) to ~2.7%; seller side not observed but likely similar; data through 2023. https://www.federalreserve.gov/econres/notes/feds-notes/commissions-and-omissions-trends-in-real-estate-broker-compensation-20250512.html</t>
  </si>
  <si>
    <t xml:space="preserve">Urban Institute Housing Finance Policy Center range 0.46%-1.5% of loan/yr (reported by Experian). https://www.experian.com/blogs/ask-experian/how-much-does-private-mortgage-insurance-pmi-cost</t>
  </si>
  <si>
    <t xml:space="preserve">Standard Deduction and Brackets</t>
  </si>
  <si>
    <t xml:space="preserve">IRS tax year 2026 inflation adjustments. https://www.irs.gov/newsroom/irs-releases-tax-inflation-adjustments-for-tax-year-2026-including-amendments-from-the-one-big-beautiful-bill</t>
  </si>
  <si>
    <t xml:space="preserve">Journal of Accountancy, OBBBA provisions. https://www.journalofaccountancy.com/news/2025/jul/tax-changes-in-senate-budget-reconciliation-bill/</t>
  </si>
  <si>
    <t xml:space="preserve">Mortgage Interest Limit</t>
  </si>
  <si>
    <t xml:space="preserve">$750,000 acquisition debt, permanent under OBBBA. https://www.cpapracticeadvisor.com/2025/07/10/the-tax-blotter-obbba-july-2025/164671/</t>
  </si>
  <si>
    <t xml:space="preserve">Home Sale Exclusion</t>
  </si>
  <si>
    <t xml:space="preserve">IRS Topic 701. https://www.irs.gov/taxtopics/tc701</t>
  </si>
  <si>
    <t xml:space="preserve">Capital Gains</t>
  </si>
  <si>
    <t xml:space="preserve">2026 long-term rates 0/15/20%, IRS Rev. Proc. 2025-32 (Kiplinger summary). https://www.kiplinger.com/taxes/irs-updates-capital-gains-tax-thresholds</t>
  </si>
  <si>
    <t xml:space="preserve">Price-to-Rent Norm (San Diego)</t>
  </si>
  <si>
    <t xml:space="preserve">Calculation: annual average FHFA San Diego HPI / BLS San Diego rent CPI; 2025 ratio vs 1990-2019 average = +27% (23%-34% by window). Peak +48% (2006), trough -14% (2012). Ratio drifted up outside the bubble, so full reversion is a stress case. https://fred.stlouisfed.org/series/ATNHPIUS41740Q ; https://fred.stlouisfed.org/series/CUUSA424SEHA</t>
  </si>
  <si>
    <t xml:space="preserve">Supply Constraints</t>
  </si>
  <si>
    <t xml:space="preserve">Saiz (2010), QJE: San Diego near 90th percentile of land constraints among US metros. https://ideas.repec.org/a/oup/qjecon/v125y2010i3p1253-1296..html</t>
  </si>
  <si>
    <t xml:space="preserve">Simplification</t>
  </si>
  <si>
    <t xml:space="preserve">Smooth, constant returns (no volatility or sequence risk).</t>
  </si>
  <si>
    <t xml:space="preserve">No refinancing; fixed-rate loan.</t>
  </si>
  <si>
    <t xml:space="preserve">Property tax scales with market value (no assessment caps). Insurance and maintenance start from purchase price and grow with inflation.</t>
  </si>
  <si>
    <t xml:space="preserve">Dividends taxed yearly at the capital gains rate; remaining gains taxed once at sale. Assumes a taxable account unless dividend yield and capital gains rate are set to 0.</t>
  </si>
  <si>
    <t xml:space="preserve">SALT phase-down above $505k MAGI and the income-limited PMI deduction are not modeled; all closing costs treated as basis.</t>
  </si>
  <si>
    <t xml:space="preserve">Assumes the renter actually invests every dollar of monthly savings.</t>
  </si>
  <si>
    <t xml:space="preserve">Method</t>
  </si>
  <si>
    <t xml:space="preserve">Both households spend the same total each month. The cheaper side invests the difference monthly at the investment return. On day one the renter invests the down payment plus closing costs.</t>
  </si>
  <si>
    <t xml:space="preserve">Scenario Presets (Selected on the Inputs Sheet)</t>
  </si>
  <si>
    <t xml:space="preserve">Markets</t>
  </si>
  <si>
    <t xml:space="preserve">Median Listing Price</t>
  </si>
  <si>
    <t xml:space="preserve">HUD 3-Bed Rent</t>
  </si>
  <si>
    <t xml:space="preserve">Assessment Cap</t>
  </si>
  <si>
    <t xml:space="preserve">Price-to-Rent vs Norm</t>
  </si>
  <si>
    <t xml:space="preserve">Rent Growth (1990-2025)</t>
  </si>
  <si>
    <t xml:space="preserve">Price Growth (1990-2025)</t>
  </si>
  <si>
    <t xml:space="preserve">Basis</t>
  </si>
  <si>
    <t xml:space="preserve">Atlanta, GA</t>
  </si>
  <si>
    <t xml:space="preserve">Georgia effective rate 0.77%. FHFA's Atlanta price index ends in 2024, so its history runs through 2024.</t>
  </si>
  <si>
    <t xml:space="preserve">Boston, MA</t>
  </si>
  <si>
    <t xml:space="preserve">Massachusetts effective rate 0.95%; towns vary widely.</t>
  </si>
  <si>
    <t xml:space="preserve">Chicago, IL</t>
  </si>
  <si>
    <t xml:space="preserve">Illinois effective rate 1.79%, the highest in the country.</t>
  </si>
  <si>
    <t xml:space="preserve">Dallas, TX</t>
  </si>
  <si>
    <t xml:space="preserve">Texas effective rate 1.25%; new buyers usually pay more. Homestead appraisal increases capped at 10% a year.</t>
  </si>
  <si>
    <t xml:space="preserve">Denver, CO</t>
  </si>
  <si>
    <t xml:space="preserve">Colorado effective rate 0.52%.</t>
  </si>
  <si>
    <t xml:space="preserve">Detroit, MI</t>
  </si>
  <si>
    <t xml:space="preserve">Michigan effective rate 1.13%. Proposal A caps taxable value growth at 5% or inflation, whichever is lower (2.7% for 2026), until a sale; set to the model's 2.8% inflation.</t>
  </si>
  <si>
    <t xml:space="preserve">Honolulu, HI</t>
  </si>
  <si>
    <t xml:space="preserve">Price is the Honolulu Board of Realtors' Oahu single-family median for January to August 2026 ($1.19M; August alone was $1.24M). Tax: the owner-occupied rate is $3.50 per $1,000 after a $120,000 home exemption ($140,000 from July 2027), about 0.32% effective, with no assessment cap. Hawaii adds a seller-paid conveyance tax of 0.3% to 0.5% at these prices, so raise selling costs to about 6.4%. Condos run far cheaper (median $510,000) but carry high HOA and insurance costs.</t>
  </si>
  <si>
    <t xml:space="preserve">Houston, TX</t>
  </si>
  <si>
    <t xml:space="preserve">Los Angeles, CA</t>
  </si>
  <si>
    <t xml:space="preserve">1% of purchase price plus voter-approved bonds (about 1.15% all-in for a new buyer); Prop 13 caps assessment growth at 2% a year. Check for Mello-Roos in newer suburbs.</t>
  </si>
  <si>
    <t xml:space="preserve">Miami, FL</t>
  </si>
  <si>
    <t xml:space="preserve">Florida effective rate 0.76%. Save Our Homes caps homestead assessment growth at 3% or inflation, whichever is lower; set to the model's 2.8% inflation. Florida is considering further homestead changes in 2026.</t>
  </si>
  <si>
    <t xml:space="preserve">Minneapolis, MN</t>
  </si>
  <si>
    <t xml:space="preserve">Minnesota effective rate 0.99%.</t>
  </si>
  <si>
    <t xml:space="preserve">New York, NY</t>
  </si>
  <si>
    <t xml:space="preserve">New York effective rate 1.23%. New York City has its own class 1 assessment caps (not modeled).</t>
  </si>
  <si>
    <t xml:space="preserve">Philadelphia, PA</t>
  </si>
  <si>
    <t xml:space="preserve">Pennsylvania effective rate 1.14%.</t>
  </si>
  <si>
    <t xml:space="preserve">San Diego, CA</t>
  </si>
  <si>
    <t xml:space="preserve">San Francisco, CA</t>
  </si>
  <si>
    <t xml:space="preserve">St. Louis, MO</t>
  </si>
  <si>
    <t xml:space="preserve">Missouri effective rate 0.85%.</t>
  </si>
  <si>
    <t xml:space="preserve">Tampa, FL</t>
  </si>
  <si>
    <t xml:space="preserve">Washington, DC (Arlington, Fairfax)</t>
  </si>
  <si>
    <t xml:space="preserve">Fairfax County rate $1.12 per $100 (Arlington, Alexandria and Maryland suburbs differ). Rent history spliced across a 2018 BLS change; baseline 1997-2018.</t>
  </si>
  <si>
    <t xml:space="preserve">Home Price Paths</t>
  </si>
  <si>
    <t xml:space="preserve">Path</t>
  </si>
  <si>
    <t xml:space="preserve">Mode</t>
  </si>
  <si>
    <t xml:space="preserve">Half-Life (Years)</t>
  </si>
  <si>
    <t xml:space="preserve">Uses your column E values.</t>
  </si>
  <si>
    <t xml:space="preserve">Prices Track Rents</t>
  </si>
  <si>
    <t xml:space="preserve">Appreciation equals rent growth; today's price-to-rent ratio holds.</t>
  </si>
  <si>
    <t xml:space="preserve">Local Historical Trend</t>
  </si>
  <si>
    <t xml:space="preserve">Appreciation equals the market's 1990-2025 FHFA price growth; bakes in the ratio's rise over that period.</t>
  </si>
  <si>
    <t xml:space="preserve">Slow Reversion (Half-Life 24 Years)</t>
  </si>
  <si>
    <t xml:space="preserve">Revert</t>
  </si>
  <si>
    <t xml:space="preserve">Pooled estimate across 18 metros, 1990-2025 data incl. the 2020s run-up (90% range about 18 to 39 years).</t>
  </si>
  <si>
    <t xml:space="preserve">Typical Reversion (Half-Life 11 Years)</t>
  </si>
  <si>
    <t xml:space="preserve">Same 18-metro estimate on 1990-2019 data, before the 2020s boom (90% range about 9 to 13 years).</t>
  </si>
  <si>
    <t xml:space="preserve">Fast Reversion (Half-Life 2 Years)</t>
  </si>
  <si>
    <t xml:space="preserve">The 2000s bust pace: price-to-rent fell peak to trough in 4 to 8 years (median 6) across 19 metros.</t>
  </si>
  <si>
    <t xml:space="preserve">Scenario</t>
  </si>
  <si>
    <t xml:space="preserve">Return</t>
  </si>
  <si>
    <t xml:space="preserve">Uses your column E value.</t>
  </si>
  <si>
    <t xml:space="preserve">Conservative: 5% (Vanguard 10-Year Forecast)</t>
  </si>
  <si>
    <t xml:space="preserve">Vanguard's 10-year US stock forecast: about 4% to 6% a year across its 2026 updates.</t>
  </si>
  <si>
    <t xml:space="preserve">Moderate: 7% (Between Forecast and History)</t>
  </si>
  <si>
    <t xml:space="preserve">Midpoint between today's forecasts and long-run history.</t>
  </si>
  <si>
    <t xml:space="preserve">Historical: 10% (S&amp;P 500 Since 1928)</t>
  </si>
  <si>
    <t xml:space="preserve">S&amp;P 500 average, 1928-2025 (NYU Stern, Damodaran).</t>
  </si>
</sst>
</file>

<file path=xl/styles.xml><?xml version="1.0" encoding="utf-8"?>
<styleSheet xmlns="http://schemas.openxmlformats.org/spreadsheetml/2006/main">
  <numFmts count="13">
    <numFmt numFmtId="164" formatCode="General"/>
    <numFmt numFmtId="165" formatCode="0"/>
    <numFmt numFmtId="166" formatCode="\$#,##0;&quot;($&quot;#,##0\);\-"/>
    <numFmt numFmtId="167" formatCode="General"/>
    <numFmt numFmtId="168" formatCode="\$#,##0.00;&quot;($&quot;#,##0.00\);\-"/>
    <numFmt numFmtId="169" formatCode="\$0.00"/>
    <numFmt numFmtId="170" formatCode="0%"/>
    <numFmt numFmtId="171" formatCode="@"/>
    <numFmt numFmtId="172" formatCode="0.0%;\(0.0%\);\-"/>
    <numFmt numFmtId="173" formatCode="0.00%;\(0.00%\);\-"/>
    <numFmt numFmtId="174" formatCode="0.0"/>
    <numFmt numFmtId="175" formatCode="0.0000%"/>
    <numFmt numFmtId="176" formatCode="0.0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color theme="1"/>
      <name val="Arial"/>
      <family val="0"/>
      <charset val="1"/>
    </font>
    <font>
      <i val="true"/>
      <sz val="9"/>
      <color rgb="FF5B6370"/>
      <name val="Arial"/>
      <family val="0"/>
      <charset val="1"/>
    </font>
    <font>
      <b val="true"/>
      <sz val="11"/>
      <name val="Arial"/>
      <family val="0"/>
      <charset val="1"/>
    </font>
    <font>
      <sz val="11"/>
      <color rgb="FF008000"/>
      <name val="Arial"/>
      <family val="0"/>
      <charset val="1"/>
    </font>
    <font>
      <sz val="11"/>
      <name val="Arial"/>
      <family val="0"/>
      <charset val="1"/>
    </font>
    <font>
      <sz val="11"/>
      <color rgb="FF0000FF"/>
      <name val="Arial"/>
      <family val="0"/>
      <charset val="1"/>
    </font>
    <font>
      <b val="true"/>
      <sz val="11"/>
      <color rgb="FFFFFFFF"/>
      <name val="Arial"/>
      <family val="0"/>
      <charset val="1"/>
    </font>
  </fonts>
  <fills count="6">
    <fill>
      <patternFill patternType="none"/>
    </fill>
    <fill>
      <patternFill patternType="gray125"/>
    </fill>
    <fill>
      <patternFill patternType="solid">
        <fgColor rgb="FFDCEBE4"/>
        <bgColor rgb="FFF5E9CF"/>
      </patternFill>
    </fill>
    <fill>
      <patternFill patternType="solid">
        <fgColor rgb="FFF5E9CF"/>
        <bgColor rgb="FFDCEBE4"/>
      </patternFill>
    </fill>
    <fill>
      <patternFill patternType="solid">
        <fgColor rgb="FFFFFF00"/>
        <bgColor rgb="FFFFFF00"/>
      </patternFill>
    </fill>
    <fill>
      <patternFill patternType="solid">
        <fgColor rgb="FF24594A"/>
        <bgColor rgb="FF5B6370"/>
      </patternFill>
    </fill>
  </fills>
  <borders count="2">
    <border diagonalUp="false" diagonalDown="false">
      <left/>
      <right/>
      <top/>
      <bottom/>
      <diagonal/>
    </border>
    <border diagonalUp="false" diagonalDown="false">
      <left/>
      <right/>
      <top style="medium"/>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6" fontId="10" fillId="2" borderId="0" xfId="0" applyFont="true" applyBorder="false" applyAlignment="false" applyProtection="false">
      <alignment horizontal="general" vertical="bottom" textRotation="0" wrapText="false" indent="0" shrinkToFit="false"/>
      <protection locked="true" hidden="false"/>
    </xf>
    <xf numFmtId="166" fontId="10" fillId="3"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71" fontId="10" fillId="4" borderId="0" xfId="0" applyFont="true" applyBorder="false" applyAlignment="false" applyProtection="false">
      <alignment horizontal="general" vertical="bottom" textRotation="0" wrapText="false" indent="0" shrinkToFit="false"/>
      <protection locked="true" hidden="false"/>
    </xf>
    <xf numFmtId="166" fontId="10" fillId="4" borderId="0" xfId="0" applyFont="true" applyBorder="false" applyAlignment="false" applyProtection="false">
      <alignment horizontal="general" vertical="bottom" textRotation="0" wrapText="false" indent="0" shrinkToFit="false"/>
      <protection locked="true" hidden="false"/>
    </xf>
    <xf numFmtId="172" fontId="1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73" fontId="10" fillId="4" borderId="0" xfId="0" applyFont="true" applyBorder="false" applyAlignment="false" applyProtection="false">
      <alignment horizontal="general" vertical="bottom" textRotation="0" wrapText="false" indent="0" shrinkToFit="false"/>
      <protection locked="true" hidden="false"/>
    </xf>
    <xf numFmtId="173" fontId="9" fillId="0" borderId="0" xfId="0" applyFont="true" applyBorder="fals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72" fontId="10" fillId="4" borderId="0" xfId="0" applyFont="true" applyBorder="false" applyAlignment="false" applyProtection="false">
      <alignment horizontal="general"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65" fontId="10" fillId="4"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74" fontId="9" fillId="0" borderId="0" xfId="0" applyFont="true" applyBorder="false" applyAlignment="false" applyProtection="false">
      <alignment horizontal="general" vertical="bottom" textRotation="0" wrapText="false" indent="0" shrinkToFit="false"/>
      <protection locked="true" hidden="false"/>
    </xf>
    <xf numFmtId="174" fontId="10"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75"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11" fillId="5" borderId="0" xfId="0" applyFont="true" applyBorder="false" applyAlignment="true" applyProtection="false">
      <alignment horizontal="general" vertical="bottom" textRotation="0" wrapText="true" indent="0" shrinkToFit="false"/>
      <protection locked="true" hidden="false"/>
    </xf>
    <xf numFmtId="176" fontId="5" fillId="0" borderId="0" xfId="0" applyFont="true" applyBorder="false" applyAlignment="false" applyProtection="false">
      <alignment horizontal="general" vertical="bottom" textRotation="0" wrapText="false" indent="0" shrinkToFit="false"/>
      <protection locked="true" hidden="false"/>
    </xf>
    <xf numFmtId="173"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1" fillId="5"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5E9CF"/>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CEBE4"/>
      <rgbColor rgb="FFFFFF99"/>
      <rgbColor rgb="FF99CCFF"/>
      <rgbColor rgb="FFFF99CC"/>
      <rgbColor rgb="FFCC99FF"/>
      <rgbColor rgb="FFFFCC99"/>
      <rgbColor rgb="FF3366FF"/>
      <rgbColor rgb="FF33CCCC"/>
      <rgbColor rgb="FF99CC00"/>
      <rgbColor rgb="FFFFCC00"/>
      <rgbColor rgb="FFFF9900"/>
      <rgbColor rgb="FFFF6600"/>
      <rgbColor rgb="FF5B6370"/>
      <rgbColor rgb="FF969696"/>
      <rgbColor rgb="FF003366"/>
      <rgbColor rgb="FF339966"/>
      <rgbColor rgb="FF003300"/>
      <rgbColor rgb="FF333300"/>
      <rgbColor rgb="FF993300"/>
      <rgbColor rgb="FF993366"/>
      <rgbColor rgb="FF333399"/>
      <rgbColor rgb="FF2459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18"/>
    <col collapsed="false" customWidth="true" hidden="false" outlineLevel="0" max="4" min="4" style="0" width="70"/>
    <col collapsed="false" customWidth="true" hidden="false" outlineLevel="0" max="8" min="5" style="0" width="13"/>
  </cols>
  <sheetData>
    <row r="1" customFormat="false" ht="17.35" hidden="false" customHeight="false" outlineLevel="0" collapsed="false">
      <c r="A1" s="1" t="s">
        <v>0</v>
      </c>
      <c r="B1" s="2"/>
      <c r="C1" s="2"/>
      <c r="D1" s="2"/>
      <c r="E1" s="2"/>
      <c r="F1" s="2"/>
      <c r="G1" s="2"/>
      <c r="H1" s="2"/>
    </row>
    <row r="2" customFormat="false" ht="15" hidden="false" customHeight="false" outlineLevel="0" collapsed="false">
      <c r="A2" s="3" t="s">
        <v>1</v>
      </c>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false" outlineLevel="0" collapsed="false">
      <c r="A4" s="4" t="s">
        <v>2</v>
      </c>
      <c r="B4" s="4" t="str">
        <f aca="false">IF(Inputs!$B$47=1,IF(B6&gt;=0,"Buying leaves you ahead by "&amp;TEXT(B6,"$#,##0")&amp;" after "&amp;Inputs!$B$30&amp;" years","Renting and investing leaves you ahead by "&amp;TEXT(-B6,"$#,##0")&amp;" after "&amp;Inputs!$B$30&amp;" years"),"Set filing status (Single or Joint) on the Inputs sheet to see results")</f>
        <v>Buying leaves you ahead by $235,389 after 30 years</v>
      </c>
      <c r="C4" s="2"/>
      <c r="D4" s="2"/>
      <c r="E4" s="2"/>
      <c r="F4" s="2"/>
      <c r="G4" s="2"/>
      <c r="H4" s="2"/>
    </row>
    <row r="5" customFormat="false" ht="15" hidden="false" customHeight="false" outlineLevel="0" collapsed="false">
      <c r="A5" s="2" t="s">
        <v>3</v>
      </c>
      <c r="B5" s="5" t="n">
        <f aca="false">Inputs!$B$30</f>
        <v>30</v>
      </c>
      <c r="C5" s="2"/>
      <c r="D5" s="2"/>
      <c r="E5" s="2"/>
      <c r="F5" s="2"/>
      <c r="G5" s="2"/>
      <c r="H5" s="2"/>
    </row>
    <row r="6" customFormat="false" ht="15" hidden="false" customHeight="false" outlineLevel="0" collapsed="false">
      <c r="A6" s="2" t="s">
        <v>4</v>
      </c>
      <c r="B6" s="6" t="n">
        <f aca="false">IF(Inputs!$B$47=1,B7-B8,"-")</f>
        <v>235389.076492166</v>
      </c>
      <c r="C6" s="2"/>
      <c r="D6" s="2" t="s">
        <v>5</v>
      </c>
      <c r="E6" s="2"/>
      <c r="F6" s="2"/>
      <c r="G6" s="2"/>
      <c r="H6" s="2"/>
    </row>
    <row r="7" customFormat="false" ht="15" hidden="false" customHeight="false" outlineLevel="0" collapsed="false">
      <c r="A7" s="2" t="s">
        <v>6</v>
      </c>
      <c r="B7" s="7" t="n">
        <f aca="false">IF(Inputs!$B$47=1,INDEX(Annual!$V$2:$V$51,B5),"-")</f>
        <v>1595738.52796612</v>
      </c>
      <c r="C7" s="2"/>
      <c r="D7" s="2" t="s">
        <v>7</v>
      </c>
      <c r="E7" s="2"/>
      <c r="F7" s="2"/>
      <c r="G7" s="2"/>
      <c r="H7" s="2"/>
    </row>
    <row r="8" customFormat="false" ht="15" hidden="false" customHeight="false" outlineLevel="0" collapsed="false">
      <c r="A8" s="2" t="s">
        <v>8</v>
      </c>
      <c r="B8" s="7" t="n">
        <f aca="false">IF(Inputs!$B$47=1,INDEX(Annual!$W$2:$W$51,B5),"-")</f>
        <v>1360349.45147395</v>
      </c>
      <c r="C8" s="2"/>
      <c r="D8" s="2" t="s">
        <v>9</v>
      </c>
      <c r="E8" s="2"/>
      <c r="F8" s="2"/>
      <c r="G8" s="2"/>
      <c r="H8" s="2"/>
    </row>
    <row r="9" customFormat="false" ht="15" hidden="false" customHeight="false" outlineLevel="0" collapsed="false">
      <c r="A9" s="2" t="s">
        <v>10</v>
      </c>
      <c r="B9" s="7" t="n">
        <f aca="false">IF(Inputs!$B$47=1,INDEX(Annual!$Z$2:$Z$51,B5),"-")</f>
        <v>102799.940963285</v>
      </c>
      <c r="C9" s="2"/>
      <c r="D9" s="2"/>
      <c r="E9" s="2"/>
      <c r="F9" s="2"/>
      <c r="G9" s="2"/>
      <c r="H9" s="2"/>
    </row>
    <row r="10" customFormat="false" ht="15" hidden="false" customHeight="false" outlineLevel="0" collapsed="false">
      <c r="A10" s="2" t="s">
        <v>11</v>
      </c>
      <c r="B10" s="8" t="n">
        <f aca="false">IF(Inputs!$B$47&lt;&gt;1,"-",IF(COUNT(Annual!$AA$2:$AA$51)=0,"Not within 50 years",MIN(Annual!$AA$2:$AA$51)))</f>
        <v>13</v>
      </c>
      <c r="C10" s="2"/>
      <c r="D10" s="2" t="s">
        <v>12</v>
      </c>
      <c r="E10" s="2"/>
      <c r="F10" s="2"/>
      <c r="G10" s="2"/>
      <c r="H10" s="2"/>
    </row>
    <row r="11" customFormat="false" ht="15" hidden="false" customHeight="false" outlineLevel="0" collapsed="false">
      <c r="A11" s="2"/>
      <c r="B11" s="2"/>
      <c r="C11" s="2"/>
      <c r="D11" s="2"/>
      <c r="E11" s="2"/>
      <c r="F11" s="2"/>
      <c r="G11" s="2"/>
      <c r="H11" s="2"/>
    </row>
    <row r="12" customFormat="false" ht="15" hidden="false" customHeight="false" outlineLevel="0" collapsed="false">
      <c r="A12" s="4" t="s">
        <v>13</v>
      </c>
      <c r="B12" s="2"/>
      <c r="C12" s="2"/>
      <c r="D12" s="2"/>
      <c r="E12" s="2"/>
      <c r="F12" s="2"/>
      <c r="G12" s="2"/>
      <c r="H12" s="2"/>
    </row>
    <row r="13" customFormat="false" ht="15" hidden="false" customHeight="false" outlineLevel="0" collapsed="false">
      <c r="A13" s="2" t="s">
        <v>14</v>
      </c>
      <c r="B13" s="7" t="n">
        <f aca="false">Inputs!$B$39</f>
        <v>400000</v>
      </c>
      <c r="C13" s="2"/>
      <c r="D13" s="2"/>
      <c r="E13" s="2"/>
      <c r="F13" s="2"/>
      <c r="G13" s="2"/>
      <c r="H13" s="2"/>
    </row>
    <row r="14" customFormat="false" ht="15" hidden="false" customHeight="false" outlineLevel="0" collapsed="false">
      <c r="A14" s="2" t="s">
        <v>15</v>
      </c>
      <c r="B14" s="9" t="n">
        <f aca="false">Inputs!$B$41</f>
        <v>2736.84912898071</v>
      </c>
      <c r="C14" s="2"/>
      <c r="D14" s="2"/>
      <c r="E14" s="2"/>
      <c r="F14" s="2"/>
      <c r="G14" s="2"/>
      <c r="H14" s="2"/>
    </row>
    <row r="15" customFormat="false" ht="15" hidden="false" customHeight="false" outlineLevel="0" collapsed="false">
      <c r="A15" s="2" t="s">
        <v>16</v>
      </c>
      <c r="B15" s="7" t="n">
        <f aca="false">SUM(Monthly!$E$2:$E$601)</f>
        <v>400000</v>
      </c>
      <c r="C15" s="2"/>
      <c r="D15" s="2"/>
      <c r="E15" s="2"/>
      <c r="F15" s="2"/>
      <c r="G15" s="2"/>
      <c r="H15" s="2"/>
    </row>
    <row r="16" customFormat="false" ht="15" hidden="false" customHeight="false" outlineLevel="0" collapsed="false">
      <c r="A16" s="2" t="s">
        <v>17</v>
      </c>
      <c r="B16" s="7" t="n">
        <f aca="false">SUM(Monthly!$D$2:$D$601)</f>
        <v>585265.686433054</v>
      </c>
      <c r="C16" s="2"/>
      <c r="D16" s="2"/>
      <c r="E16" s="2"/>
      <c r="F16" s="2"/>
      <c r="G16" s="2"/>
      <c r="H16" s="2"/>
    </row>
    <row r="17" customFormat="false" ht="15" hidden="false" customHeight="false" outlineLevel="0" collapsed="false">
      <c r="A17" s="2" t="s">
        <v>18</v>
      </c>
      <c r="B17" s="10" t="n">
        <f aca="false">B15+B16</f>
        <v>985265.686433054</v>
      </c>
      <c r="C17" s="2"/>
      <c r="D17" s="2"/>
      <c r="E17" s="2"/>
      <c r="F17" s="2"/>
      <c r="G17" s="2"/>
      <c r="H17" s="2"/>
    </row>
    <row r="18" customFormat="false" ht="15" hidden="false" customHeight="false" outlineLevel="0" collapsed="false">
      <c r="A18" s="2" t="s">
        <v>19</v>
      </c>
      <c r="B18" s="11" t="n">
        <f aca="false">IF(B13&gt;0,B16/B13,0)</f>
        <v>1.46316421608264</v>
      </c>
      <c r="C18" s="2"/>
      <c r="D18" s="2"/>
      <c r="E18" s="2"/>
      <c r="F18" s="2"/>
      <c r="G18" s="2"/>
      <c r="H18" s="2"/>
    </row>
    <row r="19" customFormat="false" ht="15" hidden="false" customHeight="false" outlineLevel="0" collapsed="false">
      <c r="A19" s="2" t="s">
        <v>20</v>
      </c>
      <c r="B19" s="7" t="n">
        <f aca="false">SUM(Monthly!$G$2:$G$601)</f>
        <v>0</v>
      </c>
      <c r="C19" s="2"/>
      <c r="D19" s="2"/>
      <c r="E19" s="2"/>
      <c r="F19" s="2"/>
      <c r="G19" s="2"/>
      <c r="H19" s="2"/>
    </row>
    <row r="20" customFormat="false" ht="15" hidden="false" customHeight="false" outlineLevel="0" collapsed="false">
      <c r="A20" s="2" t="s">
        <v>21</v>
      </c>
      <c r="B20" s="5" t="n">
        <f aca="false">COUNTIF(Monthly!$G$2:$G$601,"&gt;0")</f>
        <v>0</v>
      </c>
      <c r="C20" s="2"/>
      <c r="D20" s="2"/>
      <c r="E20" s="2"/>
      <c r="F20" s="2"/>
      <c r="G20" s="2"/>
      <c r="H20" s="2"/>
    </row>
    <row r="21" customFormat="false" ht="15" hidden="false" customHeight="false" outlineLevel="0" collapsed="false">
      <c r="A21" s="2"/>
      <c r="B21" s="2"/>
      <c r="C21" s="2"/>
      <c r="D21" s="2"/>
      <c r="E21" s="2"/>
      <c r="F21" s="2"/>
      <c r="G21" s="2"/>
      <c r="H21" s="2"/>
    </row>
    <row r="22" customFormat="false" ht="15" hidden="false" customHeight="false" outlineLevel="0" collapsed="false">
      <c r="A22" s="4" t="s">
        <v>22</v>
      </c>
      <c r="B22" s="4" t="s">
        <v>23</v>
      </c>
      <c r="C22" s="4" t="s">
        <v>24</v>
      </c>
      <c r="D22" s="2"/>
      <c r="E22" s="2"/>
      <c r="F22" s="2"/>
      <c r="G22" s="2"/>
      <c r="H22" s="2"/>
    </row>
    <row r="23" customFormat="false" ht="15" hidden="false" customHeight="false" outlineLevel="0" collapsed="false">
      <c r="A23" s="2" t="s">
        <v>25</v>
      </c>
      <c r="B23" s="7" t="n">
        <f aca="false">(Annual!C2+Annual!D2)/12</f>
        <v>2736.84912898071</v>
      </c>
      <c r="C23" s="2"/>
      <c r="D23" s="2"/>
      <c r="E23" s="2"/>
      <c r="F23" s="2"/>
      <c r="G23" s="2"/>
      <c r="H23" s="2"/>
    </row>
    <row r="24" customFormat="false" ht="15" hidden="false" customHeight="false" outlineLevel="0" collapsed="false">
      <c r="A24" s="2" t="s">
        <v>26</v>
      </c>
      <c r="B24" s="7" t="n">
        <f aca="false">SUM(Monthly!I2:L13)/12</f>
        <v>1000</v>
      </c>
      <c r="C24" s="2"/>
      <c r="D24" s="2"/>
      <c r="E24" s="2"/>
      <c r="F24" s="2"/>
      <c r="G24" s="2"/>
      <c r="H24" s="2"/>
    </row>
    <row r="25" customFormat="false" ht="15" hidden="false" customHeight="false" outlineLevel="0" collapsed="false">
      <c r="A25" s="2" t="s">
        <v>27</v>
      </c>
      <c r="B25" s="7" t="n">
        <f aca="false">SUM(Monthly!G2:G13)/12</f>
        <v>0</v>
      </c>
      <c r="C25" s="2"/>
      <c r="D25" s="2"/>
      <c r="E25" s="2"/>
      <c r="F25" s="2"/>
      <c r="G25" s="2"/>
      <c r="H25" s="2"/>
    </row>
    <row r="26" customFormat="false" ht="15" hidden="false" customHeight="false" outlineLevel="0" collapsed="false">
      <c r="A26" s="2" t="s">
        <v>28</v>
      </c>
      <c r="B26" s="7" t="n">
        <f aca="false">-Annual!N2/12</f>
        <v>-0</v>
      </c>
      <c r="C26" s="2"/>
      <c r="D26" s="2"/>
      <c r="E26" s="2"/>
      <c r="F26" s="2"/>
      <c r="G26" s="2"/>
      <c r="H26" s="2"/>
    </row>
    <row r="27" customFormat="false" ht="15" hidden="false" customHeight="false" outlineLevel="0" collapsed="false">
      <c r="A27" s="2" t="s">
        <v>29</v>
      </c>
      <c r="B27" s="7" t="n">
        <f aca="false">Annual!O2/12</f>
        <v>3736.84912898071</v>
      </c>
      <c r="C27" s="7" t="n">
        <f aca="false">Annual!P2/12</f>
        <v>2515</v>
      </c>
      <c r="D27" s="2"/>
      <c r="E27" s="2"/>
      <c r="F27" s="2"/>
      <c r="G27" s="2"/>
      <c r="H27" s="2"/>
    </row>
    <row r="28" customFormat="false" ht="15" hidden="false" customHeight="false" outlineLevel="0" collapsed="false">
      <c r="A28" s="2" t="s">
        <v>30</v>
      </c>
      <c r="B28" s="10" t="n">
        <f aca="false">B27-C27</f>
        <v>1221.84912898071</v>
      </c>
      <c r="C28" s="2"/>
      <c r="D28" s="2"/>
      <c r="E28" s="2"/>
      <c r="F28" s="2"/>
      <c r="G28" s="2"/>
      <c r="H28" s="2"/>
    </row>
    <row r="29" customFormat="false" ht="15" hidden="false" customHeight="false" outlineLevel="0" collapsed="false">
      <c r="A29" s="2"/>
      <c r="B29" s="2"/>
      <c r="C29" s="2"/>
      <c r="D29" s="2"/>
      <c r="E29" s="2"/>
      <c r="F29" s="2"/>
      <c r="G29" s="2"/>
      <c r="H29" s="2"/>
    </row>
    <row r="30" customFormat="false" ht="15" hidden="false" customHeight="false" outlineLevel="0" collapsed="false">
      <c r="A30" s="4" t="s">
        <v>31</v>
      </c>
      <c r="B30" s="4" t="s">
        <v>23</v>
      </c>
      <c r="C30" s="4" t="s">
        <v>24</v>
      </c>
      <c r="D30" s="2"/>
      <c r="E30" s="2"/>
      <c r="F30" s="2"/>
      <c r="G30" s="2"/>
      <c r="H30" s="2"/>
    </row>
    <row r="31" customFormat="false" ht="15" hidden="false" customHeight="false" outlineLevel="0" collapsed="false">
      <c r="A31" s="2" t="s">
        <v>32</v>
      </c>
      <c r="B31" s="7" t="n">
        <f aca="false">SUMIF(Monthly!$A$2:$A$601,"&lt;="&amp;$B$5*12,Monthly!$D$2:$D$601)</f>
        <v>585265.686433054</v>
      </c>
      <c r="C31" s="2"/>
      <c r="D31" s="2"/>
      <c r="E31" s="2"/>
      <c r="F31" s="2"/>
      <c r="G31" s="2"/>
      <c r="H31" s="2"/>
    </row>
    <row r="32" customFormat="false" ht="15" hidden="false" customHeight="false" outlineLevel="0" collapsed="false">
      <c r="A32" s="2" t="s">
        <v>33</v>
      </c>
      <c r="B32" s="7" t="n">
        <f aca="false">SUMIF(Monthly!$A$2:$A$601,"&lt;="&amp;$B$5*12,Monthly!$I$2:$I$601)</f>
        <v>252382.219878098</v>
      </c>
      <c r="C32" s="2"/>
      <c r="D32" s="2"/>
      <c r="E32" s="2"/>
      <c r="F32" s="2"/>
      <c r="G32" s="2"/>
      <c r="H32" s="2"/>
    </row>
    <row r="33" customFormat="false" ht="15" hidden="false" customHeight="false" outlineLevel="0" collapsed="false">
      <c r="A33" s="2" t="s">
        <v>34</v>
      </c>
      <c r="B33" s="7" t="n">
        <f aca="false">SUMIF(Monthly!$A$2:$A$601,"&lt;="&amp;$B$5*12,Monthly!$J$2:$J$601)</f>
        <v>115158.778899002</v>
      </c>
      <c r="C33" s="2"/>
      <c r="D33" s="2"/>
      <c r="E33" s="2"/>
      <c r="F33" s="2"/>
      <c r="G33" s="2"/>
      <c r="H33" s="2"/>
    </row>
    <row r="34" customFormat="false" ht="15" hidden="false" customHeight="false" outlineLevel="0" collapsed="false">
      <c r="A34" s="2" t="s">
        <v>35</v>
      </c>
      <c r="B34" s="7" t="n">
        <f aca="false">SUMIF(Monthly!$A$2:$A$601,"&lt;="&amp;$B$5*12,Monthly!$K$2:$K$601)</f>
        <v>230317.557798005</v>
      </c>
      <c r="C34" s="2"/>
      <c r="D34" s="2"/>
      <c r="E34" s="2"/>
      <c r="F34" s="2"/>
      <c r="G34" s="2"/>
      <c r="H34" s="2"/>
    </row>
    <row r="35" customFormat="false" ht="15" hidden="false" customHeight="false" outlineLevel="0" collapsed="false">
      <c r="A35" s="2" t="s">
        <v>36</v>
      </c>
      <c r="B35" s="7" t="n">
        <f aca="false">SUMIF(Monthly!$A$2:$A$601,"&lt;="&amp;$B$5*12,Monthly!$L$2:$L$601)</f>
        <v>0</v>
      </c>
      <c r="C35" s="2"/>
      <c r="D35" s="2"/>
      <c r="E35" s="2"/>
      <c r="F35" s="2"/>
      <c r="G35" s="2"/>
      <c r="H35" s="2"/>
    </row>
    <row r="36" customFormat="false" ht="15" hidden="false" customHeight="false" outlineLevel="0" collapsed="false">
      <c r="A36" s="2" t="s">
        <v>27</v>
      </c>
      <c r="B36" s="7" t="n">
        <f aca="false">SUMIF(Monthly!$A$2:$A$601,"&lt;="&amp;$B$5*12,Monthly!$G$2:$G$601)</f>
        <v>0</v>
      </c>
      <c r="C36" s="2"/>
      <c r="D36" s="2"/>
      <c r="E36" s="2"/>
      <c r="F36" s="2"/>
      <c r="G36" s="2"/>
      <c r="H36" s="2"/>
    </row>
    <row r="37" customFormat="false" ht="15" hidden="false" customHeight="false" outlineLevel="0" collapsed="false">
      <c r="A37" s="2" t="s">
        <v>37</v>
      </c>
      <c r="B37" s="7" t="n">
        <f aca="false">Inputs!$B$40</f>
        <v>12500</v>
      </c>
      <c r="C37" s="2"/>
      <c r="D37" s="2"/>
      <c r="E37" s="2"/>
      <c r="F37" s="2"/>
      <c r="G37" s="2"/>
      <c r="H37" s="2"/>
    </row>
    <row r="38" customFormat="false" ht="15" hidden="false" customHeight="false" outlineLevel="0" collapsed="false">
      <c r="A38" s="2" t="s">
        <v>38</v>
      </c>
      <c r="B38" s="7" t="n">
        <f aca="false">INDEX(Annual!$S$2:$S$51,$B$5)</f>
        <v>97301.9253008263</v>
      </c>
      <c r="C38" s="2"/>
      <c r="D38" s="2"/>
      <c r="E38" s="2"/>
      <c r="F38" s="2"/>
      <c r="G38" s="2"/>
      <c r="H38" s="2"/>
    </row>
    <row r="39" customFormat="false" ht="15" hidden="false" customHeight="false" outlineLevel="0" collapsed="false">
      <c r="A39" s="2" t="s">
        <v>39</v>
      </c>
      <c r="B39" s="7" t="n">
        <f aca="false">INDEX(Annual!$T$2:$T$51,$B$5)</f>
        <v>76784.5244569417</v>
      </c>
      <c r="C39" s="2"/>
      <c r="D39" s="2"/>
      <c r="E39" s="2"/>
      <c r="F39" s="2"/>
      <c r="G39" s="2"/>
      <c r="H39" s="2"/>
    </row>
    <row r="40" customFormat="false" ht="15" hidden="false" customHeight="false" outlineLevel="0" collapsed="false">
      <c r="A40" s="2" t="s">
        <v>28</v>
      </c>
      <c r="B40" s="7" t="n">
        <f aca="false">-SUMIF(Monthly!$A$2:$A$601,"&lt;="&amp;$B$5*12,Monthly!$M$2:$M$601)</f>
        <v>-0</v>
      </c>
      <c r="C40" s="2"/>
      <c r="D40" s="2"/>
      <c r="E40" s="2"/>
      <c r="F40" s="2"/>
      <c r="G40" s="2"/>
      <c r="H40" s="2"/>
    </row>
    <row r="41" customFormat="false" ht="15" hidden="false" customHeight="false" outlineLevel="0" collapsed="false">
      <c r="A41" s="2" t="s">
        <v>40</v>
      </c>
      <c r="B41" s="7" t="n">
        <f aca="false">SUMIF(Monthly!$A$2:$A$601,"&lt;="&amp;$B$5*12,Monthly!$V$2:$V$601)</f>
        <v>968.281653856852</v>
      </c>
      <c r="C41" s="7" t="n">
        <f aca="false">SUMIF(Monthly!$A$2:$A$601,"&lt;="&amp;$B$5*12,Monthly!$U$2:$U$601)</f>
        <v>31683.0656713543</v>
      </c>
      <c r="D41" s="2"/>
      <c r="E41" s="2"/>
      <c r="F41" s="2"/>
      <c r="G41" s="2"/>
      <c r="H41" s="2"/>
    </row>
    <row r="42" customFormat="false" ht="15" hidden="false" customHeight="false" outlineLevel="0" collapsed="false">
      <c r="A42" s="2" t="s">
        <v>41</v>
      </c>
      <c r="B42" s="2"/>
      <c r="C42" s="7" t="n">
        <f aca="false">SUMIF(Monthly!$A$2:$A$601,"&lt;="&amp;$B$5*12,Monthly!$O$2:$O$601)</f>
        <v>1556971.75039727</v>
      </c>
      <c r="D42" s="2"/>
      <c r="E42" s="2"/>
      <c r="F42" s="2"/>
      <c r="G42" s="2"/>
      <c r="H42" s="2"/>
    </row>
    <row r="43" customFormat="false" ht="15" hidden="false" customHeight="false" outlineLevel="0" collapsed="false">
      <c r="A43" s="4" t="s">
        <v>42</v>
      </c>
      <c r="B43" s="12" t="n">
        <f aca="false">SUM(B31:B42)</f>
        <v>1370678.97441978</v>
      </c>
      <c r="C43" s="12" t="n">
        <f aca="false">SUM(C31:C42)</f>
        <v>1588654.81606862</v>
      </c>
      <c r="D43" s="2"/>
      <c r="E43" s="2"/>
      <c r="F43" s="2"/>
      <c r="G43" s="2"/>
      <c r="H43" s="2"/>
    </row>
    <row r="44" customFormat="false" ht="15" hidden="false" customHeight="false" outlineLevel="0" collapsed="false">
      <c r="A44" s="2"/>
      <c r="B44" s="2"/>
      <c r="C44" s="2"/>
      <c r="D44" s="2"/>
      <c r="E44" s="2"/>
      <c r="F44" s="2"/>
      <c r="G44" s="2"/>
      <c r="H44" s="2"/>
    </row>
    <row r="45" customFormat="false" ht="15" hidden="false" customHeight="false" outlineLevel="0" collapsed="false">
      <c r="A45" s="2"/>
      <c r="B45" s="2"/>
      <c r="C45" s="2"/>
      <c r="D45" s="2"/>
      <c r="E45" s="2"/>
      <c r="F45" s="2"/>
      <c r="G45" s="2"/>
      <c r="H45" s="2"/>
    </row>
    <row r="46" customFormat="false" ht="15" hidden="false" customHeight="false" outlineLevel="0" collapsed="false">
      <c r="A46" s="4" t="s">
        <v>43</v>
      </c>
      <c r="B46" s="2"/>
      <c r="C46" s="2"/>
      <c r="D46" s="2"/>
      <c r="E46" s="2"/>
      <c r="F46" s="2"/>
      <c r="G46" s="2"/>
      <c r="H46" s="2"/>
    </row>
    <row r="47" customFormat="false" ht="15" hidden="false" customHeight="false" outlineLevel="0" collapsed="false">
      <c r="A47" s="3" t="s">
        <v>44</v>
      </c>
      <c r="B47" s="2"/>
      <c r="C47" s="2"/>
      <c r="D47" s="2"/>
      <c r="E47" s="2"/>
      <c r="F47" s="2"/>
      <c r="G47" s="2"/>
      <c r="H47" s="2"/>
    </row>
    <row r="48" customFormat="false" ht="15" hidden="false" customHeight="false" outlineLevel="0" collapsed="false">
      <c r="A48" s="2"/>
      <c r="B48" s="13" t="n">
        <v>0.04</v>
      </c>
      <c r="C48" s="13" t="n">
        <v>0.05</v>
      </c>
      <c r="D48" s="13" t="n">
        <v>0.06</v>
      </c>
      <c r="E48" s="13" t="n">
        <v>0.07</v>
      </c>
      <c r="F48" s="13" t="n">
        <v>0.08</v>
      </c>
      <c r="G48" s="13" t="n">
        <v>0.09</v>
      </c>
      <c r="H48" s="13" t="n">
        <v>0.1</v>
      </c>
    </row>
    <row r="49" customFormat="false" ht="15" hidden="false" customHeight="false" outlineLevel="0" collapsed="false">
      <c r="A49" s="13" t="n">
        <v>0.02</v>
      </c>
      <c r="B49" s="14" t="n">
        <v>418503</v>
      </c>
      <c r="C49" s="14" t="n">
        <v>252213</v>
      </c>
      <c r="D49" s="14" t="n">
        <v>35018</v>
      </c>
      <c r="E49" s="15" t="n">
        <v>-247726</v>
      </c>
      <c r="F49" s="15" t="n">
        <v>-614708</v>
      </c>
      <c r="G49" s="15" t="n">
        <v>-1089729</v>
      </c>
      <c r="H49" s="15" t="n">
        <v>-1703045</v>
      </c>
    </row>
    <row r="50" customFormat="false" ht="15" hidden="false" customHeight="false" outlineLevel="0" collapsed="false">
      <c r="A50" s="13" t="n">
        <v>0.03</v>
      </c>
      <c r="B50" s="14" t="n">
        <v>620994</v>
      </c>
      <c r="C50" s="14" t="n">
        <v>450542</v>
      </c>
      <c r="D50" s="14" t="n">
        <v>228561</v>
      </c>
      <c r="E50" s="15" t="n">
        <v>-59700</v>
      </c>
      <c r="F50" s="15" t="n">
        <v>-433057</v>
      </c>
      <c r="G50" s="15" t="n">
        <v>-915461</v>
      </c>
      <c r="H50" s="15" t="n">
        <v>-1537347</v>
      </c>
    </row>
    <row r="51" customFormat="false" ht="15" hidden="false" customHeight="false" outlineLevel="0" collapsed="false">
      <c r="A51" s="13" t="n">
        <v>0.04</v>
      </c>
      <c r="B51" s="14" t="n">
        <v>894949</v>
      </c>
      <c r="C51" s="14" t="n">
        <v>719767</v>
      </c>
      <c r="D51" s="14" t="n">
        <v>492370</v>
      </c>
      <c r="E51" s="14" t="n">
        <v>197889</v>
      </c>
      <c r="F51" s="15" t="n">
        <v>-182628</v>
      </c>
      <c r="G51" s="15" t="n">
        <v>-673295</v>
      </c>
      <c r="H51" s="15" t="n">
        <v>-1304735</v>
      </c>
    </row>
    <row r="52" customFormat="false" ht="15" hidden="false" customHeight="false" outlineLevel="0" collapsed="false">
      <c r="A52" s="13" t="n">
        <v>0.05</v>
      </c>
      <c r="B52" s="14" t="n">
        <v>1263364</v>
      </c>
      <c r="C52" s="14" t="n">
        <v>1082793</v>
      </c>
      <c r="D52" s="14" t="n">
        <v>849248</v>
      </c>
      <c r="E52" s="14" t="n">
        <v>547735</v>
      </c>
      <c r="F52" s="14" t="n">
        <v>159152</v>
      </c>
      <c r="G52" s="15" t="n">
        <v>-340784</v>
      </c>
      <c r="H52" s="15" t="n">
        <v>-982906</v>
      </c>
    </row>
    <row r="53" customFormat="false" ht="15" hidden="false" customHeight="false" outlineLevel="0" collapsed="false">
      <c r="A53" s="13" t="n">
        <v>0.06</v>
      </c>
      <c r="B53" s="14" t="n">
        <v>1756182</v>
      </c>
      <c r="C53" s="14" t="n">
        <v>1569455</v>
      </c>
      <c r="D53" s="14" t="n">
        <v>1328913</v>
      </c>
      <c r="E53" s="14" t="n">
        <v>1019426</v>
      </c>
      <c r="F53" s="14" t="n">
        <v>621735</v>
      </c>
      <c r="G53" s="14" t="n">
        <v>111367</v>
      </c>
      <c r="H53" s="15" t="n">
        <v>-542730</v>
      </c>
    </row>
    <row r="54" customFormat="false" ht="15" hidden="false" customHeight="false" outlineLevel="0" collapsed="false">
      <c r="A54" s="2"/>
      <c r="B54" s="2"/>
      <c r="C54" s="2"/>
      <c r="D54" s="2"/>
      <c r="E54" s="2"/>
      <c r="F54" s="2"/>
      <c r="G54" s="2"/>
      <c r="H54" s="2"/>
    </row>
    <row r="55" customFormat="false" ht="15" hidden="false" customHeight="false" outlineLevel="0" collapsed="false">
      <c r="A55" s="2"/>
      <c r="B55" s="2"/>
      <c r="C55" s="2"/>
      <c r="D55" s="2"/>
      <c r="E55" s="2"/>
      <c r="F55" s="2"/>
      <c r="G55" s="2"/>
      <c r="H55" s="2"/>
    </row>
    <row r="56" customFormat="false" ht="15" hidden="false" customHeight="false" outlineLevel="0" collapsed="false">
      <c r="A56" s="4" t="s">
        <v>45</v>
      </c>
      <c r="B56" s="2"/>
      <c r="C56" s="2"/>
      <c r="D56" s="2"/>
      <c r="E56" s="2"/>
      <c r="F56" s="2"/>
      <c r="G56" s="2"/>
      <c r="H56" s="2"/>
    </row>
    <row r="57" customFormat="false" ht="15" hidden="false" customHeight="false" outlineLevel="0" collapsed="false">
      <c r="A57" s="3" t="s">
        <v>44</v>
      </c>
      <c r="B57" s="2"/>
      <c r="C57" s="2"/>
      <c r="D57" s="2"/>
      <c r="E57" s="2"/>
      <c r="F57" s="2"/>
      <c r="G57" s="2"/>
      <c r="H57" s="2"/>
    </row>
    <row r="58" customFormat="false" ht="15" hidden="false" customHeight="false" outlineLevel="0" collapsed="false">
      <c r="A58" s="2"/>
      <c r="B58" s="13" t="n">
        <v>0.04</v>
      </c>
      <c r="C58" s="13" t="n">
        <v>0.05</v>
      </c>
      <c r="D58" s="13" t="n">
        <v>0.06</v>
      </c>
      <c r="E58" s="13" t="n">
        <v>0.07</v>
      </c>
      <c r="F58" s="13" t="n">
        <v>0.08</v>
      </c>
      <c r="G58" s="13" t="n">
        <v>0.09</v>
      </c>
      <c r="H58" s="13" t="n">
        <v>0.1</v>
      </c>
    </row>
    <row r="59" customFormat="false" ht="15" hidden="false" customHeight="false" outlineLevel="0" collapsed="false">
      <c r="A59" s="13" t="n">
        <v>0.02</v>
      </c>
      <c r="B59" s="14" t="n">
        <v>431829</v>
      </c>
      <c r="C59" s="14" t="n">
        <v>265539</v>
      </c>
      <c r="D59" s="14" t="n">
        <v>48344</v>
      </c>
      <c r="E59" s="15" t="n">
        <v>-234400</v>
      </c>
      <c r="F59" s="15" t="n">
        <v>-601382</v>
      </c>
      <c r="G59" s="15" t="n">
        <v>-1076403</v>
      </c>
      <c r="H59" s="15" t="n">
        <v>-1689719</v>
      </c>
    </row>
    <row r="60" customFormat="false" ht="15" hidden="false" customHeight="false" outlineLevel="0" collapsed="false">
      <c r="A60" s="13" t="n">
        <v>0.03</v>
      </c>
      <c r="B60" s="14" t="n">
        <v>658494</v>
      </c>
      <c r="C60" s="14" t="n">
        <v>488042</v>
      </c>
      <c r="D60" s="14" t="n">
        <v>266061</v>
      </c>
      <c r="E60" s="15" t="n">
        <v>-22200</v>
      </c>
      <c r="F60" s="15" t="n">
        <v>-395557</v>
      </c>
      <c r="G60" s="15" t="n">
        <v>-877961</v>
      </c>
      <c r="H60" s="15" t="n">
        <v>-1499847</v>
      </c>
    </row>
    <row r="61" customFormat="false" ht="15" hidden="false" customHeight="false" outlineLevel="0" collapsed="false">
      <c r="A61" s="13" t="n">
        <v>0.04</v>
      </c>
      <c r="B61" s="14" t="n">
        <v>932449</v>
      </c>
      <c r="C61" s="14" t="n">
        <v>757267</v>
      </c>
      <c r="D61" s="14" t="n">
        <v>529870</v>
      </c>
      <c r="E61" s="14" t="n">
        <v>235389</v>
      </c>
      <c r="F61" s="15" t="n">
        <v>-145128</v>
      </c>
      <c r="G61" s="15" t="n">
        <v>-635795</v>
      </c>
      <c r="H61" s="15" t="n">
        <v>-1267235</v>
      </c>
    </row>
    <row r="62" customFormat="false" ht="15" hidden="false" customHeight="false" outlineLevel="0" collapsed="false">
      <c r="A62" s="13" t="n">
        <v>0.05</v>
      </c>
      <c r="B62" s="14" t="n">
        <v>1300864</v>
      </c>
      <c r="C62" s="14" t="n">
        <v>1120293</v>
      </c>
      <c r="D62" s="14" t="n">
        <v>886748</v>
      </c>
      <c r="E62" s="14" t="n">
        <v>585235</v>
      </c>
      <c r="F62" s="14" t="n">
        <v>196652</v>
      </c>
      <c r="G62" s="15" t="n">
        <v>-303284</v>
      </c>
      <c r="H62" s="15" t="n">
        <v>-945406</v>
      </c>
    </row>
    <row r="63" customFormat="false" ht="15" hidden="false" customHeight="false" outlineLevel="0" collapsed="false">
      <c r="A63" s="13" t="n">
        <v>0.06</v>
      </c>
      <c r="B63" s="14" t="n">
        <v>1793682</v>
      </c>
      <c r="C63" s="14" t="n">
        <v>1606955</v>
      </c>
      <c r="D63" s="14" t="n">
        <v>1366413</v>
      </c>
      <c r="E63" s="14" t="n">
        <v>1056926</v>
      </c>
      <c r="F63" s="14" t="n">
        <v>659235</v>
      </c>
      <c r="G63" s="14" t="n">
        <v>148867</v>
      </c>
      <c r="H63" s="15" t="n">
        <v>-505230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4"/>
    <col collapsed="false" customWidth="true" hidden="false" outlineLevel="0" max="3" min="3" style="0" width="12"/>
    <col collapsed="false" customWidth="true" hidden="false" outlineLevel="0" max="4" min="4" style="0" width="110"/>
    <col collapsed="false" customWidth="true" hidden="false" outlineLevel="0" max="5" min="5" style="0" width="18"/>
  </cols>
  <sheetData>
    <row r="1" customFormat="false" ht="17.35" hidden="false" customHeight="false" outlineLevel="0" collapsed="false">
      <c r="A1" s="1" t="s">
        <v>46</v>
      </c>
      <c r="B1" s="2"/>
      <c r="C1" s="2"/>
      <c r="D1" s="2"/>
      <c r="E1" s="2"/>
    </row>
    <row r="2" customFormat="false" ht="15" hidden="false" customHeight="false" outlineLevel="0" collapsed="false">
      <c r="A2" s="3" t="s">
        <v>47</v>
      </c>
      <c r="B2" s="2"/>
      <c r="C2" s="2"/>
      <c r="D2" s="2"/>
      <c r="E2" s="2"/>
    </row>
    <row r="3" customFormat="false" ht="15" hidden="false" customHeight="false" outlineLevel="0" collapsed="false">
      <c r="A3" s="4" t="s">
        <v>48</v>
      </c>
      <c r="B3" s="4" t="s">
        <v>49</v>
      </c>
      <c r="C3" s="4" t="s">
        <v>50</v>
      </c>
      <c r="D3" s="4" t="s">
        <v>51</v>
      </c>
      <c r="E3" s="4" t="s">
        <v>52</v>
      </c>
    </row>
    <row r="4" customFormat="false" ht="15" hidden="false" customHeight="false" outlineLevel="0" collapsed="false">
      <c r="A4" s="16" t="s">
        <v>53</v>
      </c>
      <c r="B4" s="17" t="s">
        <v>54</v>
      </c>
      <c r="C4" s="3"/>
      <c r="D4" s="3" t="s">
        <v>55</v>
      </c>
      <c r="E4" s="2"/>
    </row>
    <row r="5" customFormat="false" ht="15" hidden="false" customHeight="false" outlineLevel="0" collapsed="false">
      <c r="A5" s="16" t="s">
        <v>56</v>
      </c>
      <c r="B5" s="17" t="s">
        <v>54</v>
      </c>
      <c r="C5" s="3" t="str">
        <f aca="false">IF(Inputs!$B$32="Fixed",TEXT(Inputs!$B$20,"0.0%")&amp;"/yr","Reverting")</f>
        <v>4.0%/yr</v>
      </c>
      <c r="D5" s="3" t="s">
        <v>57</v>
      </c>
      <c r="E5" s="2"/>
    </row>
    <row r="6" customFormat="false" ht="15" hidden="false" customHeight="false" outlineLevel="0" collapsed="false">
      <c r="A6" s="16" t="s">
        <v>58</v>
      </c>
      <c r="B6" s="17" t="s">
        <v>54</v>
      </c>
      <c r="C6" s="3"/>
      <c r="D6" s="3" t="s">
        <v>59</v>
      </c>
      <c r="E6" s="2"/>
    </row>
    <row r="7" customFormat="false" ht="15" hidden="false" customHeight="false" outlineLevel="0" collapsed="false">
      <c r="A7" s="16" t="s">
        <v>60</v>
      </c>
      <c r="B7" s="10" t="n">
        <f aca="false">IF(Inputs!$B$4="Custom (Use My Inputs)",Inputs!$E$7,INDEX(Presets!$B$5:$B$23,MATCH(Inputs!$B$4,Presets!$A$5:$A$23,0)))</f>
        <v>500000</v>
      </c>
      <c r="C7" s="3" t="s">
        <v>61</v>
      </c>
      <c r="D7" s="3" t="s">
        <v>62</v>
      </c>
      <c r="E7" s="18" t="n">
        <v>500000</v>
      </c>
    </row>
    <row r="8" customFormat="false" ht="15" hidden="false" customHeight="false" outlineLevel="0" collapsed="false">
      <c r="A8" s="16" t="s">
        <v>63</v>
      </c>
      <c r="B8" s="19" t="n">
        <v>0.2</v>
      </c>
      <c r="C8" s="3" t="s">
        <v>64</v>
      </c>
      <c r="D8" s="3" t="s">
        <v>65</v>
      </c>
      <c r="E8" s="2"/>
    </row>
    <row r="9" customFormat="false" ht="15" hidden="false" customHeight="false" outlineLevel="0" collapsed="false">
      <c r="A9" s="16" t="s">
        <v>66</v>
      </c>
      <c r="B9" s="20" t="n">
        <v>30</v>
      </c>
      <c r="C9" s="3" t="s">
        <v>67</v>
      </c>
      <c r="D9" s="3" t="s">
        <v>68</v>
      </c>
      <c r="E9" s="2"/>
    </row>
    <row r="10" customFormat="false" ht="15" hidden="false" customHeight="false" outlineLevel="0" collapsed="false">
      <c r="A10" s="16" t="s">
        <v>69</v>
      </c>
      <c r="B10" s="21" t="n">
        <v>0.0728</v>
      </c>
      <c r="C10" s="3" t="s">
        <v>70</v>
      </c>
      <c r="D10" s="3" t="s">
        <v>71</v>
      </c>
      <c r="E10" s="2"/>
    </row>
    <row r="11" customFormat="false" ht="15" hidden="false" customHeight="false" outlineLevel="0" collapsed="false">
      <c r="A11" s="16" t="s">
        <v>72</v>
      </c>
      <c r="B11" s="19" t="n">
        <v>0.025</v>
      </c>
      <c r="C11" s="3" t="s">
        <v>64</v>
      </c>
      <c r="D11" s="3" t="s">
        <v>73</v>
      </c>
      <c r="E11" s="2"/>
    </row>
    <row r="12" customFormat="false" ht="15" hidden="false" customHeight="false" outlineLevel="0" collapsed="false">
      <c r="A12" s="16" t="s">
        <v>33</v>
      </c>
      <c r="B12" s="22" t="n">
        <f aca="false">IF(Inputs!$B$4="Custom (Use My Inputs)",Inputs!$E$12,INDEX(Presets!$D$5:$D$23,MATCH(Inputs!$B$4,Presets!$A$5:$A$23,0)))</f>
        <v>0.009</v>
      </c>
      <c r="C12" s="3" t="s">
        <v>74</v>
      </c>
      <c r="D12" s="3" t="s">
        <v>75</v>
      </c>
      <c r="E12" s="21" t="n">
        <v>0.009</v>
      </c>
    </row>
    <row r="13" customFormat="false" ht="15" hidden="false" customHeight="false" outlineLevel="0" collapsed="false">
      <c r="A13" s="16" t="s">
        <v>34</v>
      </c>
      <c r="B13" s="23" t="n">
        <v>0.005</v>
      </c>
      <c r="C13" s="3" t="s">
        <v>76</v>
      </c>
      <c r="D13" s="3" t="s">
        <v>77</v>
      </c>
      <c r="E13" s="2"/>
    </row>
    <row r="14" customFormat="false" ht="15" hidden="false" customHeight="false" outlineLevel="0" collapsed="false">
      <c r="A14" s="16" t="s">
        <v>35</v>
      </c>
      <c r="B14" s="23" t="n">
        <v>0.01</v>
      </c>
      <c r="C14" s="3" t="s">
        <v>76</v>
      </c>
      <c r="D14" s="3" t="s">
        <v>78</v>
      </c>
      <c r="E14" s="2"/>
    </row>
    <row r="15" customFormat="false" ht="15" hidden="false" customHeight="false" outlineLevel="0" collapsed="false">
      <c r="A15" s="16" t="s">
        <v>36</v>
      </c>
      <c r="B15" s="24" t="n">
        <v>0</v>
      </c>
      <c r="C15" s="3" t="s">
        <v>79</v>
      </c>
      <c r="D15" s="3" t="s">
        <v>80</v>
      </c>
      <c r="E15" s="2"/>
    </row>
    <row r="16" customFormat="false" ht="15" hidden="false" customHeight="false" outlineLevel="0" collapsed="false">
      <c r="A16" s="16" t="s">
        <v>81</v>
      </c>
      <c r="B16" s="23" t="n">
        <v>0.005</v>
      </c>
      <c r="C16" s="3" t="s">
        <v>82</v>
      </c>
      <c r="D16" s="3" t="s">
        <v>83</v>
      </c>
      <c r="E16" s="2"/>
    </row>
    <row r="17" customFormat="false" ht="15" hidden="false" customHeight="false" outlineLevel="0" collapsed="false">
      <c r="A17" s="16" t="s">
        <v>84</v>
      </c>
      <c r="B17" s="10" t="n">
        <f aca="false">IF(Inputs!$B$4="Custom (Use My Inputs)",Inputs!$E$17,IF(INDEX(Presets!$C$5:$C$23,MATCH(Inputs!$B$4,Presets!$A$5:$A$23,0))="",Inputs!$E$17,INDEX(Presets!$C$5:$C$23,MATCH(Inputs!$B$4,Presets!$A$5:$A$23,0))))</f>
        <v>2500</v>
      </c>
      <c r="C17" s="3" t="s">
        <v>79</v>
      </c>
      <c r="D17" s="3" t="s">
        <v>85</v>
      </c>
      <c r="E17" s="18" t="n">
        <v>2500</v>
      </c>
    </row>
    <row r="18" customFormat="false" ht="15" hidden="false" customHeight="false" outlineLevel="0" collapsed="false">
      <c r="A18" s="16" t="s">
        <v>86</v>
      </c>
      <c r="B18" s="25" t="n">
        <f aca="false">IF(Inputs!$B$4="Custom (Use My Inputs)",Inputs!$E$18,INDEX(Presets!$G$5:$G$23,MATCH(Inputs!$B$4,Presets!$A$5:$A$23,0)))</f>
        <v>0.035</v>
      </c>
      <c r="C18" s="3" t="s">
        <v>70</v>
      </c>
      <c r="D18" s="3" t="s">
        <v>87</v>
      </c>
      <c r="E18" s="26" t="n">
        <v>0.035</v>
      </c>
    </row>
    <row r="19" customFormat="false" ht="15" hidden="false" customHeight="false" outlineLevel="0" collapsed="false">
      <c r="A19" s="16" t="s">
        <v>88</v>
      </c>
      <c r="B19" s="24" t="n">
        <v>15</v>
      </c>
      <c r="C19" s="3" t="s">
        <v>79</v>
      </c>
      <c r="D19" s="3" t="s">
        <v>89</v>
      </c>
      <c r="E19" s="2"/>
    </row>
    <row r="20" customFormat="false" ht="15" hidden="false" customHeight="false" outlineLevel="0" collapsed="false">
      <c r="A20" s="16" t="s">
        <v>90</v>
      </c>
      <c r="B20" s="25" t="n">
        <f aca="false">IF(Inputs!$B$5="Prices Track Rents",Inputs!$B$18,IF(Inputs!$B$5="Local Historical Trend",IF(Inputs!$B$4="Custom (Use My Inputs)",Inputs!$E$20,INDEX(Presets!$H$5:$H$23,MATCH(Inputs!$B$4,Presets!$A$5:$A$23,0))),Inputs!$E$20))</f>
        <v>0.04</v>
      </c>
      <c r="C20" s="3" t="s">
        <v>70</v>
      </c>
      <c r="D20" s="3" t="s">
        <v>91</v>
      </c>
      <c r="E20" s="26" t="n">
        <v>0.04</v>
      </c>
    </row>
    <row r="21" customFormat="false" ht="15" hidden="false" customHeight="false" outlineLevel="0" collapsed="false">
      <c r="A21" s="16" t="s">
        <v>92</v>
      </c>
      <c r="B21" s="25" t="n">
        <f aca="false">IF(Inputs!$B$6="Custom (Use My Inputs)",Inputs!$E$21,INDEX(Presets!$B$43:$B$46,MATCH(Inputs!$B$6,Presets!$A$43:$A$46,0)))</f>
        <v>0.07</v>
      </c>
      <c r="C21" s="3" t="s">
        <v>70</v>
      </c>
      <c r="D21" s="3" t="s">
        <v>93</v>
      </c>
      <c r="E21" s="26" t="n">
        <v>0.07</v>
      </c>
    </row>
    <row r="22" customFormat="false" ht="15" hidden="false" customHeight="false" outlineLevel="0" collapsed="false">
      <c r="A22" s="16" t="s">
        <v>94</v>
      </c>
      <c r="B22" s="19" t="n">
        <v>0.028</v>
      </c>
      <c r="C22" s="3" t="s">
        <v>70</v>
      </c>
      <c r="D22" s="3" t="s">
        <v>95</v>
      </c>
      <c r="E22" s="2"/>
    </row>
    <row r="23" customFormat="false" ht="15" hidden="false" customHeight="false" outlineLevel="0" collapsed="false">
      <c r="A23" s="16" t="s">
        <v>96</v>
      </c>
      <c r="B23" s="19" t="n">
        <v>0.06</v>
      </c>
      <c r="C23" s="3" t="s">
        <v>97</v>
      </c>
      <c r="D23" s="3" t="s">
        <v>98</v>
      </c>
      <c r="E23" s="2"/>
    </row>
    <row r="24" customFormat="false" ht="15" hidden="false" customHeight="false" outlineLevel="0" collapsed="false">
      <c r="A24" s="16" t="s">
        <v>99</v>
      </c>
      <c r="B24" s="17" t="s">
        <v>100</v>
      </c>
      <c r="C24" s="3"/>
      <c r="D24" s="3" t="s">
        <v>101</v>
      </c>
      <c r="E24" s="2"/>
    </row>
    <row r="25" customFormat="false" ht="15" hidden="false" customHeight="false" outlineLevel="0" collapsed="false">
      <c r="A25" s="16" t="s">
        <v>102</v>
      </c>
      <c r="B25" s="27" t="s">
        <v>103</v>
      </c>
      <c r="C25" s="3"/>
      <c r="D25" s="3" t="s">
        <v>104</v>
      </c>
      <c r="E25" s="2"/>
    </row>
    <row r="26" customFormat="false" ht="15" hidden="false" customHeight="false" outlineLevel="0" collapsed="false">
      <c r="A26" s="16" t="s">
        <v>105</v>
      </c>
      <c r="B26" s="19" t="n">
        <v>0.24</v>
      </c>
      <c r="C26" s="3"/>
      <c r="D26" s="3" t="s">
        <v>106</v>
      </c>
      <c r="E26" s="2"/>
    </row>
    <row r="27" customFormat="false" ht="15" hidden="false" customHeight="false" outlineLevel="0" collapsed="false">
      <c r="A27" s="16" t="s">
        <v>107</v>
      </c>
      <c r="B27" s="24" t="n">
        <v>0</v>
      </c>
      <c r="C27" s="3" t="s">
        <v>108</v>
      </c>
      <c r="D27" s="3" t="s">
        <v>109</v>
      </c>
      <c r="E27" s="2"/>
    </row>
    <row r="28" customFormat="false" ht="15" hidden="false" customHeight="false" outlineLevel="0" collapsed="false">
      <c r="A28" s="16" t="s">
        <v>110</v>
      </c>
      <c r="B28" s="24" t="n">
        <v>0</v>
      </c>
      <c r="C28" s="3" t="s">
        <v>108</v>
      </c>
      <c r="D28" s="3" t="s">
        <v>111</v>
      </c>
      <c r="E28" s="2"/>
    </row>
    <row r="29" customFormat="false" ht="15" hidden="false" customHeight="false" outlineLevel="0" collapsed="false">
      <c r="A29" s="16" t="s">
        <v>112</v>
      </c>
      <c r="B29" s="19" t="n">
        <v>0.15</v>
      </c>
      <c r="C29" s="3"/>
      <c r="D29" s="3" t="s">
        <v>113</v>
      </c>
      <c r="E29" s="2"/>
    </row>
    <row r="30" customFormat="false" ht="15" hidden="false" customHeight="false" outlineLevel="0" collapsed="false">
      <c r="A30" s="16" t="s">
        <v>114</v>
      </c>
      <c r="B30" s="28" t="n">
        <v>30</v>
      </c>
      <c r="C30" s="3" t="s">
        <v>67</v>
      </c>
      <c r="D30" s="3" t="s">
        <v>111</v>
      </c>
      <c r="E30" s="2"/>
    </row>
    <row r="31" customFormat="false" ht="15" hidden="false" customHeight="false" outlineLevel="0" collapsed="false">
      <c r="A31" s="16" t="s">
        <v>115</v>
      </c>
      <c r="B31" s="23" t="n">
        <v>0.011</v>
      </c>
      <c r="C31" s="3" t="s">
        <v>70</v>
      </c>
      <c r="D31" s="3" t="s">
        <v>116</v>
      </c>
      <c r="E31" s="2"/>
    </row>
    <row r="32" customFormat="false" ht="15" hidden="false" customHeight="false" outlineLevel="0" collapsed="false">
      <c r="A32" s="16" t="s">
        <v>117</v>
      </c>
      <c r="B32" s="29" t="str">
        <f aca="false">IF(Inputs!$B$5="Custom (Use My Inputs)",Inputs!$E$32,INDEX(Presets!$B$33:$B$38,MATCH(Inputs!$B$5,Presets!$A$33:$A$38,0)))</f>
        <v>Fixed</v>
      </c>
      <c r="C32" s="3"/>
      <c r="D32" s="3" t="s">
        <v>118</v>
      </c>
      <c r="E32" s="17" t="s">
        <v>119</v>
      </c>
    </row>
    <row r="33" customFormat="false" ht="15" hidden="false" customHeight="false" outlineLevel="0" collapsed="false">
      <c r="A33" s="16" t="s">
        <v>120</v>
      </c>
      <c r="B33" s="25" t="n">
        <f aca="false">IF(Inputs!$B$4="Custom (Use My Inputs)",Inputs!$E$33,INDEX(Presets!$F$5:$F$23,MATCH(Inputs!$B$4,Presets!$A$5:$A$23,0)))</f>
        <v>0.294</v>
      </c>
      <c r="C33" s="3" t="s">
        <v>121</v>
      </c>
      <c r="D33" s="3" t="s">
        <v>122</v>
      </c>
      <c r="E33" s="19" t="n">
        <v>0.294</v>
      </c>
    </row>
    <row r="34" customFormat="false" ht="15" hidden="false" customHeight="false" outlineLevel="0" collapsed="false">
      <c r="A34" s="16" t="s">
        <v>123</v>
      </c>
      <c r="B34" s="30" t="n">
        <f aca="false">IF(Inputs!$B$5="Custom (Use My Inputs)",Inputs!$E$34,IF(INDEX(Presets!$C$33:$C$38,MATCH(Inputs!$B$5,Presets!$A$33:$A$38,0))="",Inputs!$E$34,INDEX(Presets!$C$33:$C$38,MATCH(Inputs!$B$5,Presets!$A$33:$A$38,0))))</f>
        <v>11</v>
      </c>
      <c r="C34" s="3" t="s">
        <v>67</v>
      </c>
      <c r="D34" s="3" t="s">
        <v>124</v>
      </c>
      <c r="E34" s="31" t="n">
        <v>11</v>
      </c>
    </row>
    <row r="35" customFormat="false" ht="15" hidden="false" customHeight="false" outlineLevel="0" collapsed="false">
      <c r="A35" s="16" t="s">
        <v>125</v>
      </c>
      <c r="B35" s="25" t="str">
        <f aca="false">IF(Inputs!$B$4="Custom (Use My Inputs)",IF(Inputs!$E$35="","",Inputs!$E$35),IF(INDEX(Presets!$E$5:$E$23,MATCH(Inputs!$B$4,Presets!$A$5:$A$23,0))="","",INDEX(Presets!$E$5:$E$23,MATCH(Inputs!$B$4,Presets!$A$5:$A$23,0))))</f>
        <v/>
      </c>
      <c r="C35" s="3" t="s">
        <v>126</v>
      </c>
      <c r="D35" s="3" t="s">
        <v>127</v>
      </c>
      <c r="E35" s="19"/>
    </row>
    <row r="36" customFormat="false" ht="15" hidden="false" customHeight="false" outlineLevel="0" collapsed="false">
      <c r="A36" s="2"/>
      <c r="B36" s="2"/>
      <c r="C36" s="2"/>
      <c r="D36" s="2"/>
      <c r="E36" s="2"/>
    </row>
    <row r="37" customFormat="false" ht="15" hidden="false" customHeight="false" outlineLevel="0" collapsed="false">
      <c r="A37" s="4" t="s">
        <v>128</v>
      </c>
      <c r="B37" s="2"/>
      <c r="C37" s="2"/>
      <c r="D37" s="2"/>
      <c r="E37" s="2"/>
    </row>
    <row r="38" customFormat="false" ht="15" hidden="false" customHeight="false" outlineLevel="0" collapsed="false">
      <c r="A38" s="16" t="s">
        <v>129</v>
      </c>
      <c r="B38" s="10" t="n">
        <f aca="false">Inputs!$B$7*Inputs!$B$8</f>
        <v>100000</v>
      </c>
      <c r="C38" s="2"/>
      <c r="D38" s="3"/>
      <c r="E38" s="2"/>
    </row>
    <row r="39" customFormat="false" ht="15" hidden="false" customHeight="false" outlineLevel="0" collapsed="false">
      <c r="A39" s="16" t="s">
        <v>14</v>
      </c>
      <c r="B39" s="10" t="n">
        <f aca="false">Inputs!$B$7-B38</f>
        <v>400000</v>
      </c>
      <c r="C39" s="2"/>
      <c r="D39" s="3"/>
      <c r="E39" s="2"/>
    </row>
    <row r="40" customFormat="false" ht="15" hidden="false" customHeight="false" outlineLevel="0" collapsed="false">
      <c r="A40" s="16" t="s">
        <v>130</v>
      </c>
      <c r="B40" s="10" t="n">
        <f aca="false">Inputs!$B$7*Inputs!$B$11</f>
        <v>12500</v>
      </c>
      <c r="C40" s="2"/>
      <c r="D40" s="3"/>
      <c r="E40" s="2"/>
    </row>
    <row r="41" customFormat="false" ht="15" hidden="false" customHeight="false" outlineLevel="0" collapsed="false">
      <c r="A41" s="16" t="s">
        <v>15</v>
      </c>
      <c r="B41" s="32" t="n">
        <f aca="false">PMT(Inputs!$B$10/12,Inputs!$B$9*12,-B39)</f>
        <v>2736.84912898071</v>
      </c>
      <c r="C41" s="2"/>
      <c r="D41" s="3" t="s">
        <v>131</v>
      </c>
      <c r="E41" s="2"/>
    </row>
    <row r="42" customFormat="false" ht="15" hidden="false" customHeight="false" outlineLevel="0" collapsed="false">
      <c r="A42" s="16" t="s">
        <v>132</v>
      </c>
      <c r="B42" s="33" t="n">
        <f aca="false">(1+Inputs!$B$21)^(1/12)-1</f>
        <v>0.00565414538740527</v>
      </c>
      <c r="C42" s="2"/>
      <c r="D42" s="3" t="s">
        <v>133</v>
      </c>
      <c r="E42" s="2"/>
    </row>
    <row r="43" customFormat="false" ht="15" hidden="false" customHeight="false" outlineLevel="0" collapsed="false">
      <c r="A43" s="16" t="s">
        <v>134</v>
      </c>
      <c r="B43" s="34" t="n">
        <f aca="false">IF(Inputs!$B$8&lt;0.2,1,0)</f>
        <v>0</v>
      </c>
      <c r="C43" s="2"/>
      <c r="D43" s="3"/>
      <c r="E43" s="2"/>
    </row>
    <row r="44" customFormat="false" ht="15" hidden="false" customHeight="false" outlineLevel="0" collapsed="false">
      <c r="A44" s="16" t="s">
        <v>135</v>
      </c>
      <c r="B44" s="10" t="n">
        <f aca="false">IF(Inputs!$B$24="Joint",32200,16100)</f>
        <v>32200</v>
      </c>
      <c r="C44" s="2"/>
      <c r="D44" s="3" t="s">
        <v>136</v>
      </c>
      <c r="E44" s="2"/>
    </row>
    <row r="45" customFormat="false" ht="15" hidden="false" customHeight="false" outlineLevel="0" collapsed="false">
      <c r="A45" s="16" t="s">
        <v>137</v>
      </c>
      <c r="B45" s="10" t="n">
        <f aca="false">IF(Inputs!$B$24="Joint",500000,250000)</f>
        <v>500000</v>
      </c>
      <c r="C45" s="2"/>
      <c r="D45" s="3" t="s">
        <v>138</v>
      </c>
      <c r="E45" s="2"/>
    </row>
    <row r="46" customFormat="false" ht="15" hidden="false" customHeight="false" outlineLevel="0" collapsed="false">
      <c r="A46" s="16" t="s">
        <v>139</v>
      </c>
      <c r="B46" s="24" t="n">
        <v>750000</v>
      </c>
      <c r="C46" s="2"/>
      <c r="D46" s="3" t="s">
        <v>140</v>
      </c>
      <c r="E46" s="2"/>
    </row>
    <row r="47" customFormat="false" ht="15" hidden="false" customHeight="false" outlineLevel="0" collapsed="false">
      <c r="A47" s="16" t="s">
        <v>141</v>
      </c>
      <c r="B47" s="34" t="n">
        <f aca="false">IF(OR(Inputs!$B$24="Single",Inputs!$B$24="Joint"),1,0)</f>
        <v>1</v>
      </c>
      <c r="C47" s="2"/>
      <c r="D47" s="3" t="s">
        <v>142</v>
      </c>
      <c r="E47" s="2"/>
    </row>
    <row r="48" customFormat="false" ht="15" hidden="false" customHeight="false" outlineLevel="0" collapsed="false">
      <c r="A48" s="16" t="s">
        <v>143</v>
      </c>
      <c r="B48" s="33" t="n">
        <f aca="false">Inputs!$B$31/12</f>
        <v>0.000916666666666667</v>
      </c>
      <c r="C48" s="2"/>
      <c r="D48" s="3"/>
      <c r="E48" s="2"/>
    </row>
    <row r="49" customFormat="false" ht="15" hidden="false" customHeight="false" outlineLevel="0" collapsed="false">
      <c r="A49" s="2"/>
      <c r="B49" s="2"/>
      <c r="C49" s="2"/>
      <c r="D49" s="2"/>
      <c r="E49" s="2"/>
    </row>
    <row r="50" customFormat="false" ht="15" hidden="false" customHeight="false" outlineLevel="0" collapsed="false">
      <c r="A50" s="4" t="s">
        <v>144</v>
      </c>
      <c r="B50" s="2"/>
      <c r="C50" s="2"/>
      <c r="D50" s="2"/>
      <c r="E50" s="2"/>
    </row>
    <row r="51" customFormat="false" ht="15" hidden="false" customHeight="false" outlineLevel="0" collapsed="false">
      <c r="A51" s="16" t="s">
        <v>145</v>
      </c>
      <c r="B51" s="24" t="n">
        <v>40400</v>
      </c>
      <c r="C51" s="2"/>
      <c r="D51" s="3" t="s">
        <v>146</v>
      </c>
      <c r="E51" s="2"/>
    </row>
    <row r="52" customFormat="false" ht="15" hidden="false" customHeight="false" outlineLevel="0" collapsed="false">
      <c r="A52" s="16" t="s">
        <v>147</v>
      </c>
      <c r="B52" s="24" t="n">
        <v>40804</v>
      </c>
      <c r="C52" s="2"/>
      <c r="D52" s="2"/>
      <c r="E52" s="2"/>
    </row>
    <row r="53" customFormat="false" ht="15" hidden="false" customHeight="false" outlineLevel="0" collapsed="false">
      <c r="A53" s="16" t="s">
        <v>148</v>
      </c>
      <c r="B53" s="24" t="n">
        <v>41212</v>
      </c>
      <c r="C53" s="2"/>
      <c r="D53" s="2"/>
      <c r="E53" s="2"/>
    </row>
    <row r="54" customFormat="false" ht="15" hidden="false" customHeight="false" outlineLevel="0" collapsed="false">
      <c r="A54" s="16" t="s">
        <v>149</v>
      </c>
      <c r="B54" s="24" t="n">
        <v>41624</v>
      </c>
      <c r="C54" s="2"/>
      <c r="D54" s="2"/>
      <c r="E54" s="2"/>
    </row>
    <row r="55" customFormat="false" ht="15" hidden="false" customHeight="false" outlineLevel="0" collapsed="false">
      <c r="A55" s="16" t="s">
        <v>150</v>
      </c>
      <c r="B55" s="24" t="n">
        <v>10000</v>
      </c>
      <c r="C55" s="2"/>
      <c r="D55" s="2"/>
      <c r="E55" s="2"/>
    </row>
  </sheetData>
  <dataValidations count="9">
    <dataValidation allowBlank="false" errorStyle="stop" operator="between" showDropDown="false" showErrorMessage="false" showInputMessage="false" sqref="B4" type="list">
      <formula1>Presets!$A$5:$A$23</formula1>
      <formula2>0</formula2>
    </dataValidation>
    <dataValidation allowBlank="false" errorStyle="stop" operator="between" showDropDown="false" showErrorMessage="false" showInputMessage="false" sqref="B5" type="list">
      <formula1>Presets!$A$33:$A$38</formula1>
      <formula2>0</formula2>
    </dataValidation>
    <dataValidation allowBlank="false" errorStyle="stop" operator="between" showDropDown="false" showErrorMessage="false" showInputMessage="false" sqref="B6" type="list">
      <formula1>Presets!$A$43:$A$46</formula1>
      <formula2>0</formula2>
    </dataValidation>
    <dataValidation allowBlank="false" errorStyle="stop" operator="between" showDropDown="false" showErrorMessage="false" showInputMessage="false" sqref="B9" type="list">
      <formula1>"15,30"</formula1>
      <formula2>0</formula2>
    </dataValidation>
    <dataValidation allowBlank="false" errorStyle="stop" operator="between" showDropDown="false" showErrorMessage="false" showInputMessage="false" sqref="B24" type="list">
      <formula1>"Single,Joint"</formula1>
      <formula2>0</formula2>
    </dataValidation>
    <dataValidation allowBlank="false" errorStyle="stop" operator="between" showDropDown="false" showErrorMessage="false" showInputMessage="false" sqref="B25" type="list">
      <formula1>"Yes,No"</formula1>
      <formula2>0</formula2>
    </dataValidation>
    <dataValidation allowBlank="false" errorStyle="stop" operator="between" showDropDown="false" showErrorMessage="false" showInputMessage="false" sqref="B30" type="whole">
      <formula1>1</formula1>
      <formula2>50</formula2>
    </dataValidation>
    <dataValidation allowBlank="false" errorStyle="stop" operator="between" showDropDown="false" showErrorMessage="false" showInputMessage="false" sqref="B34" type="decimal">
      <formula1>0.5</formula1>
      <formula2>100</formula2>
    </dataValidation>
    <dataValidation allowBlank="false" errorStyle="stop" operator="between" showDropDown="false" showErrorMessage="false" showInputMessage="false" sqref="B32" type="list">
      <formula1>"Fixed,Revert"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6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2" min="1" style="0" width="14"/>
  </cols>
  <sheetData>
    <row r="1" customFormat="false" ht="26.85" hidden="false" customHeight="false" outlineLevel="0" collapsed="false">
      <c r="A1" s="35" t="s">
        <v>151</v>
      </c>
      <c r="B1" s="35" t="s">
        <v>152</v>
      </c>
      <c r="C1" s="35" t="s">
        <v>153</v>
      </c>
      <c r="D1" s="35" t="s">
        <v>154</v>
      </c>
      <c r="E1" s="35" t="s">
        <v>155</v>
      </c>
      <c r="F1" s="35" t="s">
        <v>156</v>
      </c>
      <c r="G1" s="35" t="s">
        <v>27</v>
      </c>
      <c r="H1" s="35" t="s">
        <v>157</v>
      </c>
      <c r="I1" s="35" t="s">
        <v>33</v>
      </c>
      <c r="J1" s="35" t="s">
        <v>158</v>
      </c>
      <c r="K1" s="35" t="s">
        <v>159</v>
      </c>
      <c r="L1" s="35" t="s">
        <v>160</v>
      </c>
      <c r="M1" s="35" t="s">
        <v>161</v>
      </c>
      <c r="N1" s="35" t="s">
        <v>162</v>
      </c>
      <c r="O1" s="35" t="s">
        <v>163</v>
      </c>
      <c r="P1" s="35" t="s">
        <v>164</v>
      </c>
      <c r="Q1" s="35" t="s">
        <v>165</v>
      </c>
      <c r="R1" s="35" t="s">
        <v>166</v>
      </c>
      <c r="S1" s="35" t="s">
        <v>167</v>
      </c>
      <c r="T1" s="35" t="s">
        <v>168</v>
      </c>
      <c r="U1" s="35" t="s">
        <v>169</v>
      </c>
      <c r="V1" s="35" t="s">
        <v>170</v>
      </c>
    </row>
    <row r="2" customFormat="false" ht="15" hidden="false" customHeight="false" outlineLevel="0" collapsed="false">
      <c r="A2" s="16" t="n">
        <v>1</v>
      </c>
      <c r="B2" s="16" t="n">
        <f aca="false">ROUNDUP(A2/12,0)</f>
        <v>1</v>
      </c>
      <c r="C2" s="10" t="n">
        <f aca="false">Inputs!$B$39</f>
        <v>400000</v>
      </c>
      <c r="D2" s="10" t="n">
        <f aca="false">IF(AND(A2&lt;=Inputs!$B$9*12,C2&gt;0.000001),C2*Inputs!$B$10/12,0)</f>
        <v>2426.66666666667</v>
      </c>
      <c r="E2" s="10" t="n">
        <f aca="false">IF(AND(A2&lt;=Inputs!$B$9*12,C2&gt;0.000001),MIN(C2,Inputs!$B$41-D2),0)</f>
        <v>310.182462314039</v>
      </c>
      <c r="F2" s="10" t="n">
        <f aca="false">C2-E2</f>
        <v>399689.817537686</v>
      </c>
      <c r="G2" s="10" t="n">
        <f aca="false">IF(AND(Inputs!$B$43=1,C2&gt;0.78*Inputs!$B$7,A2&lt;=Inputs!$B$9*6),Inputs!$B$16*Inputs!$B$39/12,0)</f>
        <v>0</v>
      </c>
      <c r="H2" s="10" t="n">
        <f aca="false">IF(B2=1,Inputs!$B$7,INDEX(Annual!$AC$2:$AC$51,B2-1))</f>
        <v>500000</v>
      </c>
      <c r="I2" s="10" t="n">
        <f aca="false">Inputs!$B$12*IF(Inputs!$B$35="",H2,MIN(H2,Inputs!$B$7*(1+Inputs!$B$35)^(B2-1)))/12</f>
        <v>375</v>
      </c>
      <c r="J2" s="10" t="n">
        <f aca="false">Inputs!$B$13*Inputs!$B$7*(1+Inputs!$B$22)^(B2-1)/12</f>
        <v>208.333333333333</v>
      </c>
      <c r="K2" s="10" t="n">
        <f aca="false">Inputs!$B$14*Inputs!$B$7*(1+Inputs!$B$22)^(B2-1)/12</f>
        <v>416.666666666667</v>
      </c>
      <c r="L2" s="10" t="n">
        <f aca="false">Inputs!$B$15*(1+Inputs!$B$22)^(B2-1)</f>
        <v>0</v>
      </c>
      <c r="M2" s="10" t="n">
        <f aca="false">INDEX(Annual!$N$2:$N$51,B2)/12</f>
        <v>0</v>
      </c>
      <c r="N2" s="10" t="n">
        <f aca="false">D2+E2+G2+I2+J2+K2+L2-M2</f>
        <v>3736.84912898071</v>
      </c>
      <c r="O2" s="10" t="n">
        <f aca="false">Inputs!$B$17*(1+Inputs!$B$18)^(B2-1)+Inputs!$B$19*(1+Inputs!$B$22)^(B2-1)</f>
        <v>2515</v>
      </c>
      <c r="P2" s="10" t="n">
        <f aca="false">N2-O2</f>
        <v>1221.84912898071</v>
      </c>
      <c r="Q2" s="10" t="n">
        <f aca="false">(Inputs!$B$38+Inputs!$B$40)*(1+Inputs!$B$42)-U2+MAX(P2,0)</f>
        <v>114342.471735064</v>
      </c>
      <c r="R2" s="10" t="n">
        <f aca="false">(Inputs!$B$38+Inputs!$B$40)+(Inputs!$B$38+Inputs!$B$40)*Inputs!$B$48-U2+MAX(P2,0)</f>
        <v>113809.505378981</v>
      </c>
      <c r="S2" s="10" t="n">
        <f aca="false">0*(1+Inputs!$B$42)-V2+MAX(-P2,0)</f>
        <v>0</v>
      </c>
      <c r="T2" s="10" t="n">
        <f aca="false">0+0*Inputs!$B$48-V2+MAX(-P2,0)</f>
        <v>0</v>
      </c>
      <c r="U2" s="10" t="n">
        <f aca="false">(Inputs!$B$38+Inputs!$B$40)*Inputs!$B$48*Inputs!$B$29</f>
        <v>15.46875</v>
      </c>
      <c r="V2" s="10" t="n">
        <f aca="false">0*Inputs!$B$48*Inputs!$B$29</f>
        <v>0</v>
      </c>
    </row>
    <row r="3" customFormat="false" ht="15" hidden="false" customHeight="false" outlineLevel="0" collapsed="false">
      <c r="A3" s="16" t="n">
        <v>2</v>
      </c>
      <c r="B3" s="16" t="n">
        <f aca="false">ROUNDUP(A3/12,0)</f>
        <v>1</v>
      </c>
      <c r="C3" s="10" t="n">
        <f aca="false">F2</f>
        <v>399689.817537686</v>
      </c>
      <c r="D3" s="10" t="n">
        <f aca="false">IF(AND(A3&lt;=Inputs!$B$9*12,C3&gt;0.000001),C3*Inputs!$B$10/12,0)</f>
        <v>2424.78489306196</v>
      </c>
      <c r="E3" s="10" t="n">
        <f aca="false">IF(AND(A3&lt;=Inputs!$B$9*12,C3&gt;0.000001),MIN(C3,Inputs!$B$41-D3),0)</f>
        <v>312.064235918744</v>
      </c>
      <c r="F3" s="10" t="n">
        <f aca="false">C3-E3</f>
        <v>399377.753301767</v>
      </c>
      <c r="G3" s="10" t="n">
        <f aca="false">IF(AND(Inputs!$B$43=1,C3&gt;0.78*Inputs!$B$7,A3&lt;=Inputs!$B$9*6),Inputs!$B$16*Inputs!$B$39/12,0)</f>
        <v>0</v>
      </c>
      <c r="H3" s="10" t="n">
        <f aca="false">IF(B3=1,Inputs!$B$7,INDEX(Annual!$AC$2:$AC$51,B3-1))</f>
        <v>500000</v>
      </c>
      <c r="I3" s="10" t="n">
        <f aca="false">Inputs!$B$12*IF(Inputs!$B$35="",H3,MIN(H3,Inputs!$B$7*(1+Inputs!$B$35)^(B3-1)))/12</f>
        <v>375</v>
      </c>
      <c r="J3" s="10" t="n">
        <f aca="false">Inputs!$B$13*Inputs!$B$7*(1+Inputs!$B$22)^(B3-1)/12</f>
        <v>208.333333333333</v>
      </c>
      <c r="K3" s="10" t="n">
        <f aca="false">Inputs!$B$14*Inputs!$B$7*(1+Inputs!$B$22)^(B3-1)/12</f>
        <v>416.666666666667</v>
      </c>
      <c r="L3" s="10" t="n">
        <f aca="false">Inputs!$B$15*(1+Inputs!$B$22)^(B3-1)</f>
        <v>0</v>
      </c>
      <c r="M3" s="10" t="n">
        <f aca="false">INDEX(Annual!$N$2:$N$51,B3)/12</f>
        <v>0</v>
      </c>
      <c r="N3" s="10" t="n">
        <f aca="false">D3+E3+G3+I3+J3+K3+L3-M3</f>
        <v>3736.84912898071</v>
      </c>
      <c r="O3" s="10" t="n">
        <f aca="false">Inputs!$B$17*(1+Inputs!$B$18)^(B3-1)+Inputs!$B$19*(1+Inputs!$B$22)^(B3-1)</f>
        <v>2515</v>
      </c>
      <c r="P3" s="10" t="n">
        <f aca="false">N3-O3</f>
        <v>1221.84912898071</v>
      </c>
      <c r="Q3" s="10" t="n">
        <f aca="false">Q2*(1+Inputs!$B$42)-U3+MAX(P3,0)</f>
        <v>116195.107733326</v>
      </c>
      <c r="R3" s="10" t="n">
        <f aca="false">R2+Q2*Inputs!$B$48-U3+MAX(P3,0)</f>
        <v>115120.446350522</v>
      </c>
      <c r="S3" s="10" t="n">
        <f aca="false">S2*(1+Inputs!$B$42)-V3+MAX(-P3,0)</f>
        <v>0</v>
      </c>
      <c r="T3" s="10" t="n">
        <f aca="false">T2+S2*Inputs!$B$48-V3+MAX(-P3,0)</f>
        <v>0</v>
      </c>
      <c r="U3" s="10" t="n">
        <f aca="false">Q2*Inputs!$B$48*Inputs!$B$29</f>
        <v>15.7220898635713</v>
      </c>
      <c r="V3" s="10" t="n">
        <f aca="false">S2*Inputs!$B$48*Inputs!$B$29</f>
        <v>0</v>
      </c>
    </row>
    <row r="4" customFormat="false" ht="15" hidden="false" customHeight="false" outlineLevel="0" collapsed="false">
      <c r="A4" s="16" t="n">
        <v>3</v>
      </c>
      <c r="B4" s="16" t="n">
        <f aca="false">ROUNDUP(A4/12,0)</f>
        <v>1</v>
      </c>
      <c r="C4" s="10" t="n">
        <f aca="false">F3</f>
        <v>399377.753301767</v>
      </c>
      <c r="D4" s="10" t="n">
        <f aca="false">IF(AND(A4&lt;=Inputs!$B$9*12,C4&gt;0.000001),C4*Inputs!$B$10/12,0)</f>
        <v>2422.89170336405</v>
      </c>
      <c r="E4" s="10" t="n">
        <f aca="false">IF(AND(A4&lt;=Inputs!$B$9*12,C4&gt;0.000001),MIN(C4,Inputs!$B$41-D4),0)</f>
        <v>313.957425616651</v>
      </c>
      <c r="F4" s="10" t="n">
        <f aca="false">C4-E4</f>
        <v>399063.795876151</v>
      </c>
      <c r="G4" s="10" t="n">
        <f aca="false">IF(AND(Inputs!$B$43=1,C4&gt;0.78*Inputs!$B$7,A4&lt;=Inputs!$B$9*6),Inputs!$B$16*Inputs!$B$39/12,0)</f>
        <v>0</v>
      </c>
      <c r="H4" s="10" t="n">
        <f aca="false">IF(B4=1,Inputs!$B$7,INDEX(Annual!$AC$2:$AC$51,B4-1))</f>
        <v>500000</v>
      </c>
      <c r="I4" s="10" t="n">
        <f aca="false">Inputs!$B$12*IF(Inputs!$B$35="",H4,MIN(H4,Inputs!$B$7*(1+Inputs!$B$35)^(B4-1)))/12</f>
        <v>375</v>
      </c>
      <c r="J4" s="10" t="n">
        <f aca="false">Inputs!$B$13*Inputs!$B$7*(1+Inputs!$B$22)^(B4-1)/12</f>
        <v>208.333333333333</v>
      </c>
      <c r="K4" s="10" t="n">
        <f aca="false">Inputs!$B$14*Inputs!$B$7*(1+Inputs!$B$22)^(B4-1)/12</f>
        <v>416.666666666667</v>
      </c>
      <c r="L4" s="10" t="n">
        <f aca="false">Inputs!$B$15*(1+Inputs!$B$22)^(B4-1)</f>
        <v>0</v>
      </c>
      <c r="M4" s="10" t="n">
        <f aca="false">INDEX(Annual!$N$2:$N$51,B4)/12</f>
        <v>0</v>
      </c>
      <c r="N4" s="10" t="n">
        <f aca="false">D4+E4+G4+I4+J4+K4+L4-M4</f>
        <v>3736.84912898071</v>
      </c>
      <c r="O4" s="10" t="n">
        <f aca="false">Inputs!$B$17*(1+Inputs!$B$18)^(B4-1)+Inputs!$B$19*(1+Inputs!$B$22)^(B4-1)</f>
        <v>2515</v>
      </c>
      <c r="P4" s="10" t="n">
        <f aca="false">N4-O4</f>
        <v>1221.84912898071</v>
      </c>
      <c r="Q4" s="10" t="n">
        <f aca="false">Q3*(1+Inputs!$B$42)-U4+MAX(P4,0)</f>
        <v>118057.964067423</v>
      </c>
      <c r="R4" s="10" t="n">
        <f aca="false">R3+Q3*Inputs!$B$48-U4+MAX(P4,0)</f>
        <v>116432.830834278</v>
      </c>
      <c r="S4" s="10" t="n">
        <f aca="false">S3*(1+Inputs!$B$42)-V4+MAX(-P4,0)</f>
        <v>0</v>
      </c>
      <c r="T4" s="10" t="n">
        <f aca="false">T3+S3*Inputs!$B$48-V4+MAX(-P4,0)</f>
        <v>0</v>
      </c>
      <c r="U4" s="10" t="n">
        <f aca="false">Q3*Inputs!$B$48*Inputs!$B$29</f>
        <v>15.9768273133324</v>
      </c>
      <c r="V4" s="10" t="n">
        <f aca="false">S3*Inputs!$B$48*Inputs!$B$29</f>
        <v>0</v>
      </c>
    </row>
    <row r="5" customFormat="false" ht="15" hidden="false" customHeight="false" outlineLevel="0" collapsed="false">
      <c r="A5" s="16" t="n">
        <v>4</v>
      </c>
      <c r="B5" s="16" t="n">
        <f aca="false">ROUNDUP(A5/12,0)</f>
        <v>1</v>
      </c>
      <c r="C5" s="10" t="n">
        <f aca="false">F4</f>
        <v>399063.795876151</v>
      </c>
      <c r="D5" s="10" t="n">
        <f aca="false">IF(AND(A5&lt;=Inputs!$B$9*12,C5&gt;0.000001),C5*Inputs!$B$10/12,0)</f>
        <v>2420.98702831531</v>
      </c>
      <c r="E5" s="10" t="n">
        <f aca="false">IF(AND(A5&lt;=Inputs!$B$9*12,C5&gt;0.000001),MIN(C5,Inputs!$B$41-D5),0)</f>
        <v>315.862100665392</v>
      </c>
      <c r="F5" s="10" t="n">
        <f aca="false">C5-E5</f>
        <v>398747.933775485</v>
      </c>
      <c r="G5" s="10" t="n">
        <f aca="false">IF(AND(Inputs!$B$43=1,C5&gt;0.78*Inputs!$B$7,A5&lt;=Inputs!$B$9*6),Inputs!$B$16*Inputs!$B$39/12,0)</f>
        <v>0</v>
      </c>
      <c r="H5" s="10" t="n">
        <f aca="false">IF(B5=1,Inputs!$B$7,INDEX(Annual!$AC$2:$AC$51,B5-1))</f>
        <v>500000</v>
      </c>
      <c r="I5" s="10" t="n">
        <f aca="false">Inputs!$B$12*IF(Inputs!$B$35="",H5,MIN(H5,Inputs!$B$7*(1+Inputs!$B$35)^(B5-1)))/12</f>
        <v>375</v>
      </c>
      <c r="J5" s="10" t="n">
        <f aca="false">Inputs!$B$13*Inputs!$B$7*(1+Inputs!$B$22)^(B5-1)/12</f>
        <v>208.333333333333</v>
      </c>
      <c r="K5" s="10" t="n">
        <f aca="false">Inputs!$B$14*Inputs!$B$7*(1+Inputs!$B$22)^(B5-1)/12</f>
        <v>416.666666666667</v>
      </c>
      <c r="L5" s="10" t="n">
        <f aca="false">Inputs!$B$15*(1+Inputs!$B$22)^(B5-1)</f>
        <v>0</v>
      </c>
      <c r="M5" s="10" t="n">
        <f aca="false">INDEX(Annual!$N$2:$N$51,B5)/12</f>
        <v>0</v>
      </c>
      <c r="N5" s="10" t="n">
        <f aca="false">D5+E5+G5+I5+J5+K5+L5-M5</f>
        <v>3736.84912898071</v>
      </c>
      <c r="O5" s="10" t="n">
        <f aca="false">Inputs!$B$17*(1+Inputs!$B$18)^(B5-1)+Inputs!$B$19*(1+Inputs!$B$22)^(B5-1)</f>
        <v>2515</v>
      </c>
      <c r="P5" s="10" t="n">
        <f aca="false">N5-O5</f>
        <v>1221.84912898071</v>
      </c>
      <c r="Q5" s="10" t="n">
        <f aca="false">Q4*(1+Inputs!$B$42)-U5+MAX(P5,0)</f>
        <v>119931.097119323</v>
      </c>
      <c r="R5" s="10" t="n">
        <f aca="false">R4+Q4*Inputs!$B$48-U5+MAX(P5,0)</f>
        <v>117746.666793594</v>
      </c>
      <c r="S5" s="10" t="n">
        <f aca="false">S4*(1+Inputs!$B$42)-V5+MAX(-P5,0)</f>
        <v>0</v>
      </c>
      <c r="T5" s="10" t="n">
        <f aca="false">T4+S4*Inputs!$B$48-V5+MAX(-P5,0)</f>
        <v>0</v>
      </c>
      <c r="U5" s="10" t="n">
        <f aca="false">Q4*Inputs!$B$48*Inputs!$B$29</f>
        <v>16.2329700592707</v>
      </c>
      <c r="V5" s="10" t="n">
        <f aca="false">S4*Inputs!$B$48*Inputs!$B$29</f>
        <v>0</v>
      </c>
    </row>
    <row r="6" customFormat="false" ht="15" hidden="false" customHeight="false" outlineLevel="0" collapsed="false">
      <c r="A6" s="16" t="n">
        <v>5</v>
      </c>
      <c r="B6" s="16" t="n">
        <f aca="false">ROUNDUP(A6/12,0)</f>
        <v>1</v>
      </c>
      <c r="C6" s="10" t="n">
        <f aca="false">F5</f>
        <v>398747.933775485</v>
      </c>
      <c r="D6" s="10" t="n">
        <f aca="false">IF(AND(A6&lt;=Inputs!$B$9*12,C6&gt;0.000001),C6*Inputs!$B$10/12,0)</f>
        <v>2419.07079823794</v>
      </c>
      <c r="E6" s="10" t="n">
        <f aca="false">IF(AND(A6&lt;=Inputs!$B$9*12,C6&gt;0.000001),MIN(C6,Inputs!$B$41-D6),0)</f>
        <v>317.778330742762</v>
      </c>
      <c r="F6" s="10" t="n">
        <f aca="false">C6-E6</f>
        <v>398430.155444742</v>
      </c>
      <c r="G6" s="10" t="n">
        <f aca="false">IF(AND(Inputs!$B$43=1,C6&gt;0.78*Inputs!$B$7,A6&lt;=Inputs!$B$9*6),Inputs!$B$16*Inputs!$B$39/12,0)</f>
        <v>0</v>
      </c>
      <c r="H6" s="10" t="n">
        <f aca="false">IF(B6=1,Inputs!$B$7,INDEX(Annual!$AC$2:$AC$51,B6-1))</f>
        <v>500000</v>
      </c>
      <c r="I6" s="10" t="n">
        <f aca="false">Inputs!$B$12*IF(Inputs!$B$35="",H6,MIN(H6,Inputs!$B$7*(1+Inputs!$B$35)^(B6-1)))/12</f>
        <v>375</v>
      </c>
      <c r="J6" s="10" t="n">
        <f aca="false">Inputs!$B$13*Inputs!$B$7*(1+Inputs!$B$22)^(B6-1)/12</f>
        <v>208.333333333333</v>
      </c>
      <c r="K6" s="10" t="n">
        <f aca="false">Inputs!$B$14*Inputs!$B$7*(1+Inputs!$B$22)^(B6-1)/12</f>
        <v>416.666666666667</v>
      </c>
      <c r="L6" s="10" t="n">
        <f aca="false">Inputs!$B$15*(1+Inputs!$B$22)^(B6-1)</f>
        <v>0</v>
      </c>
      <c r="M6" s="10" t="n">
        <f aca="false">INDEX(Annual!$N$2:$N$51,B6)/12</f>
        <v>0</v>
      </c>
      <c r="N6" s="10" t="n">
        <f aca="false">D6+E6+G6+I6+J6+K6+L6-M6</f>
        <v>3736.84912898071</v>
      </c>
      <c r="O6" s="10" t="n">
        <f aca="false">Inputs!$B$17*(1+Inputs!$B$18)^(B6-1)+Inputs!$B$19*(1+Inputs!$B$22)^(B6-1)</f>
        <v>2515</v>
      </c>
      <c r="P6" s="10" t="n">
        <f aca="false">N6-O6</f>
        <v>1221.84912898071</v>
      </c>
      <c r="Q6" s="10" t="n">
        <f aca="false">Q5*(1+Inputs!$B$42)-U6+MAX(P6,0)</f>
        <v>121814.563582033</v>
      </c>
      <c r="R6" s="10" t="n">
        <f aca="false">R5+Q5*Inputs!$B$48-U6+MAX(P6,0)</f>
        <v>119061.962235747</v>
      </c>
      <c r="S6" s="10" t="n">
        <f aca="false">S5*(1+Inputs!$B$42)-V6+MAX(-P6,0)</f>
        <v>0</v>
      </c>
      <c r="T6" s="10" t="n">
        <f aca="false">T5+S5*Inputs!$B$48-V6+MAX(-P6,0)</f>
        <v>0</v>
      </c>
      <c r="U6" s="10" t="n">
        <f aca="false">Q5*Inputs!$B$48*Inputs!$B$29</f>
        <v>16.4905258539069</v>
      </c>
      <c r="V6" s="10" t="n">
        <f aca="false">S5*Inputs!$B$48*Inputs!$B$29</f>
        <v>0</v>
      </c>
    </row>
    <row r="7" customFormat="false" ht="15" hidden="false" customHeight="false" outlineLevel="0" collapsed="false">
      <c r="A7" s="16" t="n">
        <v>6</v>
      </c>
      <c r="B7" s="16" t="n">
        <f aca="false">ROUNDUP(A7/12,0)</f>
        <v>1</v>
      </c>
      <c r="C7" s="10" t="n">
        <f aca="false">F6</f>
        <v>398430.155444742</v>
      </c>
      <c r="D7" s="10" t="n">
        <f aca="false">IF(AND(A7&lt;=Inputs!$B$9*12,C7&gt;0.000001),C7*Inputs!$B$10/12,0)</f>
        <v>2417.14294303144</v>
      </c>
      <c r="E7" s="10" t="n">
        <f aca="false">IF(AND(A7&lt;=Inputs!$B$9*12,C7&gt;0.000001),MIN(C7,Inputs!$B$41-D7),0)</f>
        <v>319.706185949268</v>
      </c>
      <c r="F7" s="10" t="n">
        <f aca="false">C7-E7</f>
        <v>398110.449258793</v>
      </c>
      <c r="G7" s="10" t="n">
        <f aca="false">IF(AND(Inputs!$B$43=1,C7&gt;0.78*Inputs!$B$7,A7&lt;=Inputs!$B$9*6),Inputs!$B$16*Inputs!$B$39/12,0)</f>
        <v>0</v>
      </c>
      <c r="H7" s="10" t="n">
        <f aca="false">IF(B7=1,Inputs!$B$7,INDEX(Annual!$AC$2:$AC$51,B7-1))</f>
        <v>500000</v>
      </c>
      <c r="I7" s="10" t="n">
        <f aca="false">Inputs!$B$12*IF(Inputs!$B$35="",H7,MIN(H7,Inputs!$B$7*(1+Inputs!$B$35)^(B7-1)))/12</f>
        <v>375</v>
      </c>
      <c r="J7" s="10" t="n">
        <f aca="false">Inputs!$B$13*Inputs!$B$7*(1+Inputs!$B$22)^(B7-1)/12</f>
        <v>208.333333333333</v>
      </c>
      <c r="K7" s="10" t="n">
        <f aca="false">Inputs!$B$14*Inputs!$B$7*(1+Inputs!$B$22)^(B7-1)/12</f>
        <v>416.666666666667</v>
      </c>
      <c r="L7" s="10" t="n">
        <f aca="false">Inputs!$B$15*(1+Inputs!$B$22)^(B7-1)</f>
        <v>0</v>
      </c>
      <c r="M7" s="10" t="n">
        <f aca="false">INDEX(Annual!$N$2:$N$51,B7)/12</f>
        <v>0</v>
      </c>
      <c r="N7" s="10" t="n">
        <f aca="false">D7+E7+G7+I7+J7+K7+L7-M7</f>
        <v>3736.84912898071</v>
      </c>
      <c r="O7" s="10" t="n">
        <f aca="false">Inputs!$B$17*(1+Inputs!$B$18)^(B7-1)+Inputs!$B$19*(1+Inputs!$B$22)^(B7-1)</f>
        <v>2515</v>
      </c>
      <c r="P7" s="10" t="n">
        <f aca="false">N7-O7</f>
        <v>1221.84912898071</v>
      </c>
      <c r="Q7" s="10" t="n">
        <f aca="false">Q6*(1+Inputs!$B$42)-U7+MAX(P7,0)</f>
        <v>123708.420461318</v>
      </c>
      <c r="R7" s="10" t="n">
        <f aca="false">R6+Q6*Inputs!$B$48-U7+MAX(P7,0)</f>
        <v>120378.725212186</v>
      </c>
      <c r="S7" s="10" t="n">
        <f aca="false">S6*(1+Inputs!$B$42)-V7+MAX(-P7,0)</f>
        <v>0</v>
      </c>
      <c r="T7" s="10" t="n">
        <f aca="false">T6+S6*Inputs!$B$48-V7+MAX(-P7,0)</f>
        <v>0</v>
      </c>
      <c r="U7" s="10" t="n">
        <f aca="false">Q6*Inputs!$B$48*Inputs!$B$29</f>
        <v>16.7495024925296</v>
      </c>
      <c r="V7" s="10" t="n">
        <f aca="false">S6*Inputs!$B$48*Inputs!$B$29</f>
        <v>0</v>
      </c>
    </row>
    <row r="8" customFormat="false" ht="15" hidden="false" customHeight="false" outlineLevel="0" collapsed="false">
      <c r="A8" s="16" t="n">
        <v>7</v>
      </c>
      <c r="B8" s="16" t="n">
        <f aca="false">ROUNDUP(A8/12,0)</f>
        <v>1</v>
      </c>
      <c r="C8" s="10" t="n">
        <f aca="false">F7</f>
        <v>398110.449258793</v>
      </c>
      <c r="D8" s="10" t="n">
        <f aca="false">IF(AND(A8&lt;=Inputs!$B$9*12,C8&gt;0.000001),C8*Inputs!$B$10/12,0)</f>
        <v>2415.20339217001</v>
      </c>
      <c r="E8" s="10" t="n">
        <f aca="false">IF(AND(A8&lt;=Inputs!$B$9*12,C8&gt;0.000001),MIN(C8,Inputs!$B$41-D8),0)</f>
        <v>321.645736810694</v>
      </c>
      <c r="F8" s="10" t="n">
        <f aca="false">C8-E8</f>
        <v>397788.803521982</v>
      </c>
      <c r="G8" s="10" t="n">
        <f aca="false">IF(AND(Inputs!$B$43=1,C8&gt;0.78*Inputs!$B$7,A8&lt;=Inputs!$B$9*6),Inputs!$B$16*Inputs!$B$39/12,0)</f>
        <v>0</v>
      </c>
      <c r="H8" s="10" t="n">
        <f aca="false">IF(B8=1,Inputs!$B$7,INDEX(Annual!$AC$2:$AC$51,B8-1))</f>
        <v>500000</v>
      </c>
      <c r="I8" s="10" t="n">
        <f aca="false">Inputs!$B$12*IF(Inputs!$B$35="",H8,MIN(H8,Inputs!$B$7*(1+Inputs!$B$35)^(B8-1)))/12</f>
        <v>375</v>
      </c>
      <c r="J8" s="10" t="n">
        <f aca="false">Inputs!$B$13*Inputs!$B$7*(1+Inputs!$B$22)^(B8-1)/12</f>
        <v>208.333333333333</v>
      </c>
      <c r="K8" s="10" t="n">
        <f aca="false">Inputs!$B$14*Inputs!$B$7*(1+Inputs!$B$22)^(B8-1)/12</f>
        <v>416.666666666667</v>
      </c>
      <c r="L8" s="10" t="n">
        <f aca="false">Inputs!$B$15*(1+Inputs!$B$22)^(B8-1)</f>
        <v>0</v>
      </c>
      <c r="M8" s="10" t="n">
        <f aca="false">INDEX(Annual!$N$2:$N$51,B8)/12</f>
        <v>0</v>
      </c>
      <c r="N8" s="10" t="n">
        <f aca="false">D8+E8+G8+I8+J8+K8+L8-M8</f>
        <v>3736.84912898071</v>
      </c>
      <c r="O8" s="10" t="n">
        <f aca="false">Inputs!$B$17*(1+Inputs!$B$18)^(B8-1)+Inputs!$B$19*(1+Inputs!$B$22)^(B8-1)</f>
        <v>2515</v>
      </c>
      <c r="P8" s="10" t="n">
        <f aca="false">N8-O8</f>
        <v>1221.84912898071</v>
      </c>
      <c r="Q8" s="10" t="n">
        <f aca="false">Q7*(1+Inputs!$B$42)-U8+MAX(P8,0)</f>
        <v>125612.725077419</v>
      </c>
      <c r="R8" s="10" t="n">
        <f aca="false">R7+Q7*Inputs!$B$48-U8+MAX(P8,0)</f>
        <v>121696.963818776</v>
      </c>
      <c r="S8" s="10" t="n">
        <f aca="false">S7*(1+Inputs!$B$42)-V8+MAX(-P8,0)</f>
        <v>0</v>
      </c>
      <c r="T8" s="10" t="n">
        <f aca="false">T7+S7*Inputs!$B$48-V8+MAX(-P8,0)</f>
        <v>0</v>
      </c>
      <c r="U8" s="10" t="n">
        <f aca="false">Q7*Inputs!$B$48*Inputs!$B$29</f>
        <v>17.0099078134312</v>
      </c>
      <c r="V8" s="10" t="n">
        <f aca="false">S7*Inputs!$B$48*Inputs!$B$29</f>
        <v>0</v>
      </c>
    </row>
    <row r="9" customFormat="false" ht="15" hidden="false" customHeight="false" outlineLevel="0" collapsed="false">
      <c r="A9" s="16" t="n">
        <v>8</v>
      </c>
      <c r="B9" s="16" t="n">
        <f aca="false">ROUNDUP(A9/12,0)</f>
        <v>1</v>
      </c>
      <c r="C9" s="10" t="n">
        <f aca="false">F8</f>
        <v>397788.803521982</v>
      </c>
      <c r="D9" s="10" t="n">
        <f aca="false">IF(AND(A9&lt;=Inputs!$B$9*12,C9&gt;0.000001),C9*Inputs!$B$10/12,0)</f>
        <v>2413.25207470003</v>
      </c>
      <c r="E9" s="10" t="n">
        <f aca="false">IF(AND(A9&lt;=Inputs!$B$9*12,C9&gt;0.000001),MIN(C9,Inputs!$B$41-D9),0)</f>
        <v>323.597054280679</v>
      </c>
      <c r="F9" s="10" t="n">
        <f aca="false">C9-E9</f>
        <v>397465.206467702</v>
      </c>
      <c r="G9" s="10" t="n">
        <f aca="false">IF(AND(Inputs!$B$43=1,C9&gt;0.78*Inputs!$B$7,A9&lt;=Inputs!$B$9*6),Inputs!$B$16*Inputs!$B$39/12,0)</f>
        <v>0</v>
      </c>
      <c r="H9" s="10" t="n">
        <f aca="false">IF(B9=1,Inputs!$B$7,INDEX(Annual!$AC$2:$AC$51,B9-1))</f>
        <v>500000</v>
      </c>
      <c r="I9" s="10" t="n">
        <f aca="false">Inputs!$B$12*IF(Inputs!$B$35="",H9,MIN(H9,Inputs!$B$7*(1+Inputs!$B$35)^(B9-1)))/12</f>
        <v>375</v>
      </c>
      <c r="J9" s="10" t="n">
        <f aca="false">Inputs!$B$13*Inputs!$B$7*(1+Inputs!$B$22)^(B9-1)/12</f>
        <v>208.333333333333</v>
      </c>
      <c r="K9" s="10" t="n">
        <f aca="false">Inputs!$B$14*Inputs!$B$7*(1+Inputs!$B$22)^(B9-1)/12</f>
        <v>416.666666666667</v>
      </c>
      <c r="L9" s="10" t="n">
        <f aca="false">Inputs!$B$15*(1+Inputs!$B$22)^(B9-1)</f>
        <v>0</v>
      </c>
      <c r="M9" s="10" t="n">
        <f aca="false">INDEX(Annual!$N$2:$N$51,B9)/12</f>
        <v>0</v>
      </c>
      <c r="N9" s="10" t="n">
        <f aca="false">D9+E9+G9+I9+J9+K9+L9-M9</f>
        <v>3736.84912898071</v>
      </c>
      <c r="O9" s="10" t="n">
        <f aca="false">Inputs!$B$17*(1+Inputs!$B$18)^(B9-1)+Inputs!$B$19*(1+Inputs!$B$22)^(B9-1)</f>
        <v>2515</v>
      </c>
      <c r="P9" s="10" t="n">
        <f aca="false">N9-O9</f>
        <v>1221.84912898071</v>
      </c>
      <c r="Q9" s="10" t="n">
        <f aca="false">Q8*(1+Inputs!$B$42)-U9+MAX(P9,0)</f>
        <v>127527.535066798</v>
      </c>
      <c r="R9" s="10" t="n">
        <f aca="false">R8+Q8*Inputs!$B$48-U9+MAX(P9,0)</f>
        <v>123016.686196046</v>
      </c>
      <c r="S9" s="10" t="n">
        <f aca="false">S8*(1+Inputs!$B$42)-V9+MAX(-P9,0)</f>
        <v>0</v>
      </c>
      <c r="T9" s="10" t="n">
        <f aca="false">T8+S8*Inputs!$B$48-V9+MAX(-P9,0)</f>
        <v>0</v>
      </c>
      <c r="U9" s="10" t="n">
        <f aca="false">Q8*Inputs!$B$48*Inputs!$B$29</f>
        <v>17.2717496981452</v>
      </c>
      <c r="V9" s="10" t="n">
        <f aca="false">S8*Inputs!$B$48*Inputs!$B$29</f>
        <v>0</v>
      </c>
    </row>
    <row r="10" customFormat="false" ht="15" hidden="false" customHeight="false" outlineLevel="0" collapsed="false">
      <c r="A10" s="16" t="n">
        <v>9</v>
      </c>
      <c r="B10" s="16" t="n">
        <f aca="false">ROUNDUP(A10/12,0)</f>
        <v>1</v>
      </c>
      <c r="C10" s="10" t="n">
        <f aca="false">F9</f>
        <v>397465.206467702</v>
      </c>
      <c r="D10" s="10" t="n">
        <f aca="false">IF(AND(A10&lt;=Inputs!$B$9*12,C10&gt;0.000001),C10*Inputs!$B$10/12,0)</f>
        <v>2411.28891923739</v>
      </c>
      <c r="E10" s="10" t="n">
        <f aca="false">IF(AND(A10&lt;=Inputs!$B$9*12,C10&gt;0.000001),MIN(C10,Inputs!$B$41-D10),0)</f>
        <v>325.560209743315</v>
      </c>
      <c r="F10" s="10" t="n">
        <f aca="false">C10-E10</f>
        <v>397139.646257958</v>
      </c>
      <c r="G10" s="10" t="n">
        <f aca="false">IF(AND(Inputs!$B$43=1,C10&gt;0.78*Inputs!$B$7,A10&lt;=Inputs!$B$9*6),Inputs!$B$16*Inputs!$B$39/12,0)</f>
        <v>0</v>
      </c>
      <c r="H10" s="10" t="n">
        <f aca="false">IF(B10=1,Inputs!$B$7,INDEX(Annual!$AC$2:$AC$51,B10-1))</f>
        <v>500000</v>
      </c>
      <c r="I10" s="10" t="n">
        <f aca="false">Inputs!$B$12*IF(Inputs!$B$35="",H10,MIN(H10,Inputs!$B$7*(1+Inputs!$B$35)^(B10-1)))/12</f>
        <v>375</v>
      </c>
      <c r="J10" s="10" t="n">
        <f aca="false">Inputs!$B$13*Inputs!$B$7*(1+Inputs!$B$22)^(B10-1)/12</f>
        <v>208.333333333333</v>
      </c>
      <c r="K10" s="10" t="n">
        <f aca="false">Inputs!$B$14*Inputs!$B$7*(1+Inputs!$B$22)^(B10-1)/12</f>
        <v>416.666666666667</v>
      </c>
      <c r="L10" s="10" t="n">
        <f aca="false">Inputs!$B$15*(1+Inputs!$B$22)^(B10-1)</f>
        <v>0</v>
      </c>
      <c r="M10" s="10" t="n">
        <f aca="false">INDEX(Annual!$N$2:$N$51,B10)/12</f>
        <v>0</v>
      </c>
      <c r="N10" s="10" t="n">
        <f aca="false">D10+E10+G10+I10+J10+K10+L10-M10</f>
        <v>3736.84912898071</v>
      </c>
      <c r="O10" s="10" t="n">
        <f aca="false">Inputs!$B$17*(1+Inputs!$B$18)^(B10-1)+Inputs!$B$19*(1+Inputs!$B$22)^(B10-1)</f>
        <v>2515</v>
      </c>
      <c r="P10" s="10" t="n">
        <f aca="false">N10-O10</f>
        <v>1221.84912898071</v>
      </c>
      <c r="Q10" s="10" t="n">
        <f aca="false">Q9*(1+Inputs!$B$42)-U10+MAX(P10,0)</f>
        <v>129452.908383872</v>
      </c>
      <c r="R10" s="10" t="n">
        <f aca="false">R9+Q9*Inputs!$B$48-U10+MAX(P10,0)</f>
        <v>124337.900529433</v>
      </c>
      <c r="S10" s="10" t="n">
        <f aca="false">S9*(1+Inputs!$B$42)-V10+MAX(-P10,0)</f>
        <v>0</v>
      </c>
      <c r="T10" s="10" t="n">
        <f aca="false">T9+S9*Inputs!$B$48-V10+MAX(-P10,0)</f>
        <v>0</v>
      </c>
      <c r="U10" s="10" t="n">
        <f aca="false">Q9*Inputs!$B$48*Inputs!$B$29</f>
        <v>17.5350360716847</v>
      </c>
      <c r="V10" s="10" t="n">
        <f aca="false">S9*Inputs!$B$48*Inputs!$B$29</f>
        <v>0</v>
      </c>
    </row>
    <row r="11" customFormat="false" ht="15" hidden="false" customHeight="false" outlineLevel="0" collapsed="false">
      <c r="A11" s="16" t="n">
        <v>10</v>
      </c>
      <c r="B11" s="16" t="n">
        <f aca="false">ROUNDUP(A11/12,0)</f>
        <v>1</v>
      </c>
      <c r="C11" s="10" t="n">
        <f aca="false">F10</f>
        <v>397139.646257958</v>
      </c>
      <c r="D11" s="10" t="n">
        <f aca="false">IF(AND(A11&lt;=Inputs!$B$9*12,C11&gt;0.000001),C11*Inputs!$B$10/12,0)</f>
        <v>2409.31385396495</v>
      </c>
      <c r="E11" s="10" t="n">
        <f aca="false">IF(AND(A11&lt;=Inputs!$B$9*12,C11&gt;0.000001),MIN(C11,Inputs!$B$41-D11),0)</f>
        <v>327.535275015758</v>
      </c>
      <c r="F11" s="10" t="n">
        <f aca="false">C11-E11</f>
        <v>396812.110982943</v>
      </c>
      <c r="G11" s="10" t="n">
        <f aca="false">IF(AND(Inputs!$B$43=1,C11&gt;0.78*Inputs!$B$7,A11&lt;=Inputs!$B$9*6),Inputs!$B$16*Inputs!$B$39/12,0)</f>
        <v>0</v>
      </c>
      <c r="H11" s="10" t="n">
        <f aca="false">IF(B11=1,Inputs!$B$7,INDEX(Annual!$AC$2:$AC$51,B11-1))</f>
        <v>500000</v>
      </c>
      <c r="I11" s="10" t="n">
        <f aca="false">Inputs!$B$12*IF(Inputs!$B$35="",H11,MIN(H11,Inputs!$B$7*(1+Inputs!$B$35)^(B11-1)))/12</f>
        <v>375</v>
      </c>
      <c r="J11" s="10" t="n">
        <f aca="false">Inputs!$B$13*Inputs!$B$7*(1+Inputs!$B$22)^(B11-1)/12</f>
        <v>208.333333333333</v>
      </c>
      <c r="K11" s="10" t="n">
        <f aca="false">Inputs!$B$14*Inputs!$B$7*(1+Inputs!$B$22)^(B11-1)/12</f>
        <v>416.666666666667</v>
      </c>
      <c r="L11" s="10" t="n">
        <f aca="false">Inputs!$B$15*(1+Inputs!$B$22)^(B11-1)</f>
        <v>0</v>
      </c>
      <c r="M11" s="10" t="n">
        <f aca="false">INDEX(Annual!$N$2:$N$51,B11)/12</f>
        <v>0</v>
      </c>
      <c r="N11" s="10" t="n">
        <f aca="false">D11+E11+G11+I11+J11+K11+L11-M11</f>
        <v>3736.84912898071</v>
      </c>
      <c r="O11" s="10" t="n">
        <f aca="false">Inputs!$B$17*(1+Inputs!$B$18)^(B11-1)+Inputs!$B$19*(1+Inputs!$B$22)^(B11-1)</f>
        <v>2515</v>
      </c>
      <c r="P11" s="10" t="n">
        <f aca="false">N11-O11</f>
        <v>1221.84912898071</v>
      </c>
      <c r="Q11" s="10" t="n">
        <f aca="false">Q10*(1+Inputs!$B$42)-U11+MAX(P11,0)</f>
        <v>131388.903302775</v>
      </c>
      <c r="R11" s="10" t="n">
        <f aca="false">R10+Q10*Inputs!$B$48-U11+MAX(P11,0)</f>
        <v>125660.615049529</v>
      </c>
      <c r="S11" s="10" t="n">
        <f aca="false">S10*(1+Inputs!$B$42)-V11+MAX(-P11,0)</f>
        <v>0</v>
      </c>
      <c r="T11" s="10" t="n">
        <f aca="false">T10+S10*Inputs!$B$48-V11+MAX(-P11,0)</f>
        <v>0</v>
      </c>
      <c r="U11" s="10" t="n">
        <f aca="false">Q10*Inputs!$B$48*Inputs!$B$29</f>
        <v>17.7997749027824</v>
      </c>
      <c r="V11" s="10" t="n">
        <f aca="false">S10*Inputs!$B$48*Inputs!$B$29</f>
        <v>0</v>
      </c>
    </row>
    <row r="12" customFormat="false" ht="15" hidden="false" customHeight="false" outlineLevel="0" collapsed="false">
      <c r="A12" s="16" t="n">
        <v>11</v>
      </c>
      <c r="B12" s="16" t="n">
        <f aca="false">ROUNDUP(A12/12,0)</f>
        <v>1</v>
      </c>
      <c r="C12" s="10" t="n">
        <f aca="false">F11</f>
        <v>396812.110982943</v>
      </c>
      <c r="D12" s="10" t="n">
        <f aca="false">IF(AND(A12&lt;=Inputs!$B$9*12,C12&gt;0.000001),C12*Inputs!$B$10/12,0)</f>
        <v>2407.32680662985</v>
      </c>
      <c r="E12" s="10" t="n">
        <f aca="false">IF(AND(A12&lt;=Inputs!$B$9*12,C12&gt;0.000001),MIN(C12,Inputs!$B$41-D12),0)</f>
        <v>329.522322350853</v>
      </c>
      <c r="F12" s="10" t="n">
        <f aca="false">C12-E12</f>
        <v>396482.588660592</v>
      </c>
      <c r="G12" s="10" t="n">
        <f aca="false">IF(AND(Inputs!$B$43=1,C12&gt;0.78*Inputs!$B$7,A12&lt;=Inputs!$B$9*6),Inputs!$B$16*Inputs!$B$39/12,0)</f>
        <v>0</v>
      </c>
      <c r="H12" s="10" t="n">
        <f aca="false">IF(B12=1,Inputs!$B$7,INDEX(Annual!$AC$2:$AC$51,B12-1))</f>
        <v>500000</v>
      </c>
      <c r="I12" s="10" t="n">
        <f aca="false">Inputs!$B$12*IF(Inputs!$B$35="",H12,MIN(H12,Inputs!$B$7*(1+Inputs!$B$35)^(B12-1)))/12</f>
        <v>375</v>
      </c>
      <c r="J12" s="10" t="n">
        <f aca="false">Inputs!$B$13*Inputs!$B$7*(1+Inputs!$B$22)^(B12-1)/12</f>
        <v>208.333333333333</v>
      </c>
      <c r="K12" s="10" t="n">
        <f aca="false">Inputs!$B$14*Inputs!$B$7*(1+Inputs!$B$22)^(B12-1)/12</f>
        <v>416.666666666667</v>
      </c>
      <c r="L12" s="10" t="n">
        <f aca="false">Inputs!$B$15*(1+Inputs!$B$22)^(B12-1)</f>
        <v>0</v>
      </c>
      <c r="M12" s="10" t="n">
        <f aca="false">INDEX(Annual!$N$2:$N$51,B12)/12</f>
        <v>0</v>
      </c>
      <c r="N12" s="10" t="n">
        <f aca="false">D12+E12+G12+I12+J12+K12+L12-M12</f>
        <v>3736.84912898071</v>
      </c>
      <c r="O12" s="10" t="n">
        <f aca="false">Inputs!$B$17*(1+Inputs!$B$18)^(B12-1)+Inputs!$B$19*(1+Inputs!$B$22)^(B12-1)</f>
        <v>2515</v>
      </c>
      <c r="P12" s="10" t="n">
        <f aca="false">N12-O12</f>
        <v>1221.84912898071</v>
      </c>
      <c r="Q12" s="10" t="n">
        <f aca="false">Q11*(1+Inputs!$B$42)-U12+MAX(P12,0)</f>
        <v>133335.578419117</v>
      </c>
      <c r="R12" s="10" t="n">
        <f aca="false">R11+Q11*Inputs!$B$48-U12+MAX(P12,0)</f>
        <v>126984.838032333</v>
      </c>
      <c r="S12" s="10" t="n">
        <f aca="false">S11*(1+Inputs!$B$42)-V12+MAX(-P12,0)</f>
        <v>0</v>
      </c>
      <c r="T12" s="10" t="n">
        <f aca="false">T11+S11*Inputs!$B$48-V12+MAX(-P12,0)</f>
        <v>0</v>
      </c>
      <c r="U12" s="10" t="n">
        <f aca="false">Q11*Inputs!$B$48*Inputs!$B$29</f>
        <v>18.0659742041315</v>
      </c>
      <c r="V12" s="10" t="n">
        <f aca="false">S11*Inputs!$B$48*Inputs!$B$29</f>
        <v>0</v>
      </c>
    </row>
    <row r="13" customFormat="false" ht="15" hidden="false" customHeight="false" outlineLevel="0" collapsed="false">
      <c r="A13" s="16" t="n">
        <v>12</v>
      </c>
      <c r="B13" s="16" t="n">
        <f aca="false">ROUNDUP(A13/12,0)</f>
        <v>1</v>
      </c>
      <c r="C13" s="10" t="n">
        <f aca="false">F12</f>
        <v>396482.588660592</v>
      </c>
      <c r="D13" s="10" t="n">
        <f aca="false">IF(AND(A13&lt;=Inputs!$B$9*12,C13&gt;0.000001),C13*Inputs!$B$10/12,0)</f>
        <v>2405.32770454092</v>
      </c>
      <c r="E13" s="10" t="n">
        <f aca="false">IF(AND(A13&lt;=Inputs!$B$9*12,C13&gt;0.000001),MIN(C13,Inputs!$B$41-D13),0)</f>
        <v>331.521424439782</v>
      </c>
      <c r="F13" s="10" t="n">
        <f aca="false">C13-E13</f>
        <v>396151.067236152</v>
      </c>
      <c r="G13" s="10" t="n">
        <f aca="false">IF(AND(Inputs!$B$43=1,C13&gt;0.78*Inputs!$B$7,A13&lt;=Inputs!$B$9*6),Inputs!$B$16*Inputs!$B$39/12,0)</f>
        <v>0</v>
      </c>
      <c r="H13" s="10" t="n">
        <f aca="false">IF(B13=1,Inputs!$B$7,INDEX(Annual!$AC$2:$AC$51,B13-1))</f>
        <v>500000</v>
      </c>
      <c r="I13" s="10" t="n">
        <f aca="false">Inputs!$B$12*IF(Inputs!$B$35="",H13,MIN(H13,Inputs!$B$7*(1+Inputs!$B$35)^(B13-1)))/12</f>
        <v>375</v>
      </c>
      <c r="J13" s="10" t="n">
        <f aca="false">Inputs!$B$13*Inputs!$B$7*(1+Inputs!$B$22)^(B13-1)/12</f>
        <v>208.333333333333</v>
      </c>
      <c r="K13" s="10" t="n">
        <f aca="false">Inputs!$B$14*Inputs!$B$7*(1+Inputs!$B$22)^(B13-1)/12</f>
        <v>416.666666666667</v>
      </c>
      <c r="L13" s="10" t="n">
        <f aca="false">Inputs!$B$15*(1+Inputs!$B$22)^(B13-1)</f>
        <v>0</v>
      </c>
      <c r="M13" s="10" t="n">
        <f aca="false">INDEX(Annual!$N$2:$N$51,B13)/12</f>
        <v>0</v>
      </c>
      <c r="N13" s="10" t="n">
        <f aca="false">D13+E13+G13+I13+J13+K13+L13-M13</f>
        <v>3736.84912898071</v>
      </c>
      <c r="O13" s="10" t="n">
        <f aca="false">Inputs!$B$17*(1+Inputs!$B$18)^(B13-1)+Inputs!$B$19*(1+Inputs!$B$22)^(B13-1)</f>
        <v>2515</v>
      </c>
      <c r="P13" s="10" t="n">
        <f aca="false">N13-O13</f>
        <v>1221.84912898071</v>
      </c>
      <c r="Q13" s="10" t="n">
        <f aca="false">Q12*(1+Inputs!$B$42)-U13+MAX(P13,0)</f>
        <v>135292.992651761</v>
      </c>
      <c r="R13" s="10" t="n">
        <f aca="false">R12+Q12*Inputs!$B$48-U13+MAX(P13,0)</f>
        <v>128310.577799499</v>
      </c>
      <c r="S13" s="10" t="n">
        <f aca="false">S12*(1+Inputs!$B$42)-V13+MAX(-P13,0)</f>
        <v>0</v>
      </c>
      <c r="T13" s="10" t="n">
        <f aca="false">T12+S12*Inputs!$B$48-V13+MAX(-P13,0)</f>
        <v>0</v>
      </c>
      <c r="U13" s="10" t="n">
        <f aca="false">Q12*Inputs!$B$48*Inputs!$B$29</f>
        <v>18.3336420326286</v>
      </c>
      <c r="V13" s="10" t="n">
        <f aca="false">S12*Inputs!$B$48*Inputs!$B$29</f>
        <v>0</v>
      </c>
    </row>
    <row r="14" customFormat="false" ht="15" hidden="false" customHeight="false" outlineLevel="0" collapsed="false">
      <c r="A14" s="16" t="n">
        <v>13</v>
      </c>
      <c r="B14" s="16" t="n">
        <f aca="false">ROUNDUP(A14/12,0)</f>
        <v>2</v>
      </c>
      <c r="C14" s="10" t="n">
        <f aca="false">F13</f>
        <v>396151.067236152</v>
      </c>
      <c r="D14" s="10" t="n">
        <f aca="false">IF(AND(A14&lt;=Inputs!$B$9*12,C14&gt;0.000001),C14*Inputs!$B$10/12,0)</f>
        <v>2403.31647456599</v>
      </c>
      <c r="E14" s="10" t="n">
        <f aca="false">IF(AND(A14&lt;=Inputs!$B$9*12,C14&gt;0.000001),MIN(C14,Inputs!$B$41-D14),0)</f>
        <v>333.532654414717</v>
      </c>
      <c r="F14" s="10" t="n">
        <f aca="false">C14-E14</f>
        <v>395817.534581737</v>
      </c>
      <c r="G14" s="10" t="n">
        <f aca="false">IF(AND(Inputs!$B$43=1,C14&gt;0.78*Inputs!$B$7,A14&lt;=Inputs!$B$9*6),Inputs!$B$16*Inputs!$B$39/12,0)</f>
        <v>0</v>
      </c>
      <c r="H14" s="10" t="n">
        <f aca="false">IF(B14=1,Inputs!$B$7,INDEX(Annual!$AC$2:$AC$51,B14-1))</f>
        <v>520000</v>
      </c>
      <c r="I14" s="10" t="n">
        <f aca="false">Inputs!$B$12*IF(Inputs!$B$35="",H14,MIN(H14,Inputs!$B$7*(1+Inputs!$B$35)^(B14-1)))/12</f>
        <v>390</v>
      </c>
      <c r="J14" s="10" t="n">
        <f aca="false">Inputs!$B$13*Inputs!$B$7*(1+Inputs!$B$22)^(B14-1)/12</f>
        <v>214.166666666667</v>
      </c>
      <c r="K14" s="10" t="n">
        <f aca="false">Inputs!$B$14*Inputs!$B$7*(1+Inputs!$B$22)^(B14-1)/12</f>
        <v>428.333333333333</v>
      </c>
      <c r="L14" s="10" t="n">
        <f aca="false">Inputs!$B$15*(1+Inputs!$B$22)^(B14-1)</f>
        <v>0</v>
      </c>
      <c r="M14" s="10" t="n">
        <f aca="false">INDEX(Annual!$N$2:$N$51,B14)/12</f>
        <v>0</v>
      </c>
      <c r="N14" s="10" t="n">
        <f aca="false">D14+E14+G14+I14+J14+K14+L14-M14</f>
        <v>3769.34912898071</v>
      </c>
      <c r="O14" s="10" t="n">
        <f aca="false">Inputs!$B$17*(1+Inputs!$B$18)^(B14-1)+Inputs!$B$19*(1+Inputs!$B$22)^(B14-1)</f>
        <v>2602.92</v>
      </c>
      <c r="P14" s="10" t="n">
        <f aca="false">N14-O14</f>
        <v>1166.42912898071</v>
      </c>
      <c r="Q14" s="10" t="n">
        <f aca="false">Q13*(1+Inputs!$B$42)-U14+MAX(P14,0)</f>
        <v>137205.785244602</v>
      </c>
      <c r="R14" s="10" t="n">
        <f aca="false">R13+Q13*Inputs!$B$48-U14+MAX(P14,0)</f>
        <v>129582.422718588</v>
      </c>
      <c r="S14" s="10" t="n">
        <f aca="false">S13*(1+Inputs!$B$42)-V14+MAX(-P14,0)</f>
        <v>0</v>
      </c>
      <c r="T14" s="10" t="n">
        <f aca="false">T13+S13*Inputs!$B$48-V14+MAX(-P14,0)</f>
        <v>0</v>
      </c>
      <c r="U14" s="10" t="n">
        <f aca="false">Q13*Inputs!$B$48*Inputs!$B$29</f>
        <v>18.6027864896171</v>
      </c>
      <c r="V14" s="10" t="n">
        <f aca="false">S13*Inputs!$B$48*Inputs!$B$29</f>
        <v>0</v>
      </c>
    </row>
    <row r="15" customFormat="false" ht="15" hidden="false" customHeight="false" outlineLevel="0" collapsed="false">
      <c r="A15" s="16" t="n">
        <v>14</v>
      </c>
      <c r="B15" s="16" t="n">
        <f aca="false">ROUNDUP(A15/12,0)</f>
        <v>2</v>
      </c>
      <c r="C15" s="10" t="n">
        <f aca="false">F14</f>
        <v>395817.534581737</v>
      </c>
      <c r="D15" s="10" t="n">
        <f aca="false">IF(AND(A15&lt;=Inputs!$B$9*12,C15&gt;0.000001),C15*Inputs!$B$10/12,0)</f>
        <v>2401.29304312921</v>
      </c>
      <c r="E15" s="10" t="n">
        <f aca="false">IF(AND(A15&lt;=Inputs!$B$9*12,C15&gt;0.000001),MIN(C15,Inputs!$B$41-D15),0)</f>
        <v>335.556085851499</v>
      </c>
      <c r="F15" s="10" t="n">
        <f aca="false">C15-E15</f>
        <v>395481.978495886</v>
      </c>
      <c r="G15" s="10" t="n">
        <f aca="false">IF(AND(Inputs!$B$43=1,C15&gt;0.78*Inputs!$B$7,A15&lt;=Inputs!$B$9*6),Inputs!$B$16*Inputs!$B$39/12,0)</f>
        <v>0</v>
      </c>
      <c r="H15" s="10" t="n">
        <f aca="false">IF(B15=1,Inputs!$B$7,INDEX(Annual!$AC$2:$AC$51,B15-1))</f>
        <v>520000</v>
      </c>
      <c r="I15" s="10" t="n">
        <f aca="false">Inputs!$B$12*IF(Inputs!$B$35="",H15,MIN(H15,Inputs!$B$7*(1+Inputs!$B$35)^(B15-1)))/12</f>
        <v>390</v>
      </c>
      <c r="J15" s="10" t="n">
        <f aca="false">Inputs!$B$13*Inputs!$B$7*(1+Inputs!$B$22)^(B15-1)/12</f>
        <v>214.166666666667</v>
      </c>
      <c r="K15" s="10" t="n">
        <f aca="false">Inputs!$B$14*Inputs!$B$7*(1+Inputs!$B$22)^(B15-1)/12</f>
        <v>428.333333333333</v>
      </c>
      <c r="L15" s="10" t="n">
        <f aca="false">Inputs!$B$15*(1+Inputs!$B$22)^(B15-1)</f>
        <v>0</v>
      </c>
      <c r="M15" s="10" t="n">
        <f aca="false">INDEX(Annual!$N$2:$N$51,B15)/12</f>
        <v>0</v>
      </c>
      <c r="N15" s="10" t="n">
        <f aca="false">D15+E15+G15+I15+J15+K15+L15-M15</f>
        <v>3769.34912898071</v>
      </c>
      <c r="O15" s="10" t="n">
        <f aca="false">Inputs!$B$17*(1+Inputs!$B$18)^(B15-1)+Inputs!$B$19*(1+Inputs!$B$22)^(B15-1)</f>
        <v>2602.92</v>
      </c>
      <c r="P15" s="10" t="n">
        <f aca="false">N15-O15</f>
        <v>1166.42912898071</v>
      </c>
      <c r="Q15" s="10" t="n">
        <f aca="false">Q14*(1+Inputs!$B$42)-U15+MAX(P15,0)</f>
        <v>139129.130035877</v>
      </c>
      <c r="R15" s="10" t="n">
        <f aca="false">R14+Q14*Inputs!$B$48-U15+MAX(P15,0)</f>
        <v>130855.758021905</v>
      </c>
      <c r="S15" s="10" t="n">
        <f aca="false">S14*(1+Inputs!$B$42)-V15+MAX(-P15,0)</f>
        <v>0</v>
      </c>
      <c r="T15" s="10" t="n">
        <f aca="false">T14+S14*Inputs!$B$48-V15+MAX(-P15,0)</f>
        <v>0</v>
      </c>
      <c r="U15" s="10" t="n">
        <f aca="false">Q14*Inputs!$B$48*Inputs!$B$29</f>
        <v>18.8657954711327</v>
      </c>
      <c r="V15" s="10" t="n">
        <f aca="false">S14*Inputs!$B$48*Inputs!$B$29</f>
        <v>0</v>
      </c>
    </row>
    <row r="16" customFormat="false" ht="15" hidden="false" customHeight="false" outlineLevel="0" collapsed="false">
      <c r="A16" s="16" t="n">
        <v>15</v>
      </c>
      <c r="B16" s="16" t="n">
        <f aca="false">ROUNDUP(A16/12,0)</f>
        <v>2</v>
      </c>
      <c r="C16" s="10" t="n">
        <f aca="false">F15</f>
        <v>395481.978495886</v>
      </c>
      <c r="D16" s="10" t="n">
        <f aca="false">IF(AND(A16&lt;=Inputs!$B$9*12,C16&gt;0.000001),C16*Inputs!$B$10/12,0)</f>
        <v>2399.25733620837</v>
      </c>
      <c r="E16" s="10" t="n">
        <f aca="false">IF(AND(A16&lt;=Inputs!$B$9*12,C16&gt;0.000001),MIN(C16,Inputs!$B$41-D16),0)</f>
        <v>337.591792772332</v>
      </c>
      <c r="F16" s="10" t="n">
        <f aca="false">C16-E16</f>
        <v>395144.386703113</v>
      </c>
      <c r="G16" s="10" t="n">
        <f aca="false">IF(AND(Inputs!$B$43=1,C16&gt;0.78*Inputs!$B$7,A16&lt;=Inputs!$B$9*6),Inputs!$B$16*Inputs!$B$39/12,0)</f>
        <v>0</v>
      </c>
      <c r="H16" s="10" t="n">
        <f aca="false">IF(B16=1,Inputs!$B$7,INDEX(Annual!$AC$2:$AC$51,B16-1))</f>
        <v>520000</v>
      </c>
      <c r="I16" s="10" t="n">
        <f aca="false">Inputs!$B$12*IF(Inputs!$B$35="",H16,MIN(H16,Inputs!$B$7*(1+Inputs!$B$35)^(B16-1)))/12</f>
        <v>390</v>
      </c>
      <c r="J16" s="10" t="n">
        <f aca="false">Inputs!$B$13*Inputs!$B$7*(1+Inputs!$B$22)^(B16-1)/12</f>
        <v>214.166666666667</v>
      </c>
      <c r="K16" s="10" t="n">
        <f aca="false">Inputs!$B$14*Inputs!$B$7*(1+Inputs!$B$22)^(B16-1)/12</f>
        <v>428.333333333333</v>
      </c>
      <c r="L16" s="10" t="n">
        <f aca="false">Inputs!$B$15*(1+Inputs!$B$22)^(B16-1)</f>
        <v>0</v>
      </c>
      <c r="M16" s="10" t="n">
        <f aca="false">INDEX(Annual!$N$2:$N$51,B16)/12</f>
        <v>0</v>
      </c>
      <c r="N16" s="10" t="n">
        <f aca="false">D16+E16+G16+I16+J16+K16+L16-M16</f>
        <v>3769.34912898071</v>
      </c>
      <c r="O16" s="10" t="n">
        <f aca="false">Inputs!$B$17*(1+Inputs!$B$18)^(B16-1)+Inputs!$B$19*(1+Inputs!$B$22)^(B16-1)</f>
        <v>2602.92</v>
      </c>
      <c r="P16" s="10" t="n">
        <f aca="false">N16-O16</f>
        <v>1166.42912898071</v>
      </c>
      <c r="Q16" s="10" t="n">
        <f aca="false">Q15*(1+Inputs!$B$42)-U16+MAX(P16,0)</f>
        <v>141063.085238324</v>
      </c>
      <c r="R16" s="10" t="n">
        <f aca="false">R15+Q15*Inputs!$B$48-U16+MAX(P16,0)</f>
        <v>132130.591931372</v>
      </c>
      <c r="S16" s="10" t="n">
        <f aca="false">S15*(1+Inputs!$B$42)-V16+MAX(-P16,0)</f>
        <v>0</v>
      </c>
      <c r="T16" s="10" t="n">
        <f aca="false">T15+S15*Inputs!$B$48-V16+MAX(-P16,0)</f>
        <v>0</v>
      </c>
      <c r="U16" s="10" t="n">
        <f aca="false">Q15*Inputs!$B$48*Inputs!$B$29</f>
        <v>19.1302553799331</v>
      </c>
      <c r="V16" s="10" t="n">
        <f aca="false">S15*Inputs!$B$48*Inputs!$B$29</f>
        <v>0</v>
      </c>
    </row>
    <row r="17" customFormat="false" ht="15" hidden="false" customHeight="false" outlineLevel="0" collapsed="false">
      <c r="A17" s="16" t="n">
        <v>16</v>
      </c>
      <c r="B17" s="16" t="n">
        <f aca="false">ROUNDUP(A17/12,0)</f>
        <v>2</v>
      </c>
      <c r="C17" s="10" t="n">
        <f aca="false">F16</f>
        <v>395144.386703113</v>
      </c>
      <c r="D17" s="10" t="n">
        <f aca="false">IF(AND(A17&lt;=Inputs!$B$9*12,C17&gt;0.000001),C17*Inputs!$B$10/12,0)</f>
        <v>2397.20927933222</v>
      </c>
      <c r="E17" s="10" t="n">
        <f aca="false">IF(AND(A17&lt;=Inputs!$B$9*12,C17&gt;0.000001),MIN(C17,Inputs!$B$41-D17),0)</f>
        <v>339.639849648484</v>
      </c>
      <c r="F17" s="10" t="n">
        <f aca="false">C17-E17</f>
        <v>394804.746853465</v>
      </c>
      <c r="G17" s="10" t="n">
        <f aca="false">IF(AND(Inputs!$B$43=1,C17&gt;0.78*Inputs!$B$7,A17&lt;=Inputs!$B$9*6),Inputs!$B$16*Inputs!$B$39/12,0)</f>
        <v>0</v>
      </c>
      <c r="H17" s="10" t="n">
        <f aca="false">IF(B17=1,Inputs!$B$7,INDEX(Annual!$AC$2:$AC$51,B17-1))</f>
        <v>520000</v>
      </c>
      <c r="I17" s="10" t="n">
        <f aca="false">Inputs!$B$12*IF(Inputs!$B$35="",H17,MIN(H17,Inputs!$B$7*(1+Inputs!$B$35)^(B17-1)))/12</f>
        <v>390</v>
      </c>
      <c r="J17" s="10" t="n">
        <f aca="false">Inputs!$B$13*Inputs!$B$7*(1+Inputs!$B$22)^(B17-1)/12</f>
        <v>214.166666666667</v>
      </c>
      <c r="K17" s="10" t="n">
        <f aca="false">Inputs!$B$14*Inputs!$B$7*(1+Inputs!$B$22)^(B17-1)/12</f>
        <v>428.333333333333</v>
      </c>
      <c r="L17" s="10" t="n">
        <f aca="false">Inputs!$B$15*(1+Inputs!$B$22)^(B17-1)</f>
        <v>0</v>
      </c>
      <c r="M17" s="10" t="n">
        <f aca="false">INDEX(Annual!$N$2:$N$51,B17)/12</f>
        <v>0</v>
      </c>
      <c r="N17" s="10" t="n">
        <f aca="false">D17+E17+G17+I17+J17+K17+L17-M17</f>
        <v>3769.34912898071</v>
      </c>
      <c r="O17" s="10" t="n">
        <f aca="false">Inputs!$B$17*(1+Inputs!$B$18)^(B17-1)+Inputs!$B$19*(1+Inputs!$B$22)^(B17-1)</f>
        <v>2602.92</v>
      </c>
      <c r="P17" s="10" t="n">
        <f aca="false">N17-O17</f>
        <v>1166.42912898071</v>
      </c>
      <c r="Q17" s="10" t="n">
        <f aca="false">Q16*(1+Inputs!$B$42)-U17+MAX(P17,0)</f>
        <v>143007.709385818</v>
      </c>
      <c r="R17" s="10" t="n">
        <f aca="false">R16+Q16*Inputs!$B$48-U17+MAX(P17,0)</f>
        <v>133406.932714267</v>
      </c>
      <c r="S17" s="10" t="n">
        <f aca="false">S16*(1+Inputs!$B$42)-V17+MAX(-P17,0)</f>
        <v>0</v>
      </c>
      <c r="T17" s="10" t="n">
        <f aca="false">T16+S16*Inputs!$B$48-V17+MAX(-P17,0)</f>
        <v>0</v>
      </c>
      <c r="U17" s="10" t="n">
        <f aca="false">Q16*Inputs!$B$48*Inputs!$B$29</f>
        <v>19.3961742202696</v>
      </c>
      <c r="V17" s="10" t="n">
        <f aca="false">S16*Inputs!$B$48*Inputs!$B$29</f>
        <v>0</v>
      </c>
    </row>
    <row r="18" customFormat="false" ht="15" hidden="false" customHeight="false" outlineLevel="0" collapsed="false">
      <c r="A18" s="16" t="n">
        <v>17</v>
      </c>
      <c r="B18" s="16" t="n">
        <f aca="false">ROUNDUP(A18/12,0)</f>
        <v>2</v>
      </c>
      <c r="C18" s="10" t="n">
        <f aca="false">F17</f>
        <v>394804.746853465</v>
      </c>
      <c r="D18" s="10" t="n">
        <f aca="false">IF(AND(A18&lt;=Inputs!$B$9*12,C18&gt;0.000001),C18*Inputs!$B$10/12,0)</f>
        <v>2395.14879757769</v>
      </c>
      <c r="E18" s="10" t="n">
        <f aca="false">IF(AND(A18&lt;=Inputs!$B$9*12,C18&gt;0.000001),MIN(C18,Inputs!$B$41-D18),0)</f>
        <v>341.700331403018</v>
      </c>
      <c r="F18" s="10" t="n">
        <f aca="false">C18-E18</f>
        <v>394463.046522062</v>
      </c>
      <c r="G18" s="10" t="n">
        <f aca="false">IF(AND(Inputs!$B$43=1,C18&gt;0.78*Inputs!$B$7,A18&lt;=Inputs!$B$9*6),Inputs!$B$16*Inputs!$B$39/12,0)</f>
        <v>0</v>
      </c>
      <c r="H18" s="10" t="n">
        <f aca="false">IF(B18=1,Inputs!$B$7,INDEX(Annual!$AC$2:$AC$51,B18-1))</f>
        <v>520000</v>
      </c>
      <c r="I18" s="10" t="n">
        <f aca="false">Inputs!$B$12*IF(Inputs!$B$35="",H18,MIN(H18,Inputs!$B$7*(1+Inputs!$B$35)^(B18-1)))/12</f>
        <v>390</v>
      </c>
      <c r="J18" s="10" t="n">
        <f aca="false">Inputs!$B$13*Inputs!$B$7*(1+Inputs!$B$22)^(B18-1)/12</f>
        <v>214.166666666667</v>
      </c>
      <c r="K18" s="10" t="n">
        <f aca="false">Inputs!$B$14*Inputs!$B$7*(1+Inputs!$B$22)^(B18-1)/12</f>
        <v>428.333333333333</v>
      </c>
      <c r="L18" s="10" t="n">
        <f aca="false">Inputs!$B$15*(1+Inputs!$B$22)^(B18-1)</f>
        <v>0</v>
      </c>
      <c r="M18" s="10" t="n">
        <f aca="false">INDEX(Annual!$N$2:$N$51,B18)/12</f>
        <v>0</v>
      </c>
      <c r="N18" s="10" t="n">
        <f aca="false">D18+E18+G18+I18+J18+K18+L18-M18</f>
        <v>3769.34912898071</v>
      </c>
      <c r="O18" s="10" t="n">
        <f aca="false">Inputs!$B$17*(1+Inputs!$B$18)^(B18-1)+Inputs!$B$19*(1+Inputs!$B$22)^(B18-1)</f>
        <v>2602.92</v>
      </c>
      <c r="P18" s="10" t="n">
        <f aca="false">N18-O18</f>
        <v>1166.42912898071</v>
      </c>
      <c r="Q18" s="10" t="n">
        <f aca="false">Q17*(1+Inputs!$B$42)-U18+MAX(P18,0)</f>
        <v>144963.061335145</v>
      </c>
      <c r="R18" s="10" t="n">
        <f aca="false">R17+Q17*Inputs!$B$48-U18+MAX(P18,0)</f>
        <v>134684.788683478</v>
      </c>
      <c r="S18" s="10" t="n">
        <f aca="false">S17*(1+Inputs!$B$42)-V18+MAX(-P18,0)</f>
        <v>0</v>
      </c>
      <c r="T18" s="10" t="n">
        <f aca="false">T17+S17*Inputs!$B$48-V18+MAX(-P18,0)</f>
        <v>0</v>
      </c>
      <c r="U18" s="10" t="n">
        <f aca="false">Q17*Inputs!$B$48*Inputs!$B$29</f>
        <v>19.66356004055</v>
      </c>
      <c r="V18" s="10" t="n">
        <f aca="false">S17*Inputs!$B$48*Inputs!$B$29</f>
        <v>0</v>
      </c>
    </row>
    <row r="19" customFormat="false" ht="15" hidden="false" customHeight="false" outlineLevel="0" collapsed="false">
      <c r="A19" s="16" t="n">
        <v>18</v>
      </c>
      <c r="B19" s="16" t="n">
        <f aca="false">ROUNDUP(A19/12,0)</f>
        <v>2</v>
      </c>
      <c r="C19" s="10" t="n">
        <f aca="false">F18</f>
        <v>394463.046522062</v>
      </c>
      <c r="D19" s="10" t="n">
        <f aca="false">IF(AND(A19&lt;=Inputs!$B$9*12,C19&gt;0.000001),C19*Inputs!$B$10/12,0)</f>
        <v>2393.07581556718</v>
      </c>
      <c r="E19" s="10" t="n">
        <f aca="false">IF(AND(A19&lt;=Inputs!$B$9*12,C19&gt;0.000001),MIN(C19,Inputs!$B$41-D19),0)</f>
        <v>343.77331341353</v>
      </c>
      <c r="F19" s="10" t="n">
        <f aca="false">C19-E19</f>
        <v>394119.273208648</v>
      </c>
      <c r="G19" s="10" t="n">
        <f aca="false">IF(AND(Inputs!$B$43=1,C19&gt;0.78*Inputs!$B$7,A19&lt;=Inputs!$B$9*6),Inputs!$B$16*Inputs!$B$39/12,0)</f>
        <v>0</v>
      </c>
      <c r="H19" s="10" t="n">
        <f aca="false">IF(B19=1,Inputs!$B$7,INDEX(Annual!$AC$2:$AC$51,B19-1))</f>
        <v>520000</v>
      </c>
      <c r="I19" s="10" t="n">
        <f aca="false">Inputs!$B$12*IF(Inputs!$B$35="",H19,MIN(H19,Inputs!$B$7*(1+Inputs!$B$35)^(B19-1)))/12</f>
        <v>390</v>
      </c>
      <c r="J19" s="10" t="n">
        <f aca="false">Inputs!$B$13*Inputs!$B$7*(1+Inputs!$B$22)^(B19-1)/12</f>
        <v>214.166666666667</v>
      </c>
      <c r="K19" s="10" t="n">
        <f aca="false">Inputs!$B$14*Inputs!$B$7*(1+Inputs!$B$22)^(B19-1)/12</f>
        <v>428.333333333333</v>
      </c>
      <c r="L19" s="10" t="n">
        <f aca="false">Inputs!$B$15*(1+Inputs!$B$22)^(B19-1)</f>
        <v>0</v>
      </c>
      <c r="M19" s="10" t="n">
        <f aca="false">INDEX(Annual!$N$2:$N$51,B19)/12</f>
        <v>0</v>
      </c>
      <c r="N19" s="10" t="n">
        <f aca="false">D19+E19+G19+I19+J19+K19+L19-M19</f>
        <v>3769.34912898071</v>
      </c>
      <c r="O19" s="10" t="n">
        <f aca="false">Inputs!$B$17*(1+Inputs!$B$18)^(B19-1)+Inputs!$B$19*(1+Inputs!$B$22)^(B19-1)</f>
        <v>2602.92</v>
      </c>
      <c r="P19" s="10" t="n">
        <f aca="false">N19-O19</f>
        <v>1166.42912898071</v>
      </c>
      <c r="Q19" s="10" t="n">
        <f aca="false">Q18*(1+Inputs!$B$42)-U19+MAX(P19,0)</f>
        <v>146929.200267785</v>
      </c>
      <c r="R19" s="10" t="n">
        <f aca="false">R18+Q18*Inputs!$B$48-U19+MAX(P19,0)</f>
        <v>135964.168197749</v>
      </c>
      <c r="S19" s="10" t="n">
        <f aca="false">S18*(1+Inputs!$B$42)-V19+MAX(-P19,0)</f>
        <v>0</v>
      </c>
      <c r="T19" s="10" t="n">
        <f aca="false">T18+S18*Inputs!$B$48-V19+MAX(-P19,0)</f>
        <v>0</v>
      </c>
      <c r="U19" s="10" t="n">
        <f aca="false">Q18*Inputs!$B$48*Inputs!$B$29</f>
        <v>19.9324209335825</v>
      </c>
      <c r="V19" s="10" t="n">
        <f aca="false">S18*Inputs!$B$48*Inputs!$B$29</f>
        <v>0</v>
      </c>
    </row>
    <row r="20" customFormat="false" ht="15" hidden="false" customHeight="false" outlineLevel="0" collapsed="false">
      <c r="A20" s="16" t="n">
        <v>19</v>
      </c>
      <c r="B20" s="16" t="n">
        <f aca="false">ROUNDUP(A20/12,0)</f>
        <v>2</v>
      </c>
      <c r="C20" s="10" t="n">
        <f aca="false">F19</f>
        <v>394119.273208648</v>
      </c>
      <c r="D20" s="10" t="n">
        <f aca="false">IF(AND(A20&lt;=Inputs!$B$9*12,C20&gt;0.000001),C20*Inputs!$B$10/12,0)</f>
        <v>2390.9902574658</v>
      </c>
      <c r="E20" s="10" t="n">
        <f aca="false">IF(AND(A20&lt;=Inputs!$B$9*12,C20&gt;0.000001),MIN(C20,Inputs!$B$41-D20),0)</f>
        <v>345.858871514905</v>
      </c>
      <c r="F20" s="10" t="n">
        <f aca="false">C20-E20</f>
        <v>393773.414337134</v>
      </c>
      <c r="G20" s="10" t="n">
        <f aca="false">IF(AND(Inputs!$B$43=1,C20&gt;0.78*Inputs!$B$7,A20&lt;=Inputs!$B$9*6),Inputs!$B$16*Inputs!$B$39/12,0)</f>
        <v>0</v>
      </c>
      <c r="H20" s="10" t="n">
        <f aca="false">IF(B20=1,Inputs!$B$7,INDEX(Annual!$AC$2:$AC$51,B20-1))</f>
        <v>520000</v>
      </c>
      <c r="I20" s="10" t="n">
        <f aca="false">Inputs!$B$12*IF(Inputs!$B$35="",H20,MIN(H20,Inputs!$B$7*(1+Inputs!$B$35)^(B20-1)))/12</f>
        <v>390</v>
      </c>
      <c r="J20" s="10" t="n">
        <f aca="false">Inputs!$B$13*Inputs!$B$7*(1+Inputs!$B$22)^(B20-1)/12</f>
        <v>214.166666666667</v>
      </c>
      <c r="K20" s="10" t="n">
        <f aca="false">Inputs!$B$14*Inputs!$B$7*(1+Inputs!$B$22)^(B20-1)/12</f>
        <v>428.333333333333</v>
      </c>
      <c r="L20" s="10" t="n">
        <f aca="false">Inputs!$B$15*(1+Inputs!$B$22)^(B20-1)</f>
        <v>0</v>
      </c>
      <c r="M20" s="10" t="n">
        <f aca="false">INDEX(Annual!$N$2:$N$51,B20)/12</f>
        <v>0</v>
      </c>
      <c r="N20" s="10" t="n">
        <f aca="false">D20+E20+G20+I20+J20+K20+L20-M20</f>
        <v>3769.34912898071</v>
      </c>
      <c r="O20" s="10" t="n">
        <f aca="false">Inputs!$B$17*(1+Inputs!$B$18)^(B20-1)+Inputs!$B$19*(1+Inputs!$B$22)^(B20-1)</f>
        <v>2602.92</v>
      </c>
      <c r="P20" s="10" t="n">
        <f aca="false">N20-O20</f>
        <v>1166.42912898071</v>
      </c>
      <c r="Q20" s="10" t="n">
        <f aca="false">Q19*(1+Inputs!$B$42)-U20+MAX(P20,0)</f>
        <v>148906.185691698</v>
      </c>
      <c r="R20" s="10" t="n">
        <f aca="false">R19+Q19*Inputs!$B$48-U20+MAX(P20,0)</f>
        <v>137245.079661938</v>
      </c>
      <c r="S20" s="10" t="n">
        <f aca="false">S19*(1+Inputs!$B$42)-V20+MAX(-P20,0)</f>
        <v>0</v>
      </c>
      <c r="T20" s="10" t="n">
        <f aca="false">T19+S19*Inputs!$B$48-V20+MAX(-P20,0)</f>
        <v>0</v>
      </c>
      <c r="U20" s="10" t="n">
        <f aca="false">Q19*Inputs!$B$48*Inputs!$B$29</f>
        <v>20.2027650368204</v>
      </c>
      <c r="V20" s="10" t="n">
        <f aca="false">S19*Inputs!$B$48*Inputs!$B$29</f>
        <v>0</v>
      </c>
    </row>
    <row r="21" customFormat="false" ht="15" hidden="false" customHeight="false" outlineLevel="0" collapsed="false">
      <c r="A21" s="16" t="n">
        <v>20</v>
      </c>
      <c r="B21" s="16" t="n">
        <f aca="false">ROUNDUP(A21/12,0)</f>
        <v>2</v>
      </c>
      <c r="C21" s="10" t="n">
        <f aca="false">F20</f>
        <v>393773.414337134</v>
      </c>
      <c r="D21" s="10" t="n">
        <f aca="false">IF(AND(A21&lt;=Inputs!$B$9*12,C21&gt;0.000001),C21*Inputs!$B$10/12,0)</f>
        <v>2388.89204697861</v>
      </c>
      <c r="E21" s="10" t="n">
        <f aca="false">IF(AND(A21&lt;=Inputs!$B$9*12,C21&gt;0.000001),MIN(C21,Inputs!$B$41-D21),0)</f>
        <v>347.957082002095</v>
      </c>
      <c r="F21" s="10" t="n">
        <f aca="false">C21-E21</f>
        <v>393425.457255131</v>
      </c>
      <c r="G21" s="10" t="n">
        <f aca="false">IF(AND(Inputs!$B$43=1,C21&gt;0.78*Inputs!$B$7,A21&lt;=Inputs!$B$9*6),Inputs!$B$16*Inputs!$B$39/12,0)</f>
        <v>0</v>
      </c>
      <c r="H21" s="10" t="n">
        <f aca="false">IF(B21=1,Inputs!$B$7,INDEX(Annual!$AC$2:$AC$51,B21-1))</f>
        <v>520000</v>
      </c>
      <c r="I21" s="10" t="n">
        <f aca="false">Inputs!$B$12*IF(Inputs!$B$35="",H21,MIN(H21,Inputs!$B$7*(1+Inputs!$B$35)^(B21-1)))/12</f>
        <v>390</v>
      </c>
      <c r="J21" s="10" t="n">
        <f aca="false">Inputs!$B$13*Inputs!$B$7*(1+Inputs!$B$22)^(B21-1)/12</f>
        <v>214.166666666667</v>
      </c>
      <c r="K21" s="10" t="n">
        <f aca="false">Inputs!$B$14*Inputs!$B$7*(1+Inputs!$B$22)^(B21-1)/12</f>
        <v>428.333333333333</v>
      </c>
      <c r="L21" s="10" t="n">
        <f aca="false">Inputs!$B$15*(1+Inputs!$B$22)^(B21-1)</f>
        <v>0</v>
      </c>
      <c r="M21" s="10" t="n">
        <f aca="false">INDEX(Annual!$N$2:$N$51,B21)/12</f>
        <v>0</v>
      </c>
      <c r="N21" s="10" t="n">
        <f aca="false">D21+E21+G21+I21+J21+K21+L21-M21</f>
        <v>3769.34912898071</v>
      </c>
      <c r="O21" s="10" t="n">
        <f aca="false">Inputs!$B$17*(1+Inputs!$B$18)^(B21-1)+Inputs!$B$19*(1+Inputs!$B$22)^(B21-1)</f>
        <v>2602.92</v>
      </c>
      <c r="P21" s="10" t="n">
        <f aca="false">N21-O21</f>
        <v>1166.42912898071</v>
      </c>
      <c r="Q21" s="10" t="n">
        <f aca="false">Q20*(1+Inputs!$B$42)-U21+MAX(P21,0)</f>
        <v>150894.077443131</v>
      </c>
      <c r="R21" s="10" t="n">
        <f aca="false">R20+Q20*Inputs!$B$48-U21+MAX(P21,0)</f>
        <v>138527.53152727</v>
      </c>
      <c r="S21" s="10" t="n">
        <f aca="false">S20*(1+Inputs!$B$42)-V21+MAX(-P21,0)</f>
        <v>0</v>
      </c>
      <c r="T21" s="10" t="n">
        <f aca="false">T20+S20*Inputs!$B$48-V21+MAX(-P21,0)</f>
        <v>0</v>
      </c>
      <c r="U21" s="10" t="n">
        <f aca="false">Q20*Inputs!$B$48*Inputs!$B$29</f>
        <v>20.4746005326085</v>
      </c>
      <c r="V21" s="10" t="n">
        <f aca="false">S20*Inputs!$B$48*Inputs!$B$29</f>
        <v>0</v>
      </c>
    </row>
    <row r="22" customFormat="false" ht="15" hidden="false" customHeight="false" outlineLevel="0" collapsed="false">
      <c r="A22" s="16" t="n">
        <v>21</v>
      </c>
      <c r="B22" s="16" t="n">
        <f aca="false">ROUNDUP(A22/12,0)</f>
        <v>2</v>
      </c>
      <c r="C22" s="10" t="n">
        <f aca="false">F21</f>
        <v>393425.457255131</v>
      </c>
      <c r="D22" s="10" t="n">
        <f aca="false">IF(AND(A22&lt;=Inputs!$B$9*12,C22&gt;0.000001),C22*Inputs!$B$10/12,0)</f>
        <v>2386.7811073478</v>
      </c>
      <c r="E22" s="10" t="n">
        <f aca="false">IF(AND(A22&lt;=Inputs!$B$9*12,C22&gt;0.000001),MIN(C22,Inputs!$B$41-D22),0)</f>
        <v>350.068021632908</v>
      </c>
      <c r="F22" s="10" t="n">
        <f aca="false">C22-E22</f>
        <v>393075.389233499</v>
      </c>
      <c r="G22" s="10" t="n">
        <f aca="false">IF(AND(Inputs!$B$43=1,C22&gt;0.78*Inputs!$B$7,A22&lt;=Inputs!$B$9*6),Inputs!$B$16*Inputs!$B$39/12,0)</f>
        <v>0</v>
      </c>
      <c r="H22" s="10" t="n">
        <f aca="false">IF(B22=1,Inputs!$B$7,INDEX(Annual!$AC$2:$AC$51,B22-1))</f>
        <v>520000</v>
      </c>
      <c r="I22" s="10" t="n">
        <f aca="false">Inputs!$B$12*IF(Inputs!$B$35="",H22,MIN(H22,Inputs!$B$7*(1+Inputs!$B$35)^(B22-1)))/12</f>
        <v>390</v>
      </c>
      <c r="J22" s="10" t="n">
        <f aca="false">Inputs!$B$13*Inputs!$B$7*(1+Inputs!$B$22)^(B22-1)/12</f>
        <v>214.166666666667</v>
      </c>
      <c r="K22" s="10" t="n">
        <f aca="false">Inputs!$B$14*Inputs!$B$7*(1+Inputs!$B$22)^(B22-1)/12</f>
        <v>428.333333333333</v>
      </c>
      <c r="L22" s="10" t="n">
        <f aca="false">Inputs!$B$15*(1+Inputs!$B$22)^(B22-1)</f>
        <v>0</v>
      </c>
      <c r="M22" s="10" t="n">
        <f aca="false">INDEX(Annual!$N$2:$N$51,B22)/12</f>
        <v>0</v>
      </c>
      <c r="N22" s="10" t="n">
        <f aca="false">D22+E22+G22+I22+J22+K22+L22-M22</f>
        <v>3769.34912898071</v>
      </c>
      <c r="O22" s="10" t="n">
        <f aca="false">Inputs!$B$17*(1+Inputs!$B$18)^(B22-1)+Inputs!$B$19*(1+Inputs!$B$22)^(B22-1)</f>
        <v>2602.92</v>
      </c>
      <c r="P22" s="10" t="n">
        <f aca="false">N22-O22</f>
        <v>1166.42912898071</v>
      </c>
      <c r="Q22" s="10" t="n">
        <f aca="false">Q21*(1+Inputs!$B$42)-U22+MAX(P22,0)</f>
        <v>152892.935688425</v>
      </c>
      <c r="R22" s="10" t="n">
        <f aca="false">R21+Q21*Inputs!$B$48-U22+MAX(P22,0)</f>
        <v>139811.532291592</v>
      </c>
      <c r="S22" s="10" t="n">
        <f aca="false">S21*(1+Inputs!$B$42)-V22+MAX(-P22,0)</f>
        <v>0</v>
      </c>
      <c r="T22" s="10" t="n">
        <f aca="false">T21+S21*Inputs!$B$48-V22+MAX(-P22,0)</f>
        <v>0</v>
      </c>
      <c r="U22" s="10" t="n">
        <f aca="false">Q21*Inputs!$B$48*Inputs!$B$29</f>
        <v>20.7479356484305</v>
      </c>
      <c r="V22" s="10" t="n">
        <f aca="false">S21*Inputs!$B$48*Inputs!$B$29</f>
        <v>0</v>
      </c>
    </row>
    <row r="23" customFormat="false" ht="15" hidden="false" customHeight="false" outlineLevel="0" collapsed="false">
      <c r="A23" s="16" t="n">
        <v>22</v>
      </c>
      <c r="B23" s="16" t="n">
        <f aca="false">ROUNDUP(A23/12,0)</f>
        <v>2</v>
      </c>
      <c r="C23" s="10" t="n">
        <f aca="false">F22</f>
        <v>393075.389233499</v>
      </c>
      <c r="D23" s="10" t="n">
        <f aca="false">IF(AND(A23&lt;=Inputs!$B$9*12,C23&gt;0.000001),C23*Inputs!$B$10/12,0)</f>
        <v>2384.65736134989</v>
      </c>
      <c r="E23" s="10" t="n">
        <f aca="false">IF(AND(A23&lt;=Inputs!$B$9*12,C23&gt;0.000001),MIN(C23,Inputs!$B$41-D23),0)</f>
        <v>352.191767630814</v>
      </c>
      <c r="F23" s="10" t="n">
        <f aca="false">C23-E23</f>
        <v>392723.197465868</v>
      </c>
      <c r="G23" s="10" t="n">
        <f aca="false">IF(AND(Inputs!$B$43=1,C23&gt;0.78*Inputs!$B$7,A23&lt;=Inputs!$B$9*6),Inputs!$B$16*Inputs!$B$39/12,0)</f>
        <v>0</v>
      </c>
      <c r="H23" s="10" t="n">
        <f aca="false">IF(B23=1,Inputs!$B$7,INDEX(Annual!$AC$2:$AC$51,B23-1))</f>
        <v>520000</v>
      </c>
      <c r="I23" s="10" t="n">
        <f aca="false">Inputs!$B$12*IF(Inputs!$B$35="",H23,MIN(H23,Inputs!$B$7*(1+Inputs!$B$35)^(B23-1)))/12</f>
        <v>390</v>
      </c>
      <c r="J23" s="10" t="n">
        <f aca="false">Inputs!$B$13*Inputs!$B$7*(1+Inputs!$B$22)^(B23-1)/12</f>
        <v>214.166666666667</v>
      </c>
      <c r="K23" s="10" t="n">
        <f aca="false">Inputs!$B$14*Inputs!$B$7*(1+Inputs!$B$22)^(B23-1)/12</f>
        <v>428.333333333333</v>
      </c>
      <c r="L23" s="10" t="n">
        <f aca="false">Inputs!$B$15*(1+Inputs!$B$22)^(B23-1)</f>
        <v>0</v>
      </c>
      <c r="M23" s="10" t="n">
        <f aca="false">INDEX(Annual!$N$2:$N$51,B23)/12</f>
        <v>0</v>
      </c>
      <c r="N23" s="10" t="n">
        <f aca="false">D23+E23+G23+I23+J23+K23+L23-M23</f>
        <v>3769.34912898071</v>
      </c>
      <c r="O23" s="10" t="n">
        <f aca="false">Inputs!$B$17*(1+Inputs!$B$18)^(B23-1)+Inputs!$B$19*(1+Inputs!$B$22)^(B23-1)</f>
        <v>2602.92</v>
      </c>
      <c r="P23" s="10" t="n">
        <f aca="false">N23-O23</f>
        <v>1166.42912898071</v>
      </c>
      <c r="Q23" s="10" t="n">
        <f aca="false">Q22*(1+Inputs!$B$42)-U23+MAX(P23,0)</f>
        <v>154902.820925838</v>
      </c>
      <c r="R23" s="10" t="n">
        <f aca="false">R22+Q22*Inputs!$B$48-U23+MAX(P23,0)</f>
        <v>141097.09049963</v>
      </c>
      <c r="S23" s="10" t="n">
        <f aca="false">S22*(1+Inputs!$B$42)-V23+MAX(-P23,0)</f>
        <v>0</v>
      </c>
      <c r="T23" s="10" t="n">
        <f aca="false">T22+S22*Inputs!$B$48-V23+MAX(-P23,0)</f>
        <v>0</v>
      </c>
      <c r="U23" s="10" t="n">
        <f aca="false">Q22*Inputs!$B$48*Inputs!$B$29</f>
        <v>21.0227786571584</v>
      </c>
      <c r="V23" s="10" t="n">
        <f aca="false">S22*Inputs!$B$48*Inputs!$B$29</f>
        <v>0</v>
      </c>
    </row>
    <row r="24" customFormat="false" ht="15" hidden="false" customHeight="false" outlineLevel="0" collapsed="false">
      <c r="A24" s="16" t="n">
        <v>23</v>
      </c>
      <c r="B24" s="16" t="n">
        <f aca="false">ROUNDUP(A24/12,0)</f>
        <v>2</v>
      </c>
      <c r="C24" s="10" t="n">
        <f aca="false">F23</f>
        <v>392723.197465868</v>
      </c>
      <c r="D24" s="10" t="n">
        <f aca="false">IF(AND(A24&lt;=Inputs!$B$9*12,C24&gt;0.000001),C24*Inputs!$B$10/12,0)</f>
        <v>2382.52073129293</v>
      </c>
      <c r="E24" s="10" t="n">
        <f aca="false">IF(AND(A24&lt;=Inputs!$B$9*12,C24&gt;0.000001),MIN(C24,Inputs!$B$41-D24),0)</f>
        <v>354.328397687775</v>
      </c>
      <c r="F24" s="10" t="n">
        <f aca="false">C24-E24</f>
        <v>392368.86906818</v>
      </c>
      <c r="G24" s="10" t="n">
        <f aca="false">IF(AND(Inputs!$B$43=1,C24&gt;0.78*Inputs!$B$7,A24&lt;=Inputs!$B$9*6),Inputs!$B$16*Inputs!$B$39/12,0)</f>
        <v>0</v>
      </c>
      <c r="H24" s="10" t="n">
        <f aca="false">IF(B24=1,Inputs!$B$7,INDEX(Annual!$AC$2:$AC$51,B24-1))</f>
        <v>520000</v>
      </c>
      <c r="I24" s="10" t="n">
        <f aca="false">Inputs!$B$12*IF(Inputs!$B$35="",H24,MIN(H24,Inputs!$B$7*(1+Inputs!$B$35)^(B24-1)))/12</f>
        <v>390</v>
      </c>
      <c r="J24" s="10" t="n">
        <f aca="false">Inputs!$B$13*Inputs!$B$7*(1+Inputs!$B$22)^(B24-1)/12</f>
        <v>214.166666666667</v>
      </c>
      <c r="K24" s="10" t="n">
        <f aca="false">Inputs!$B$14*Inputs!$B$7*(1+Inputs!$B$22)^(B24-1)/12</f>
        <v>428.333333333333</v>
      </c>
      <c r="L24" s="10" t="n">
        <f aca="false">Inputs!$B$15*(1+Inputs!$B$22)^(B24-1)</f>
        <v>0</v>
      </c>
      <c r="M24" s="10" t="n">
        <f aca="false">INDEX(Annual!$N$2:$N$51,B24)/12</f>
        <v>0</v>
      </c>
      <c r="N24" s="10" t="n">
        <f aca="false">D24+E24+G24+I24+J24+K24+L24-M24</f>
        <v>3769.34912898071</v>
      </c>
      <c r="O24" s="10" t="n">
        <f aca="false">Inputs!$B$17*(1+Inputs!$B$18)^(B24-1)+Inputs!$B$19*(1+Inputs!$B$22)^(B24-1)</f>
        <v>2602.92</v>
      </c>
      <c r="P24" s="10" t="n">
        <f aca="false">N24-O24</f>
        <v>1166.42912898071</v>
      </c>
      <c r="Q24" s="10" t="n">
        <f aca="false">Q23*(1+Inputs!$B$42)-U24+MAX(P24,0)</f>
        <v>156923.793987375</v>
      </c>
      <c r="R24" s="10" t="n">
        <f aca="false">R23+Q23*Inputs!$B$48-U24+MAX(P24,0)</f>
        <v>142384.214743249</v>
      </c>
      <c r="S24" s="10" t="n">
        <f aca="false">S23*(1+Inputs!$B$42)-V24+MAX(-P24,0)</f>
        <v>0</v>
      </c>
      <c r="T24" s="10" t="n">
        <f aca="false">T23+S23*Inputs!$B$48-V24+MAX(-P24,0)</f>
        <v>0</v>
      </c>
      <c r="U24" s="10" t="n">
        <f aca="false">Q23*Inputs!$B$48*Inputs!$B$29</f>
        <v>21.2991378773027</v>
      </c>
      <c r="V24" s="10" t="n">
        <f aca="false">S23*Inputs!$B$48*Inputs!$B$29</f>
        <v>0</v>
      </c>
    </row>
    <row r="25" customFormat="false" ht="15" hidden="false" customHeight="false" outlineLevel="0" collapsed="false">
      <c r="A25" s="16" t="n">
        <v>24</v>
      </c>
      <c r="B25" s="16" t="n">
        <f aca="false">ROUNDUP(A25/12,0)</f>
        <v>2</v>
      </c>
      <c r="C25" s="10" t="n">
        <f aca="false">F24</f>
        <v>392368.86906818</v>
      </c>
      <c r="D25" s="10" t="n">
        <f aca="false">IF(AND(A25&lt;=Inputs!$B$9*12,C25&gt;0.000001),C25*Inputs!$B$10/12,0)</f>
        <v>2380.37113901363</v>
      </c>
      <c r="E25" s="10" t="n">
        <f aca="false">IF(AND(A25&lt;=Inputs!$B$9*12,C25&gt;0.000001),MIN(C25,Inputs!$B$41-D25),0)</f>
        <v>356.47798996708</v>
      </c>
      <c r="F25" s="10" t="n">
        <f aca="false">C25-E25</f>
        <v>392012.391078213</v>
      </c>
      <c r="G25" s="10" t="n">
        <f aca="false">IF(AND(Inputs!$B$43=1,C25&gt;0.78*Inputs!$B$7,A25&lt;=Inputs!$B$9*6),Inputs!$B$16*Inputs!$B$39/12,0)</f>
        <v>0</v>
      </c>
      <c r="H25" s="10" t="n">
        <f aca="false">IF(B25=1,Inputs!$B$7,INDEX(Annual!$AC$2:$AC$51,B25-1))</f>
        <v>520000</v>
      </c>
      <c r="I25" s="10" t="n">
        <f aca="false">Inputs!$B$12*IF(Inputs!$B$35="",H25,MIN(H25,Inputs!$B$7*(1+Inputs!$B$35)^(B25-1)))/12</f>
        <v>390</v>
      </c>
      <c r="J25" s="10" t="n">
        <f aca="false">Inputs!$B$13*Inputs!$B$7*(1+Inputs!$B$22)^(B25-1)/12</f>
        <v>214.166666666667</v>
      </c>
      <c r="K25" s="10" t="n">
        <f aca="false">Inputs!$B$14*Inputs!$B$7*(1+Inputs!$B$22)^(B25-1)/12</f>
        <v>428.333333333333</v>
      </c>
      <c r="L25" s="10" t="n">
        <f aca="false">Inputs!$B$15*(1+Inputs!$B$22)^(B25-1)</f>
        <v>0</v>
      </c>
      <c r="M25" s="10" t="n">
        <f aca="false">INDEX(Annual!$N$2:$N$51,B25)/12</f>
        <v>0</v>
      </c>
      <c r="N25" s="10" t="n">
        <f aca="false">D25+E25+G25+I25+J25+K25+L25-M25</f>
        <v>3769.34912898071</v>
      </c>
      <c r="O25" s="10" t="n">
        <f aca="false">Inputs!$B$17*(1+Inputs!$B$18)^(B25-1)+Inputs!$B$19*(1+Inputs!$B$22)^(B25-1)</f>
        <v>2602.92</v>
      </c>
      <c r="P25" s="10" t="n">
        <f aca="false">N25-O25</f>
        <v>1166.42912898071</v>
      </c>
      <c r="Q25" s="10" t="n">
        <f aca="false">Q24*(1+Inputs!$B$42)-U25+MAX(P25,0)</f>
        <v>158955.916040631</v>
      </c>
      <c r="R25" s="10" t="n">
        <f aca="false">R24+Q24*Inputs!$B$48-U25+MAX(P25,0)</f>
        <v>143672.913661711</v>
      </c>
      <c r="S25" s="10" t="n">
        <f aca="false">S24*(1+Inputs!$B$42)-V25+MAX(-P25,0)</f>
        <v>0</v>
      </c>
      <c r="T25" s="10" t="n">
        <f aca="false">T24+S24*Inputs!$B$48-V25+MAX(-P25,0)</f>
        <v>0</v>
      </c>
      <c r="U25" s="10" t="n">
        <f aca="false">Q24*Inputs!$B$48*Inputs!$B$29</f>
        <v>21.5770216732641</v>
      </c>
      <c r="V25" s="10" t="n">
        <f aca="false">S24*Inputs!$B$48*Inputs!$B$29</f>
        <v>0</v>
      </c>
    </row>
    <row r="26" customFormat="false" ht="15" hidden="false" customHeight="false" outlineLevel="0" collapsed="false">
      <c r="A26" s="16" t="n">
        <v>25</v>
      </c>
      <c r="B26" s="16" t="n">
        <f aca="false">ROUNDUP(A26/12,0)</f>
        <v>3</v>
      </c>
      <c r="C26" s="10" t="n">
        <f aca="false">F25</f>
        <v>392012.391078213</v>
      </c>
      <c r="D26" s="10" t="n">
        <f aca="false">IF(AND(A26&lt;=Inputs!$B$9*12,C26&gt;0.000001),C26*Inputs!$B$10/12,0)</f>
        <v>2378.20850587449</v>
      </c>
      <c r="E26" s="10" t="n">
        <f aca="false">IF(AND(A26&lt;=Inputs!$B$9*12,C26&gt;0.000001),MIN(C26,Inputs!$B$41-D26),0)</f>
        <v>358.640623106214</v>
      </c>
      <c r="F26" s="10" t="n">
        <f aca="false">C26-E26</f>
        <v>391653.750455107</v>
      </c>
      <c r="G26" s="10" t="n">
        <f aca="false">IF(AND(Inputs!$B$43=1,C26&gt;0.78*Inputs!$B$7,A26&lt;=Inputs!$B$9*6),Inputs!$B$16*Inputs!$B$39/12,0)</f>
        <v>0</v>
      </c>
      <c r="H26" s="10" t="n">
        <f aca="false">IF(B26=1,Inputs!$B$7,INDEX(Annual!$AC$2:$AC$51,B26-1))</f>
        <v>540800</v>
      </c>
      <c r="I26" s="10" t="n">
        <f aca="false">Inputs!$B$12*IF(Inputs!$B$35="",H26,MIN(H26,Inputs!$B$7*(1+Inputs!$B$35)^(B26-1)))/12</f>
        <v>405.6</v>
      </c>
      <c r="J26" s="10" t="n">
        <f aca="false">Inputs!$B$13*Inputs!$B$7*(1+Inputs!$B$22)^(B26-1)/12</f>
        <v>220.163333333333</v>
      </c>
      <c r="K26" s="10" t="n">
        <f aca="false">Inputs!$B$14*Inputs!$B$7*(1+Inputs!$B$22)^(B26-1)/12</f>
        <v>440.326666666667</v>
      </c>
      <c r="L26" s="10" t="n">
        <f aca="false">Inputs!$B$15*(1+Inputs!$B$22)^(B26-1)</f>
        <v>0</v>
      </c>
      <c r="M26" s="10" t="n">
        <f aca="false">INDEX(Annual!$N$2:$N$51,B26)/12</f>
        <v>0</v>
      </c>
      <c r="N26" s="10" t="n">
        <f aca="false">D26+E26+G26+I26+J26+K26+L26-M26</f>
        <v>3802.93912898071</v>
      </c>
      <c r="O26" s="10" t="n">
        <f aca="false">Inputs!$B$17*(1+Inputs!$B$18)^(B26-1)+Inputs!$B$19*(1+Inputs!$B$22)^(B26-1)</f>
        <v>2693.91426</v>
      </c>
      <c r="P26" s="10" t="n">
        <f aca="false">N26-O26</f>
        <v>1109.02486898071</v>
      </c>
      <c r="Q26" s="10" t="n">
        <f aca="false">Q25*(1+Inputs!$B$42)-U26+MAX(P26,0)</f>
        <v>160941.844330638</v>
      </c>
      <c r="R26" s="10" t="n">
        <f aca="false">R25+Q25*Inputs!$B$48-U26+MAX(P26,0)</f>
        <v>144905.79168194</v>
      </c>
      <c r="S26" s="10" t="n">
        <f aca="false">S25*(1+Inputs!$B$42)-V26+MAX(-P26,0)</f>
        <v>0</v>
      </c>
      <c r="T26" s="10" t="n">
        <f aca="false">T25+S25*Inputs!$B$48-V26+MAX(-P26,0)</f>
        <v>0</v>
      </c>
      <c r="U26" s="10" t="n">
        <f aca="false">Q25*Inputs!$B$48*Inputs!$B$29</f>
        <v>21.8564384555867</v>
      </c>
      <c r="V26" s="10" t="n">
        <f aca="false">S25*Inputs!$B$48*Inputs!$B$29</f>
        <v>0</v>
      </c>
    </row>
    <row r="27" customFormat="false" ht="15" hidden="false" customHeight="false" outlineLevel="0" collapsed="false">
      <c r="A27" s="16" t="n">
        <v>26</v>
      </c>
      <c r="B27" s="16" t="n">
        <f aca="false">ROUNDUP(A27/12,0)</f>
        <v>3</v>
      </c>
      <c r="C27" s="10" t="n">
        <f aca="false">F26</f>
        <v>391653.750455107</v>
      </c>
      <c r="D27" s="10" t="n">
        <f aca="false">IF(AND(A27&lt;=Inputs!$B$9*12,C27&gt;0.000001),C27*Inputs!$B$10/12,0)</f>
        <v>2376.03275276098</v>
      </c>
      <c r="E27" s="10" t="n">
        <f aca="false">IF(AND(A27&lt;=Inputs!$B$9*12,C27&gt;0.000001),MIN(C27,Inputs!$B$41-D27),0)</f>
        <v>360.816376219725</v>
      </c>
      <c r="F27" s="10" t="n">
        <f aca="false">C27-E27</f>
        <v>391292.934078887</v>
      </c>
      <c r="G27" s="10" t="n">
        <f aca="false">IF(AND(Inputs!$B$43=1,C27&gt;0.78*Inputs!$B$7,A27&lt;=Inputs!$B$9*6),Inputs!$B$16*Inputs!$B$39/12,0)</f>
        <v>0</v>
      </c>
      <c r="H27" s="10" t="n">
        <f aca="false">IF(B27=1,Inputs!$B$7,INDEX(Annual!$AC$2:$AC$51,B27-1))</f>
        <v>540800</v>
      </c>
      <c r="I27" s="10" t="n">
        <f aca="false">Inputs!$B$12*IF(Inputs!$B$35="",H27,MIN(H27,Inputs!$B$7*(1+Inputs!$B$35)^(B27-1)))/12</f>
        <v>405.6</v>
      </c>
      <c r="J27" s="10" t="n">
        <f aca="false">Inputs!$B$13*Inputs!$B$7*(1+Inputs!$B$22)^(B27-1)/12</f>
        <v>220.163333333333</v>
      </c>
      <c r="K27" s="10" t="n">
        <f aca="false">Inputs!$B$14*Inputs!$B$7*(1+Inputs!$B$22)^(B27-1)/12</f>
        <v>440.326666666667</v>
      </c>
      <c r="L27" s="10" t="n">
        <f aca="false">Inputs!$B$15*(1+Inputs!$B$22)^(B27-1)</f>
        <v>0</v>
      </c>
      <c r="M27" s="10" t="n">
        <f aca="false">INDEX(Annual!$N$2:$N$51,B27)/12</f>
        <v>0</v>
      </c>
      <c r="N27" s="10" t="n">
        <f aca="false">D27+E27+G27+I27+J27+K27+L27-M27</f>
        <v>3802.93912898071</v>
      </c>
      <c r="O27" s="10" t="n">
        <f aca="false">Inputs!$B$17*(1+Inputs!$B$18)^(B27-1)+Inputs!$B$19*(1+Inputs!$B$22)^(B27-1)</f>
        <v>2693.91426</v>
      </c>
      <c r="P27" s="10" t="n">
        <f aca="false">N27-O27</f>
        <v>1109.02486898071</v>
      </c>
      <c r="Q27" s="10" t="n">
        <f aca="false">Q26*(1+Inputs!$B$42)-U27+MAX(P27,0)</f>
        <v>162938.728282786</v>
      </c>
      <c r="R27" s="10" t="n">
        <f aca="false">R26+Q26*Inputs!$B$48-U27+MAX(P27,0)</f>
        <v>146140.217071295</v>
      </c>
      <c r="S27" s="10" t="n">
        <f aca="false">S26*(1+Inputs!$B$42)-V27+MAX(-P27,0)</f>
        <v>0</v>
      </c>
      <c r="T27" s="10" t="n">
        <f aca="false">T26+S26*Inputs!$B$48-V27+MAX(-P27,0)</f>
        <v>0</v>
      </c>
      <c r="U27" s="10" t="n">
        <f aca="false">Q26*Inputs!$B$48*Inputs!$B$29</f>
        <v>22.1295035954627</v>
      </c>
      <c r="V27" s="10" t="n">
        <f aca="false">S26*Inputs!$B$48*Inputs!$B$29</f>
        <v>0</v>
      </c>
    </row>
    <row r="28" customFormat="false" ht="15" hidden="false" customHeight="false" outlineLevel="0" collapsed="false">
      <c r="A28" s="16" t="n">
        <v>27</v>
      </c>
      <c r="B28" s="16" t="n">
        <f aca="false">ROUNDUP(A28/12,0)</f>
        <v>3</v>
      </c>
      <c r="C28" s="10" t="n">
        <f aca="false">F27</f>
        <v>391292.934078887</v>
      </c>
      <c r="D28" s="10" t="n">
        <f aca="false">IF(AND(A28&lt;=Inputs!$B$9*12,C28&gt;0.000001),C28*Inputs!$B$10/12,0)</f>
        <v>2373.84380007858</v>
      </c>
      <c r="E28" s="10" t="n">
        <f aca="false">IF(AND(A28&lt;=Inputs!$B$9*12,C28&gt;0.000001),MIN(C28,Inputs!$B$41-D28),0)</f>
        <v>363.005328902125</v>
      </c>
      <c r="F28" s="10" t="n">
        <f aca="false">C28-E28</f>
        <v>390929.928749985</v>
      </c>
      <c r="G28" s="10" t="n">
        <f aca="false">IF(AND(Inputs!$B$43=1,C28&gt;0.78*Inputs!$B$7,A28&lt;=Inputs!$B$9*6),Inputs!$B$16*Inputs!$B$39/12,0)</f>
        <v>0</v>
      </c>
      <c r="H28" s="10" t="n">
        <f aca="false">IF(B28=1,Inputs!$B$7,INDEX(Annual!$AC$2:$AC$51,B28-1))</f>
        <v>540800</v>
      </c>
      <c r="I28" s="10" t="n">
        <f aca="false">Inputs!$B$12*IF(Inputs!$B$35="",H28,MIN(H28,Inputs!$B$7*(1+Inputs!$B$35)^(B28-1)))/12</f>
        <v>405.6</v>
      </c>
      <c r="J28" s="10" t="n">
        <f aca="false">Inputs!$B$13*Inputs!$B$7*(1+Inputs!$B$22)^(B28-1)/12</f>
        <v>220.163333333333</v>
      </c>
      <c r="K28" s="10" t="n">
        <f aca="false">Inputs!$B$14*Inputs!$B$7*(1+Inputs!$B$22)^(B28-1)/12</f>
        <v>440.326666666667</v>
      </c>
      <c r="L28" s="10" t="n">
        <f aca="false">Inputs!$B$15*(1+Inputs!$B$22)^(B28-1)</f>
        <v>0</v>
      </c>
      <c r="M28" s="10" t="n">
        <f aca="false">INDEX(Annual!$N$2:$N$51,B28)/12</f>
        <v>0</v>
      </c>
      <c r="N28" s="10" t="n">
        <f aca="false">D28+E28+G28+I28+J28+K28+L28-M28</f>
        <v>3802.93912898071</v>
      </c>
      <c r="O28" s="10" t="n">
        <f aca="false">Inputs!$B$17*(1+Inputs!$B$18)^(B28-1)+Inputs!$B$19*(1+Inputs!$B$22)^(B28-1)</f>
        <v>2693.91426</v>
      </c>
      <c r="P28" s="10" t="n">
        <f aca="false">N28-O28</f>
        <v>1109.02486898071</v>
      </c>
      <c r="Q28" s="10" t="n">
        <f aca="false">Q27*(1+Inputs!$B$42)-U28+MAX(P28,0)</f>
        <v>164946.628335577</v>
      </c>
      <c r="R28" s="10" t="n">
        <f aca="false">R27+Q27*Inputs!$B$48-U28+MAX(P28,0)</f>
        <v>147376.198366063</v>
      </c>
      <c r="S28" s="10" t="n">
        <f aca="false">S27*(1+Inputs!$B$42)-V28+MAX(-P28,0)</f>
        <v>0</v>
      </c>
      <c r="T28" s="10" t="n">
        <f aca="false">T27+S27*Inputs!$B$48-V28+MAX(-P28,0)</f>
        <v>0</v>
      </c>
      <c r="U28" s="10" t="n">
        <f aca="false">Q27*Inputs!$B$48*Inputs!$B$29</f>
        <v>22.404075138883</v>
      </c>
      <c r="V28" s="10" t="n">
        <f aca="false">S27*Inputs!$B$48*Inputs!$B$29</f>
        <v>0</v>
      </c>
    </row>
    <row r="29" customFormat="false" ht="15" hidden="false" customHeight="false" outlineLevel="0" collapsed="false">
      <c r="A29" s="16" t="n">
        <v>28</v>
      </c>
      <c r="B29" s="16" t="n">
        <f aca="false">ROUNDUP(A29/12,0)</f>
        <v>3</v>
      </c>
      <c r="C29" s="10" t="n">
        <f aca="false">F28</f>
        <v>390929.928749985</v>
      </c>
      <c r="D29" s="10" t="n">
        <f aca="false">IF(AND(A29&lt;=Inputs!$B$9*12,C29&gt;0.000001),C29*Inputs!$B$10/12,0)</f>
        <v>2371.64156774991</v>
      </c>
      <c r="E29" s="10" t="n">
        <f aca="false">IF(AND(A29&lt;=Inputs!$B$9*12,C29&gt;0.000001),MIN(C29,Inputs!$B$41-D29),0)</f>
        <v>365.207561230798</v>
      </c>
      <c r="F29" s="10" t="n">
        <f aca="false">C29-E29</f>
        <v>390564.721188754</v>
      </c>
      <c r="G29" s="10" t="n">
        <f aca="false">IF(AND(Inputs!$B$43=1,C29&gt;0.78*Inputs!$B$7,A29&lt;=Inputs!$B$9*6),Inputs!$B$16*Inputs!$B$39/12,0)</f>
        <v>0</v>
      </c>
      <c r="H29" s="10" t="n">
        <f aca="false">IF(B29=1,Inputs!$B$7,INDEX(Annual!$AC$2:$AC$51,B29-1))</f>
        <v>540800</v>
      </c>
      <c r="I29" s="10" t="n">
        <f aca="false">Inputs!$B$12*IF(Inputs!$B$35="",H29,MIN(H29,Inputs!$B$7*(1+Inputs!$B$35)^(B29-1)))/12</f>
        <v>405.6</v>
      </c>
      <c r="J29" s="10" t="n">
        <f aca="false">Inputs!$B$13*Inputs!$B$7*(1+Inputs!$B$22)^(B29-1)/12</f>
        <v>220.163333333333</v>
      </c>
      <c r="K29" s="10" t="n">
        <f aca="false">Inputs!$B$14*Inputs!$B$7*(1+Inputs!$B$22)^(B29-1)/12</f>
        <v>440.326666666667</v>
      </c>
      <c r="L29" s="10" t="n">
        <f aca="false">Inputs!$B$15*(1+Inputs!$B$22)^(B29-1)</f>
        <v>0</v>
      </c>
      <c r="M29" s="10" t="n">
        <f aca="false">INDEX(Annual!$N$2:$N$51,B29)/12</f>
        <v>0</v>
      </c>
      <c r="N29" s="10" t="n">
        <f aca="false">D29+E29+G29+I29+J29+K29+L29-M29</f>
        <v>3802.93912898071</v>
      </c>
      <c r="O29" s="10" t="n">
        <f aca="false">Inputs!$B$17*(1+Inputs!$B$18)^(B29-1)+Inputs!$B$19*(1+Inputs!$B$22)^(B29-1)</f>
        <v>2693.91426</v>
      </c>
      <c r="P29" s="10" t="n">
        <f aca="false">N29-O29</f>
        <v>1109.02486898071</v>
      </c>
      <c r="Q29" s="10" t="n">
        <f aca="false">Q28*(1+Inputs!$B$42)-U29+MAX(P29,0)</f>
        <v>166965.605260934</v>
      </c>
      <c r="R29" s="10" t="n">
        <f aca="false">R28+Q28*Inputs!$B$48-U29+MAX(P29,0)</f>
        <v>148613.744149622</v>
      </c>
      <c r="S29" s="10" t="n">
        <f aca="false">S28*(1+Inputs!$B$42)-V29+MAX(-P29,0)</f>
        <v>0</v>
      </c>
      <c r="T29" s="10" t="n">
        <f aca="false">T28+S28*Inputs!$B$48-V29+MAX(-P29,0)</f>
        <v>0</v>
      </c>
      <c r="U29" s="10" t="n">
        <f aca="false">Q28*Inputs!$B$48*Inputs!$B$29</f>
        <v>22.6801613961419</v>
      </c>
      <c r="V29" s="10" t="n">
        <f aca="false">S28*Inputs!$B$48*Inputs!$B$29</f>
        <v>0</v>
      </c>
    </row>
    <row r="30" customFormat="false" ht="15" hidden="false" customHeight="false" outlineLevel="0" collapsed="false">
      <c r="A30" s="16" t="n">
        <v>29</v>
      </c>
      <c r="B30" s="16" t="n">
        <f aca="false">ROUNDUP(A30/12,0)</f>
        <v>3</v>
      </c>
      <c r="C30" s="10" t="n">
        <f aca="false">F29</f>
        <v>390564.721188754</v>
      </c>
      <c r="D30" s="10" t="n">
        <f aca="false">IF(AND(A30&lt;=Inputs!$B$9*12,C30&gt;0.000001),C30*Inputs!$B$10/12,0)</f>
        <v>2369.42597521177</v>
      </c>
      <c r="E30" s="10" t="n">
        <f aca="false">IF(AND(A30&lt;=Inputs!$B$9*12,C30&gt;0.000001),MIN(C30,Inputs!$B$41-D30),0)</f>
        <v>367.423153768931</v>
      </c>
      <c r="F30" s="10" t="n">
        <f aca="false">C30-E30</f>
        <v>390197.298034985</v>
      </c>
      <c r="G30" s="10" t="n">
        <f aca="false">IF(AND(Inputs!$B$43=1,C30&gt;0.78*Inputs!$B$7,A30&lt;=Inputs!$B$9*6),Inputs!$B$16*Inputs!$B$39/12,0)</f>
        <v>0</v>
      </c>
      <c r="H30" s="10" t="n">
        <f aca="false">IF(B30=1,Inputs!$B$7,INDEX(Annual!$AC$2:$AC$51,B30-1))</f>
        <v>540800</v>
      </c>
      <c r="I30" s="10" t="n">
        <f aca="false">Inputs!$B$12*IF(Inputs!$B$35="",H30,MIN(H30,Inputs!$B$7*(1+Inputs!$B$35)^(B30-1)))/12</f>
        <v>405.6</v>
      </c>
      <c r="J30" s="10" t="n">
        <f aca="false">Inputs!$B$13*Inputs!$B$7*(1+Inputs!$B$22)^(B30-1)/12</f>
        <v>220.163333333333</v>
      </c>
      <c r="K30" s="10" t="n">
        <f aca="false">Inputs!$B$14*Inputs!$B$7*(1+Inputs!$B$22)^(B30-1)/12</f>
        <v>440.326666666667</v>
      </c>
      <c r="L30" s="10" t="n">
        <f aca="false">Inputs!$B$15*(1+Inputs!$B$22)^(B30-1)</f>
        <v>0</v>
      </c>
      <c r="M30" s="10" t="n">
        <f aca="false">INDEX(Annual!$N$2:$N$51,B30)/12</f>
        <v>0</v>
      </c>
      <c r="N30" s="10" t="n">
        <f aca="false">D30+E30+G30+I30+J30+K30+L30-M30</f>
        <v>3802.93912898071</v>
      </c>
      <c r="O30" s="10" t="n">
        <f aca="false">Inputs!$B$17*(1+Inputs!$B$18)^(B30-1)+Inputs!$B$19*(1+Inputs!$B$22)^(B30-1)</f>
        <v>2693.91426</v>
      </c>
      <c r="P30" s="10" t="n">
        <f aca="false">N30-O30</f>
        <v>1109.02486898071</v>
      </c>
      <c r="Q30" s="10" t="n">
        <f aca="false">Q29*(1+Inputs!$B$42)-U30+MAX(P30,0)</f>
        <v>168995.720166032</v>
      </c>
      <c r="R30" s="10" t="n">
        <f aca="false">R29+Q29*Inputs!$B$48-U30+MAX(P30,0)</f>
        <v>149852.863052702</v>
      </c>
      <c r="S30" s="10" t="n">
        <f aca="false">S29*(1+Inputs!$B$42)-V30+MAX(-P30,0)</f>
        <v>0</v>
      </c>
      <c r="T30" s="10" t="n">
        <f aca="false">T29+S29*Inputs!$B$48-V30+MAX(-P30,0)</f>
        <v>0</v>
      </c>
      <c r="U30" s="10" t="n">
        <f aca="false">Q29*Inputs!$B$48*Inputs!$B$29</f>
        <v>22.9577707233784</v>
      </c>
      <c r="V30" s="10" t="n">
        <f aca="false">S29*Inputs!$B$48*Inputs!$B$29</f>
        <v>0</v>
      </c>
    </row>
    <row r="31" customFormat="false" ht="15" hidden="false" customHeight="false" outlineLevel="0" collapsed="false">
      <c r="A31" s="16" t="n">
        <v>30</v>
      </c>
      <c r="B31" s="16" t="n">
        <f aca="false">ROUNDUP(A31/12,0)</f>
        <v>3</v>
      </c>
      <c r="C31" s="10" t="n">
        <f aca="false">F30</f>
        <v>390197.298034985</v>
      </c>
      <c r="D31" s="10" t="n">
        <f aca="false">IF(AND(A31&lt;=Inputs!$B$9*12,C31&gt;0.000001),C31*Inputs!$B$10/12,0)</f>
        <v>2367.19694141224</v>
      </c>
      <c r="E31" s="10" t="n">
        <f aca="false">IF(AND(A31&lt;=Inputs!$B$9*12,C31&gt;0.000001),MIN(C31,Inputs!$B$41-D31),0)</f>
        <v>369.652187568463</v>
      </c>
      <c r="F31" s="10" t="n">
        <f aca="false">C31-E31</f>
        <v>389827.645847417</v>
      </c>
      <c r="G31" s="10" t="n">
        <f aca="false">IF(AND(Inputs!$B$43=1,C31&gt;0.78*Inputs!$B$7,A31&lt;=Inputs!$B$9*6),Inputs!$B$16*Inputs!$B$39/12,0)</f>
        <v>0</v>
      </c>
      <c r="H31" s="10" t="n">
        <f aca="false">IF(B31=1,Inputs!$B$7,INDEX(Annual!$AC$2:$AC$51,B31-1))</f>
        <v>540800</v>
      </c>
      <c r="I31" s="10" t="n">
        <f aca="false">Inputs!$B$12*IF(Inputs!$B$35="",H31,MIN(H31,Inputs!$B$7*(1+Inputs!$B$35)^(B31-1)))/12</f>
        <v>405.6</v>
      </c>
      <c r="J31" s="10" t="n">
        <f aca="false">Inputs!$B$13*Inputs!$B$7*(1+Inputs!$B$22)^(B31-1)/12</f>
        <v>220.163333333333</v>
      </c>
      <c r="K31" s="10" t="n">
        <f aca="false">Inputs!$B$14*Inputs!$B$7*(1+Inputs!$B$22)^(B31-1)/12</f>
        <v>440.326666666667</v>
      </c>
      <c r="L31" s="10" t="n">
        <f aca="false">Inputs!$B$15*(1+Inputs!$B$22)^(B31-1)</f>
        <v>0</v>
      </c>
      <c r="M31" s="10" t="n">
        <f aca="false">INDEX(Annual!$N$2:$N$51,B31)/12</f>
        <v>0</v>
      </c>
      <c r="N31" s="10" t="n">
        <f aca="false">D31+E31+G31+I31+J31+K31+L31-M31</f>
        <v>3802.93912898071</v>
      </c>
      <c r="O31" s="10" t="n">
        <f aca="false">Inputs!$B$17*(1+Inputs!$B$18)^(B31-1)+Inputs!$B$19*(1+Inputs!$B$22)^(B31-1)</f>
        <v>2693.91426</v>
      </c>
      <c r="P31" s="10" t="n">
        <f aca="false">N31-O31</f>
        <v>1109.02486898071</v>
      </c>
      <c r="Q31" s="10" t="n">
        <f aca="false">Q30*(1+Inputs!$B$42)-U31+MAX(P31,0)</f>
        <v>171037.034495158</v>
      </c>
      <c r="R31" s="10" t="n">
        <f aca="false">R30+Q30*Inputs!$B$48-U31+MAX(P31,0)</f>
        <v>151093.563753645</v>
      </c>
      <c r="S31" s="10" t="n">
        <f aca="false">S30*(1+Inputs!$B$42)-V31+MAX(-P31,0)</f>
        <v>0</v>
      </c>
      <c r="T31" s="10" t="n">
        <f aca="false">T30+S30*Inputs!$B$48-V31+MAX(-P31,0)</f>
        <v>0</v>
      </c>
      <c r="U31" s="10" t="n">
        <f aca="false">Q30*Inputs!$B$48*Inputs!$B$29</f>
        <v>23.2369115228294</v>
      </c>
      <c r="V31" s="10" t="n">
        <f aca="false">S30*Inputs!$B$48*Inputs!$B$29</f>
        <v>0</v>
      </c>
    </row>
    <row r="32" customFormat="false" ht="15" hidden="false" customHeight="false" outlineLevel="0" collapsed="false">
      <c r="A32" s="16" t="n">
        <v>31</v>
      </c>
      <c r="B32" s="16" t="n">
        <f aca="false">ROUNDUP(A32/12,0)</f>
        <v>3</v>
      </c>
      <c r="C32" s="10" t="n">
        <f aca="false">F31</f>
        <v>389827.645847417</v>
      </c>
      <c r="D32" s="10" t="n">
        <f aca="false">IF(AND(A32&lt;=Inputs!$B$9*12,C32&gt;0.000001),C32*Inputs!$B$10/12,0)</f>
        <v>2364.95438480766</v>
      </c>
      <c r="E32" s="10" t="n">
        <f aca="false">IF(AND(A32&lt;=Inputs!$B$9*12,C32&gt;0.000001),MIN(C32,Inputs!$B$41-D32),0)</f>
        <v>371.894744173045</v>
      </c>
      <c r="F32" s="10" t="n">
        <f aca="false">C32-E32</f>
        <v>389455.751103244</v>
      </c>
      <c r="G32" s="10" t="n">
        <f aca="false">IF(AND(Inputs!$B$43=1,C32&gt;0.78*Inputs!$B$7,A32&lt;=Inputs!$B$9*6),Inputs!$B$16*Inputs!$B$39/12,0)</f>
        <v>0</v>
      </c>
      <c r="H32" s="10" t="n">
        <f aca="false">IF(B32=1,Inputs!$B$7,INDEX(Annual!$AC$2:$AC$51,B32-1))</f>
        <v>540800</v>
      </c>
      <c r="I32" s="10" t="n">
        <f aca="false">Inputs!$B$12*IF(Inputs!$B$35="",H32,MIN(H32,Inputs!$B$7*(1+Inputs!$B$35)^(B32-1)))/12</f>
        <v>405.6</v>
      </c>
      <c r="J32" s="10" t="n">
        <f aca="false">Inputs!$B$13*Inputs!$B$7*(1+Inputs!$B$22)^(B32-1)/12</f>
        <v>220.163333333333</v>
      </c>
      <c r="K32" s="10" t="n">
        <f aca="false">Inputs!$B$14*Inputs!$B$7*(1+Inputs!$B$22)^(B32-1)/12</f>
        <v>440.326666666667</v>
      </c>
      <c r="L32" s="10" t="n">
        <f aca="false">Inputs!$B$15*(1+Inputs!$B$22)^(B32-1)</f>
        <v>0</v>
      </c>
      <c r="M32" s="10" t="n">
        <f aca="false">INDEX(Annual!$N$2:$N$51,B32)/12</f>
        <v>0</v>
      </c>
      <c r="N32" s="10" t="n">
        <f aca="false">D32+E32+G32+I32+J32+K32+L32-M32</f>
        <v>3802.93912898071</v>
      </c>
      <c r="O32" s="10" t="n">
        <f aca="false">Inputs!$B$17*(1+Inputs!$B$18)^(B32-1)+Inputs!$B$19*(1+Inputs!$B$22)^(B32-1)</f>
        <v>2693.91426</v>
      </c>
      <c r="P32" s="10" t="n">
        <f aca="false">N32-O32</f>
        <v>1109.02486898071</v>
      </c>
      <c r="Q32" s="10" t="n">
        <f aca="false">Q31*(1+Inputs!$B$42)-U32+MAX(P32,0)</f>
        <v>173089.610031562</v>
      </c>
      <c r="R32" s="10" t="n">
        <f aca="false">R31+Q31*Inputs!$B$48-U32+MAX(P32,0)</f>
        <v>152335.85497867</v>
      </c>
      <c r="S32" s="10" t="n">
        <f aca="false">S31*(1+Inputs!$B$42)-V32+MAX(-P32,0)</f>
        <v>0</v>
      </c>
      <c r="T32" s="10" t="n">
        <f aca="false">T31+S31*Inputs!$B$48-V32+MAX(-P32,0)</f>
        <v>0</v>
      </c>
      <c r="U32" s="10" t="n">
        <f aca="false">Q31*Inputs!$B$48*Inputs!$B$29</f>
        <v>23.5175922430842</v>
      </c>
      <c r="V32" s="10" t="n">
        <f aca="false">S31*Inputs!$B$48*Inputs!$B$29</f>
        <v>0</v>
      </c>
    </row>
    <row r="33" customFormat="false" ht="15" hidden="false" customHeight="false" outlineLevel="0" collapsed="false">
      <c r="A33" s="16" t="n">
        <v>32</v>
      </c>
      <c r="B33" s="16" t="n">
        <f aca="false">ROUNDUP(A33/12,0)</f>
        <v>3</v>
      </c>
      <c r="C33" s="10" t="n">
        <f aca="false">F32</f>
        <v>389455.751103244</v>
      </c>
      <c r="D33" s="10" t="n">
        <f aca="false">IF(AND(A33&lt;=Inputs!$B$9*12,C33&gt;0.000001),C33*Inputs!$B$10/12,0)</f>
        <v>2362.69822335968</v>
      </c>
      <c r="E33" s="10" t="n">
        <f aca="false">IF(AND(A33&lt;=Inputs!$B$9*12,C33&gt;0.000001),MIN(C33,Inputs!$B$41-D33),0)</f>
        <v>374.150905621028</v>
      </c>
      <c r="F33" s="10" t="n">
        <f aca="false">C33-E33</f>
        <v>389081.600197623</v>
      </c>
      <c r="G33" s="10" t="n">
        <f aca="false">IF(AND(Inputs!$B$43=1,C33&gt;0.78*Inputs!$B$7,A33&lt;=Inputs!$B$9*6),Inputs!$B$16*Inputs!$B$39/12,0)</f>
        <v>0</v>
      </c>
      <c r="H33" s="10" t="n">
        <f aca="false">IF(B33=1,Inputs!$B$7,INDEX(Annual!$AC$2:$AC$51,B33-1))</f>
        <v>540800</v>
      </c>
      <c r="I33" s="10" t="n">
        <f aca="false">Inputs!$B$12*IF(Inputs!$B$35="",H33,MIN(H33,Inputs!$B$7*(1+Inputs!$B$35)^(B33-1)))/12</f>
        <v>405.6</v>
      </c>
      <c r="J33" s="10" t="n">
        <f aca="false">Inputs!$B$13*Inputs!$B$7*(1+Inputs!$B$22)^(B33-1)/12</f>
        <v>220.163333333333</v>
      </c>
      <c r="K33" s="10" t="n">
        <f aca="false">Inputs!$B$14*Inputs!$B$7*(1+Inputs!$B$22)^(B33-1)/12</f>
        <v>440.326666666667</v>
      </c>
      <c r="L33" s="10" t="n">
        <f aca="false">Inputs!$B$15*(1+Inputs!$B$22)^(B33-1)</f>
        <v>0</v>
      </c>
      <c r="M33" s="10" t="n">
        <f aca="false">INDEX(Annual!$N$2:$N$51,B33)/12</f>
        <v>0</v>
      </c>
      <c r="N33" s="10" t="n">
        <f aca="false">D33+E33+G33+I33+J33+K33+L33-M33</f>
        <v>3802.93912898071</v>
      </c>
      <c r="O33" s="10" t="n">
        <f aca="false">Inputs!$B$17*(1+Inputs!$B$18)^(B33-1)+Inputs!$B$19*(1+Inputs!$B$22)^(B33-1)</f>
        <v>2693.91426</v>
      </c>
      <c r="P33" s="10" t="n">
        <f aca="false">N33-O33</f>
        <v>1109.02486898071</v>
      </c>
      <c r="Q33" s="10" t="n">
        <f aca="false">Q32*(1+Inputs!$B$42)-U33+MAX(P33,0)</f>
        <v>175153.508899331</v>
      </c>
      <c r="R33" s="10" t="n">
        <f aca="false">R32+Q32*Inputs!$B$48-U33+MAX(P33,0)</f>
        <v>153579.745502134</v>
      </c>
      <c r="S33" s="10" t="n">
        <f aca="false">S32*(1+Inputs!$B$42)-V33+MAX(-P33,0)</f>
        <v>0</v>
      </c>
      <c r="T33" s="10" t="n">
        <f aca="false">T32+S32*Inputs!$B$48-V33+MAX(-P33,0)</f>
        <v>0</v>
      </c>
      <c r="U33" s="10" t="n">
        <f aca="false">Q32*Inputs!$B$48*Inputs!$B$29</f>
        <v>23.7998213793398</v>
      </c>
      <c r="V33" s="10" t="n">
        <f aca="false">S32*Inputs!$B$48*Inputs!$B$29</f>
        <v>0</v>
      </c>
    </row>
    <row r="34" customFormat="false" ht="15" hidden="false" customHeight="false" outlineLevel="0" collapsed="false">
      <c r="A34" s="16" t="n">
        <v>33</v>
      </c>
      <c r="B34" s="16" t="n">
        <f aca="false">ROUNDUP(A34/12,0)</f>
        <v>3</v>
      </c>
      <c r="C34" s="10" t="n">
        <f aca="false">F33</f>
        <v>389081.600197623</v>
      </c>
      <c r="D34" s="10" t="n">
        <f aca="false">IF(AND(A34&lt;=Inputs!$B$9*12,C34&gt;0.000001),C34*Inputs!$B$10/12,0)</f>
        <v>2360.42837453224</v>
      </c>
      <c r="E34" s="10" t="n">
        <f aca="false">IF(AND(A34&lt;=Inputs!$B$9*12,C34&gt;0.000001),MIN(C34,Inputs!$B$41-D34),0)</f>
        <v>376.420754448462</v>
      </c>
      <c r="F34" s="10" t="n">
        <f aca="false">C34-E34</f>
        <v>388705.179443174</v>
      </c>
      <c r="G34" s="10" t="n">
        <f aca="false">IF(AND(Inputs!$B$43=1,C34&gt;0.78*Inputs!$B$7,A34&lt;=Inputs!$B$9*6),Inputs!$B$16*Inputs!$B$39/12,0)</f>
        <v>0</v>
      </c>
      <c r="H34" s="10" t="n">
        <f aca="false">IF(B34=1,Inputs!$B$7,INDEX(Annual!$AC$2:$AC$51,B34-1))</f>
        <v>540800</v>
      </c>
      <c r="I34" s="10" t="n">
        <f aca="false">Inputs!$B$12*IF(Inputs!$B$35="",H34,MIN(H34,Inputs!$B$7*(1+Inputs!$B$35)^(B34-1)))/12</f>
        <v>405.6</v>
      </c>
      <c r="J34" s="10" t="n">
        <f aca="false">Inputs!$B$13*Inputs!$B$7*(1+Inputs!$B$22)^(B34-1)/12</f>
        <v>220.163333333333</v>
      </c>
      <c r="K34" s="10" t="n">
        <f aca="false">Inputs!$B$14*Inputs!$B$7*(1+Inputs!$B$22)^(B34-1)/12</f>
        <v>440.326666666667</v>
      </c>
      <c r="L34" s="10" t="n">
        <f aca="false">Inputs!$B$15*(1+Inputs!$B$22)^(B34-1)</f>
        <v>0</v>
      </c>
      <c r="M34" s="10" t="n">
        <f aca="false">INDEX(Annual!$N$2:$N$51,B34)/12</f>
        <v>0</v>
      </c>
      <c r="N34" s="10" t="n">
        <f aca="false">D34+E34+G34+I34+J34+K34+L34-M34</f>
        <v>3802.93912898071</v>
      </c>
      <c r="O34" s="10" t="n">
        <f aca="false">Inputs!$B$17*(1+Inputs!$B$18)^(B34-1)+Inputs!$B$19*(1+Inputs!$B$22)^(B34-1)</f>
        <v>2693.91426</v>
      </c>
      <c r="P34" s="10" t="n">
        <f aca="false">N34-O34</f>
        <v>1109.02486898071</v>
      </c>
      <c r="Q34" s="10" t="n">
        <f aca="false">Q33*(1+Inputs!$B$42)-U34+MAX(P34,0)</f>
        <v>177228.793565269</v>
      </c>
      <c r="R34" s="10" t="n">
        <f aca="false">R33+Q33*Inputs!$B$48-U34+MAX(P34,0)</f>
        <v>154825.244146798</v>
      </c>
      <c r="S34" s="10" t="n">
        <f aca="false">S33*(1+Inputs!$B$42)-V34+MAX(-P34,0)</f>
        <v>0</v>
      </c>
      <c r="T34" s="10" t="n">
        <f aca="false">T33+S33*Inputs!$B$48-V34+MAX(-P34,0)</f>
        <v>0</v>
      </c>
      <c r="U34" s="10" t="n">
        <f aca="false">Q33*Inputs!$B$48*Inputs!$B$29</f>
        <v>24.083607473658</v>
      </c>
      <c r="V34" s="10" t="n">
        <f aca="false">S33*Inputs!$B$48*Inputs!$B$29</f>
        <v>0</v>
      </c>
    </row>
    <row r="35" customFormat="false" ht="15" hidden="false" customHeight="false" outlineLevel="0" collapsed="false">
      <c r="A35" s="16" t="n">
        <v>34</v>
      </c>
      <c r="B35" s="16" t="n">
        <f aca="false">ROUNDUP(A35/12,0)</f>
        <v>3</v>
      </c>
      <c r="C35" s="10" t="n">
        <f aca="false">F34</f>
        <v>388705.179443174</v>
      </c>
      <c r="D35" s="10" t="n">
        <f aca="false">IF(AND(A35&lt;=Inputs!$B$9*12,C35&gt;0.000001),C35*Inputs!$B$10/12,0)</f>
        <v>2358.14475528859</v>
      </c>
      <c r="E35" s="10" t="n">
        <f aca="false">IF(AND(A35&lt;=Inputs!$B$9*12,C35&gt;0.000001),MIN(C35,Inputs!$B$41-D35),0)</f>
        <v>378.704373692116</v>
      </c>
      <c r="F35" s="10" t="n">
        <f aca="false">C35-E35</f>
        <v>388326.475069482</v>
      </c>
      <c r="G35" s="10" t="n">
        <f aca="false">IF(AND(Inputs!$B$43=1,C35&gt;0.78*Inputs!$B$7,A35&lt;=Inputs!$B$9*6),Inputs!$B$16*Inputs!$B$39/12,0)</f>
        <v>0</v>
      </c>
      <c r="H35" s="10" t="n">
        <f aca="false">IF(B35=1,Inputs!$B$7,INDEX(Annual!$AC$2:$AC$51,B35-1))</f>
        <v>540800</v>
      </c>
      <c r="I35" s="10" t="n">
        <f aca="false">Inputs!$B$12*IF(Inputs!$B$35="",H35,MIN(H35,Inputs!$B$7*(1+Inputs!$B$35)^(B35-1)))/12</f>
        <v>405.6</v>
      </c>
      <c r="J35" s="10" t="n">
        <f aca="false">Inputs!$B$13*Inputs!$B$7*(1+Inputs!$B$22)^(B35-1)/12</f>
        <v>220.163333333333</v>
      </c>
      <c r="K35" s="10" t="n">
        <f aca="false">Inputs!$B$14*Inputs!$B$7*(1+Inputs!$B$22)^(B35-1)/12</f>
        <v>440.326666666667</v>
      </c>
      <c r="L35" s="10" t="n">
        <f aca="false">Inputs!$B$15*(1+Inputs!$B$22)^(B35-1)</f>
        <v>0</v>
      </c>
      <c r="M35" s="10" t="n">
        <f aca="false">INDEX(Annual!$N$2:$N$51,B35)/12</f>
        <v>0</v>
      </c>
      <c r="N35" s="10" t="n">
        <f aca="false">D35+E35+G35+I35+J35+K35+L35-M35</f>
        <v>3802.93912898071</v>
      </c>
      <c r="O35" s="10" t="n">
        <f aca="false">Inputs!$B$17*(1+Inputs!$B$18)^(B35-1)+Inputs!$B$19*(1+Inputs!$B$22)^(B35-1)</f>
        <v>2693.91426</v>
      </c>
      <c r="P35" s="10" t="n">
        <f aca="false">N35-O35</f>
        <v>1109.02486898071</v>
      </c>
      <c r="Q35" s="10" t="n">
        <f aca="false">Q34*(1+Inputs!$B$42)-U35+MAX(P35,0)</f>
        <v>179315.526840787</v>
      </c>
      <c r="R35" s="10" t="n">
        <f aca="false">R34+Q34*Inputs!$B$48-U35+MAX(P35,0)</f>
        <v>156072.359784099</v>
      </c>
      <c r="S35" s="10" t="n">
        <f aca="false">S34*(1+Inputs!$B$42)-V35+MAX(-P35,0)</f>
        <v>0</v>
      </c>
      <c r="T35" s="10" t="n">
        <f aca="false">T34+S34*Inputs!$B$48-V35+MAX(-P35,0)</f>
        <v>0</v>
      </c>
      <c r="U35" s="10" t="n">
        <f aca="false">Q34*Inputs!$B$48*Inputs!$B$29</f>
        <v>24.3689591152245</v>
      </c>
      <c r="V35" s="10" t="n">
        <f aca="false">S34*Inputs!$B$48*Inputs!$B$29</f>
        <v>0</v>
      </c>
    </row>
    <row r="36" customFormat="false" ht="15" hidden="false" customHeight="false" outlineLevel="0" collapsed="false">
      <c r="A36" s="16" t="n">
        <v>35</v>
      </c>
      <c r="B36" s="16" t="n">
        <f aca="false">ROUNDUP(A36/12,0)</f>
        <v>3</v>
      </c>
      <c r="C36" s="10" t="n">
        <f aca="false">F35</f>
        <v>388326.475069482</v>
      </c>
      <c r="D36" s="10" t="n">
        <f aca="false">IF(AND(A36&lt;=Inputs!$B$9*12,C36&gt;0.000001),C36*Inputs!$B$10/12,0)</f>
        <v>2355.84728208819</v>
      </c>
      <c r="E36" s="10" t="n">
        <f aca="false">IF(AND(A36&lt;=Inputs!$B$9*12,C36&gt;0.000001),MIN(C36,Inputs!$B$41-D36),0)</f>
        <v>381.001846892515</v>
      </c>
      <c r="F36" s="10" t="n">
        <f aca="false">C36-E36</f>
        <v>387945.473222589</v>
      </c>
      <c r="G36" s="10" t="n">
        <f aca="false">IF(AND(Inputs!$B$43=1,C36&gt;0.78*Inputs!$B$7,A36&lt;=Inputs!$B$9*6),Inputs!$B$16*Inputs!$B$39/12,0)</f>
        <v>0</v>
      </c>
      <c r="H36" s="10" t="n">
        <f aca="false">IF(B36=1,Inputs!$B$7,INDEX(Annual!$AC$2:$AC$51,B36-1))</f>
        <v>540800</v>
      </c>
      <c r="I36" s="10" t="n">
        <f aca="false">Inputs!$B$12*IF(Inputs!$B$35="",H36,MIN(H36,Inputs!$B$7*(1+Inputs!$B$35)^(B36-1)))/12</f>
        <v>405.6</v>
      </c>
      <c r="J36" s="10" t="n">
        <f aca="false">Inputs!$B$13*Inputs!$B$7*(1+Inputs!$B$22)^(B36-1)/12</f>
        <v>220.163333333333</v>
      </c>
      <c r="K36" s="10" t="n">
        <f aca="false">Inputs!$B$14*Inputs!$B$7*(1+Inputs!$B$22)^(B36-1)/12</f>
        <v>440.326666666667</v>
      </c>
      <c r="L36" s="10" t="n">
        <f aca="false">Inputs!$B$15*(1+Inputs!$B$22)^(B36-1)</f>
        <v>0</v>
      </c>
      <c r="M36" s="10" t="n">
        <f aca="false">INDEX(Annual!$N$2:$N$51,B36)/12</f>
        <v>0</v>
      </c>
      <c r="N36" s="10" t="n">
        <f aca="false">D36+E36+G36+I36+J36+K36+L36-M36</f>
        <v>3802.93912898071</v>
      </c>
      <c r="O36" s="10" t="n">
        <f aca="false">Inputs!$B$17*(1+Inputs!$B$18)^(B36-1)+Inputs!$B$19*(1+Inputs!$B$22)^(B36-1)</f>
        <v>2693.91426</v>
      </c>
      <c r="P36" s="10" t="n">
        <f aca="false">N36-O36</f>
        <v>1109.02486898071</v>
      </c>
      <c r="Q36" s="10" t="n">
        <f aca="false">Q35*(1+Inputs!$B$42)-U36+MAX(P36,0)</f>
        <v>181413.771883804</v>
      </c>
      <c r="R36" s="10" t="n">
        <f aca="false">R35+Q35*Inputs!$B$48-U36+MAX(P36,0)</f>
        <v>157321.10133441</v>
      </c>
      <c r="S36" s="10" t="n">
        <f aca="false">S35*(1+Inputs!$B$42)-V36+MAX(-P36,0)</f>
        <v>0</v>
      </c>
      <c r="T36" s="10" t="n">
        <f aca="false">T35+S35*Inputs!$B$48-V36+MAX(-P36,0)</f>
        <v>0</v>
      </c>
      <c r="U36" s="10" t="n">
        <f aca="false">Q35*Inputs!$B$48*Inputs!$B$29</f>
        <v>24.6558849406082</v>
      </c>
      <c r="V36" s="10" t="n">
        <f aca="false">S35*Inputs!$B$48*Inputs!$B$29</f>
        <v>0</v>
      </c>
    </row>
    <row r="37" customFormat="false" ht="15" hidden="false" customHeight="false" outlineLevel="0" collapsed="false">
      <c r="A37" s="16" t="n">
        <v>36</v>
      </c>
      <c r="B37" s="16" t="n">
        <f aca="false">ROUNDUP(A37/12,0)</f>
        <v>3</v>
      </c>
      <c r="C37" s="10" t="n">
        <f aca="false">F36</f>
        <v>387945.473222589</v>
      </c>
      <c r="D37" s="10" t="n">
        <f aca="false">IF(AND(A37&lt;=Inputs!$B$9*12,C37&gt;0.000001),C37*Inputs!$B$10/12,0)</f>
        <v>2353.53587088371</v>
      </c>
      <c r="E37" s="10" t="n">
        <f aca="false">IF(AND(A37&lt;=Inputs!$B$9*12,C37&gt;0.000001),MIN(C37,Inputs!$B$41-D37),0)</f>
        <v>383.313258096996</v>
      </c>
      <c r="F37" s="10" t="n">
        <f aca="false">C37-E37</f>
        <v>387562.159964493</v>
      </c>
      <c r="G37" s="10" t="n">
        <f aca="false">IF(AND(Inputs!$B$43=1,C37&gt;0.78*Inputs!$B$7,A37&lt;=Inputs!$B$9*6),Inputs!$B$16*Inputs!$B$39/12,0)</f>
        <v>0</v>
      </c>
      <c r="H37" s="10" t="n">
        <f aca="false">IF(B37=1,Inputs!$B$7,INDEX(Annual!$AC$2:$AC$51,B37-1))</f>
        <v>540800</v>
      </c>
      <c r="I37" s="10" t="n">
        <f aca="false">Inputs!$B$12*IF(Inputs!$B$35="",H37,MIN(H37,Inputs!$B$7*(1+Inputs!$B$35)^(B37-1)))/12</f>
        <v>405.6</v>
      </c>
      <c r="J37" s="10" t="n">
        <f aca="false">Inputs!$B$13*Inputs!$B$7*(1+Inputs!$B$22)^(B37-1)/12</f>
        <v>220.163333333333</v>
      </c>
      <c r="K37" s="10" t="n">
        <f aca="false">Inputs!$B$14*Inputs!$B$7*(1+Inputs!$B$22)^(B37-1)/12</f>
        <v>440.326666666667</v>
      </c>
      <c r="L37" s="10" t="n">
        <f aca="false">Inputs!$B$15*(1+Inputs!$B$22)^(B37-1)</f>
        <v>0</v>
      </c>
      <c r="M37" s="10" t="n">
        <f aca="false">INDEX(Annual!$N$2:$N$51,B37)/12</f>
        <v>0</v>
      </c>
      <c r="N37" s="10" t="n">
        <f aca="false">D37+E37+G37+I37+J37+K37+L37-M37</f>
        <v>3802.93912898071</v>
      </c>
      <c r="O37" s="10" t="n">
        <f aca="false">Inputs!$B$17*(1+Inputs!$B$18)^(B37-1)+Inputs!$B$19*(1+Inputs!$B$22)^(B37-1)</f>
        <v>2693.91426</v>
      </c>
      <c r="P37" s="10" t="n">
        <f aca="false">N37-O37</f>
        <v>1109.02486898071</v>
      </c>
      <c r="Q37" s="10" t="n">
        <f aca="false">Q36*(1+Inputs!$B$42)-U37+MAX(P37,0)</f>
        <v>183523.59220066</v>
      </c>
      <c r="R37" s="10" t="n">
        <f aca="false">R36+Q36*Inputs!$B$48-U37+MAX(P37,0)</f>
        <v>158571.477767316</v>
      </c>
      <c r="S37" s="10" t="n">
        <f aca="false">S36*(1+Inputs!$B$42)-V37+MAX(-P37,0)</f>
        <v>0</v>
      </c>
      <c r="T37" s="10" t="n">
        <f aca="false">T36+S36*Inputs!$B$48-V37+MAX(-P37,0)</f>
        <v>0</v>
      </c>
      <c r="U37" s="10" t="n">
        <f aca="false">Q36*Inputs!$B$48*Inputs!$B$29</f>
        <v>24.9443936340231</v>
      </c>
      <c r="V37" s="10" t="n">
        <f aca="false">S36*Inputs!$B$48*Inputs!$B$29</f>
        <v>0</v>
      </c>
    </row>
    <row r="38" customFormat="false" ht="15" hidden="false" customHeight="false" outlineLevel="0" collapsed="false">
      <c r="A38" s="16" t="n">
        <v>37</v>
      </c>
      <c r="B38" s="16" t="n">
        <f aca="false">ROUNDUP(A38/12,0)</f>
        <v>4</v>
      </c>
      <c r="C38" s="10" t="n">
        <f aca="false">F37</f>
        <v>387562.159964493</v>
      </c>
      <c r="D38" s="10" t="n">
        <f aca="false">IF(AND(A38&lt;=Inputs!$B$9*12,C38&gt;0.000001),C38*Inputs!$B$10/12,0)</f>
        <v>2351.21043711792</v>
      </c>
      <c r="E38" s="10" t="n">
        <f aca="false">IF(AND(A38&lt;=Inputs!$B$9*12,C38&gt;0.000001),MIN(C38,Inputs!$B$41-D38),0)</f>
        <v>385.638691862785</v>
      </c>
      <c r="F38" s="10" t="n">
        <f aca="false">C38-E38</f>
        <v>387176.52127263</v>
      </c>
      <c r="G38" s="10" t="n">
        <f aca="false">IF(AND(Inputs!$B$43=1,C38&gt;0.78*Inputs!$B$7,A38&lt;=Inputs!$B$9*6),Inputs!$B$16*Inputs!$B$39/12,0)</f>
        <v>0</v>
      </c>
      <c r="H38" s="10" t="n">
        <f aca="false">IF(B38=1,Inputs!$B$7,INDEX(Annual!$AC$2:$AC$51,B38-1))</f>
        <v>562432</v>
      </c>
      <c r="I38" s="10" t="n">
        <f aca="false">Inputs!$B$12*IF(Inputs!$B$35="",H38,MIN(H38,Inputs!$B$7*(1+Inputs!$B$35)^(B38-1)))/12</f>
        <v>421.824</v>
      </c>
      <c r="J38" s="10" t="n">
        <f aca="false">Inputs!$B$13*Inputs!$B$7*(1+Inputs!$B$22)^(B38-1)/12</f>
        <v>226.327906666667</v>
      </c>
      <c r="K38" s="10" t="n">
        <f aca="false">Inputs!$B$14*Inputs!$B$7*(1+Inputs!$B$22)^(B38-1)/12</f>
        <v>452.655813333333</v>
      </c>
      <c r="L38" s="10" t="n">
        <f aca="false">Inputs!$B$15*(1+Inputs!$B$22)^(B38-1)</f>
        <v>0</v>
      </c>
      <c r="M38" s="10" t="n">
        <f aca="false">INDEX(Annual!$N$2:$N$51,B38)/12</f>
        <v>0</v>
      </c>
      <c r="N38" s="10" t="n">
        <f aca="false">D38+E38+G38+I38+J38+K38+L38-M38</f>
        <v>3837.65684898071</v>
      </c>
      <c r="O38" s="10" t="n">
        <f aca="false">Inputs!$B$17*(1+Inputs!$B$18)^(B38-1)+Inputs!$B$19*(1+Inputs!$B$22)^(B38-1)</f>
        <v>2788.09029678</v>
      </c>
      <c r="P38" s="10" t="n">
        <f aca="false">N38-O38</f>
        <v>1049.56655220071</v>
      </c>
      <c r="Q38" s="10" t="n">
        <f aca="false">Q37*(1+Inputs!$B$42)-U38+MAX(P38,0)</f>
        <v>185585.593331254</v>
      </c>
      <c r="R38" s="10" t="n">
        <f aca="false">R37+Q37*Inputs!$B$48-U38+MAX(P38,0)</f>
        <v>159764.039785107</v>
      </c>
      <c r="S38" s="10" t="n">
        <f aca="false">S37*(1+Inputs!$B$42)-V38+MAX(-P38,0)</f>
        <v>0</v>
      </c>
      <c r="T38" s="10" t="n">
        <f aca="false">T37+S37*Inputs!$B$48-V38+MAX(-P38,0)</f>
        <v>0</v>
      </c>
      <c r="U38" s="10" t="n">
        <f aca="false">Q37*Inputs!$B$48*Inputs!$B$29</f>
        <v>25.2344939275907</v>
      </c>
      <c r="V38" s="10" t="n">
        <f aca="false">S37*Inputs!$B$48*Inputs!$B$29</f>
        <v>0</v>
      </c>
    </row>
    <row r="39" customFormat="false" ht="15" hidden="false" customHeight="false" outlineLevel="0" collapsed="false">
      <c r="A39" s="16" t="n">
        <v>38</v>
      </c>
      <c r="B39" s="16" t="n">
        <f aca="false">ROUNDUP(A39/12,0)</f>
        <v>4</v>
      </c>
      <c r="C39" s="10" t="n">
        <f aca="false">F38</f>
        <v>387176.52127263</v>
      </c>
      <c r="D39" s="10" t="n">
        <f aca="false">IF(AND(A39&lt;=Inputs!$B$9*12,C39&gt;0.000001),C39*Inputs!$B$10/12,0)</f>
        <v>2348.87089572062</v>
      </c>
      <c r="E39" s="10" t="n">
        <f aca="false">IF(AND(A39&lt;=Inputs!$B$9*12,C39&gt;0.000001),MIN(C39,Inputs!$B$41-D39),0)</f>
        <v>387.978233260085</v>
      </c>
      <c r="F39" s="10" t="n">
        <f aca="false">C39-E39</f>
        <v>386788.54303937</v>
      </c>
      <c r="G39" s="10" t="n">
        <f aca="false">IF(AND(Inputs!$B$43=1,C39&gt;0.78*Inputs!$B$7,A39&lt;=Inputs!$B$9*6),Inputs!$B$16*Inputs!$B$39/12,0)</f>
        <v>0</v>
      </c>
      <c r="H39" s="10" t="n">
        <f aca="false">IF(B39=1,Inputs!$B$7,INDEX(Annual!$AC$2:$AC$51,B39-1))</f>
        <v>562432</v>
      </c>
      <c r="I39" s="10" t="n">
        <f aca="false">Inputs!$B$12*IF(Inputs!$B$35="",H39,MIN(H39,Inputs!$B$7*(1+Inputs!$B$35)^(B39-1)))/12</f>
        <v>421.824</v>
      </c>
      <c r="J39" s="10" t="n">
        <f aca="false">Inputs!$B$13*Inputs!$B$7*(1+Inputs!$B$22)^(B39-1)/12</f>
        <v>226.327906666667</v>
      </c>
      <c r="K39" s="10" t="n">
        <f aca="false">Inputs!$B$14*Inputs!$B$7*(1+Inputs!$B$22)^(B39-1)/12</f>
        <v>452.655813333333</v>
      </c>
      <c r="L39" s="10" t="n">
        <f aca="false">Inputs!$B$15*(1+Inputs!$B$22)^(B39-1)</f>
        <v>0</v>
      </c>
      <c r="M39" s="10" t="n">
        <f aca="false">INDEX(Annual!$N$2:$N$51,B39)/12</f>
        <v>0</v>
      </c>
      <c r="N39" s="10" t="n">
        <f aca="false">D39+E39+G39+I39+J39+K39+L39-M39</f>
        <v>3837.65684898071</v>
      </c>
      <c r="O39" s="10" t="n">
        <f aca="false">Inputs!$B$17*(1+Inputs!$B$18)^(B39-1)+Inputs!$B$19*(1+Inputs!$B$22)^(B39-1)</f>
        <v>2788.09029678</v>
      </c>
      <c r="P39" s="10" t="n">
        <f aca="false">N39-O39</f>
        <v>1049.56655220071</v>
      </c>
      <c r="Q39" s="10" t="n">
        <f aca="false">Q38*(1+Inputs!$B$42)-U39+MAX(P39,0)</f>
        <v>187658.969790875</v>
      </c>
      <c r="R39" s="10" t="n">
        <f aca="false">R38+Q38*Inputs!$B$48-U39+MAX(P39,0)</f>
        <v>160958.208445445</v>
      </c>
      <c r="S39" s="10" t="n">
        <f aca="false">S38*(1+Inputs!$B$42)-V39+MAX(-P39,0)</f>
        <v>0</v>
      </c>
      <c r="T39" s="10" t="n">
        <f aca="false">T38+S38*Inputs!$B$48-V39+MAX(-P39,0)</f>
        <v>0</v>
      </c>
      <c r="U39" s="10" t="n">
        <f aca="false">Q38*Inputs!$B$48*Inputs!$B$29</f>
        <v>25.5180190830474</v>
      </c>
      <c r="V39" s="10" t="n">
        <f aca="false">S38*Inputs!$B$48*Inputs!$B$29</f>
        <v>0</v>
      </c>
    </row>
    <row r="40" customFormat="false" ht="15" hidden="false" customHeight="false" outlineLevel="0" collapsed="false">
      <c r="A40" s="16" t="n">
        <v>39</v>
      </c>
      <c r="B40" s="16" t="n">
        <f aca="false">ROUNDUP(A40/12,0)</f>
        <v>4</v>
      </c>
      <c r="C40" s="10" t="n">
        <f aca="false">F39</f>
        <v>386788.54303937</v>
      </c>
      <c r="D40" s="10" t="n">
        <f aca="false">IF(AND(A40&lt;=Inputs!$B$9*12,C40&gt;0.000001),C40*Inputs!$B$10/12,0)</f>
        <v>2346.51716110551</v>
      </c>
      <c r="E40" s="10" t="n">
        <f aca="false">IF(AND(A40&lt;=Inputs!$B$9*12,C40&gt;0.000001),MIN(C40,Inputs!$B$41-D40),0)</f>
        <v>390.331967875197</v>
      </c>
      <c r="F40" s="10" t="n">
        <f aca="false">C40-E40</f>
        <v>386398.211071494</v>
      </c>
      <c r="G40" s="10" t="n">
        <f aca="false">IF(AND(Inputs!$B$43=1,C40&gt;0.78*Inputs!$B$7,A40&lt;=Inputs!$B$9*6),Inputs!$B$16*Inputs!$B$39/12,0)</f>
        <v>0</v>
      </c>
      <c r="H40" s="10" t="n">
        <f aca="false">IF(B40=1,Inputs!$B$7,INDEX(Annual!$AC$2:$AC$51,B40-1))</f>
        <v>562432</v>
      </c>
      <c r="I40" s="10" t="n">
        <f aca="false">Inputs!$B$12*IF(Inputs!$B$35="",H40,MIN(H40,Inputs!$B$7*(1+Inputs!$B$35)^(B40-1)))/12</f>
        <v>421.824</v>
      </c>
      <c r="J40" s="10" t="n">
        <f aca="false">Inputs!$B$13*Inputs!$B$7*(1+Inputs!$B$22)^(B40-1)/12</f>
        <v>226.327906666667</v>
      </c>
      <c r="K40" s="10" t="n">
        <f aca="false">Inputs!$B$14*Inputs!$B$7*(1+Inputs!$B$22)^(B40-1)/12</f>
        <v>452.655813333333</v>
      </c>
      <c r="L40" s="10" t="n">
        <f aca="false">Inputs!$B$15*(1+Inputs!$B$22)^(B40-1)</f>
        <v>0</v>
      </c>
      <c r="M40" s="10" t="n">
        <f aca="false">INDEX(Annual!$N$2:$N$51,B40)/12</f>
        <v>0</v>
      </c>
      <c r="N40" s="10" t="n">
        <f aca="false">D40+E40+G40+I40+J40+K40+L40-M40</f>
        <v>3837.65684898071</v>
      </c>
      <c r="O40" s="10" t="n">
        <f aca="false">Inputs!$B$17*(1+Inputs!$B$18)^(B40-1)+Inputs!$B$19*(1+Inputs!$B$22)^(B40-1)</f>
        <v>2788.09029678</v>
      </c>
      <c r="P40" s="10" t="n">
        <f aca="false">N40-O40</f>
        <v>1049.56655220071</v>
      </c>
      <c r="Q40" s="10" t="n">
        <f aca="false">Q39*(1+Inputs!$B$42)-U40+MAX(P40,0)</f>
        <v>189743.784333177</v>
      </c>
      <c r="R40" s="10" t="n">
        <f aca="false">R39+Q39*Inputs!$B$48-U40+MAX(P40,0)</f>
        <v>162153.992611608</v>
      </c>
      <c r="S40" s="10" t="n">
        <f aca="false">S39*(1+Inputs!$B$42)-V40+MAX(-P40,0)</f>
        <v>0</v>
      </c>
      <c r="T40" s="10" t="n">
        <f aca="false">T39+S39*Inputs!$B$48-V40+MAX(-P40,0)</f>
        <v>0</v>
      </c>
      <c r="U40" s="10" t="n">
        <f aca="false">Q39*Inputs!$B$48*Inputs!$B$29</f>
        <v>25.8031083462452</v>
      </c>
      <c r="V40" s="10" t="n">
        <f aca="false">S39*Inputs!$B$48*Inputs!$B$29</f>
        <v>0</v>
      </c>
    </row>
    <row r="41" customFormat="false" ht="15" hidden="false" customHeight="false" outlineLevel="0" collapsed="false">
      <c r="A41" s="16" t="n">
        <v>40</v>
      </c>
      <c r="B41" s="16" t="n">
        <f aca="false">ROUNDUP(A41/12,0)</f>
        <v>4</v>
      </c>
      <c r="C41" s="10" t="n">
        <f aca="false">F40</f>
        <v>386398.211071494</v>
      </c>
      <c r="D41" s="10" t="n">
        <f aca="false">IF(AND(A41&lt;=Inputs!$B$9*12,C41&gt;0.000001),C41*Inputs!$B$10/12,0)</f>
        <v>2344.14914716707</v>
      </c>
      <c r="E41" s="10" t="n">
        <f aca="false">IF(AND(A41&lt;=Inputs!$B$9*12,C41&gt;0.000001),MIN(C41,Inputs!$B$41-D41),0)</f>
        <v>392.69998181364</v>
      </c>
      <c r="F41" s="10" t="n">
        <f aca="false">C41-E41</f>
        <v>386005.511089681</v>
      </c>
      <c r="G41" s="10" t="n">
        <f aca="false">IF(AND(Inputs!$B$43=1,C41&gt;0.78*Inputs!$B$7,A41&lt;=Inputs!$B$9*6),Inputs!$B$16*Inputs!$B$39/12,0)</f>
        <v>0</v>
      </c>
      <c r="H41" s="10" t="n">
        <f aca="false">IF(B41=1,Inputs!$B$7,INDEX(Annual!$AC$2:$AC$51,B41-1))</f>
        <v>562432</v>
      </c>
      <c r="I41" s="10" t="n">
        <f aca="false">Inputs!$B$12*IF(Inputs!$B$35="",H41,MIN(H41,Inputs!$B$7*(1+Inputs!$B$35)^(B41-1)))/12</f>
        <v>421.824</v>
      </c>
      <c r="J41" s="10" t="n">
        <f aca="false">Inputs!$B$13*Inputs!$B$7*(1+Inputs!$B$22)^(B41-1)/12</f>
        <v>226.327906666667</v>
      </c>
      <c r="K41" s="10" t="n">
        <f aca="false">Inputs!$B$14*Inputs!$B$7*(1+Inputs!$B$22)^(B41-1)/12</f>
        <v>452.655813333333</v>
      </c>
      <c r="L41" s="10" t="n">
        <f aca="false">Inputs!$B$15*(1+Inputs!$B$22)^(B41-1)</f>
        <v>0</v>
      </c>
      <c r="M41" s="10" t="n">
        <f aca="false">INDEX(Annual!$N$2:$N$51,B41)/12</f>
        <v>0</v>
      </c>
      <c r="N41" s="10" t="n">
        <f aca="false">D41+E41+G41+I41+J41+K41+L41-M41</f>
        <v>3837.65684898071</v>
      </c>
      <c r="O41" s="10" t="n">
        <f aca="false">Inputs!$B$17*(1+Inputs!$B$18)^(B41-1)+Inputs!$B$19*(1+Inputs!$B$22)^(B41-1)</f>
        <v>2788.09029678</v>
      </c>
      <c r="P41" s="10" t="n">
        <f aca="false">N41-O41</f>
        <v>1049.56655220071</v>
      </c>
      <c r="Q41" s="10" t="n">
        <f aca="false">Q40*(1+Inputs!$B$42)-U41+MAX(P41,0)</f>
        <v>191840.100058008</v>
      </c>
      <c r="R41" s="10" t="n">
        <f aca="false">R40+Q40*Inputs!$B$48-U41+MAX(P41,0)</f>
        <v>163351.401195768</v>
      </c>
      <c r="S41" s="10" t="n">
        <f aca="false">S40*(1+Inputs!$B$42)-V41+MAX(-P41,0)</f>
        <v>0</v>
      </c>
      <c r="T41" s="10" t="n">
        <f aca="false">T40+S40*Inputs!$B$48-V41+MAX(-P41,0)</f>
        <v>0</v>
      </c>
      <c r="U41" s="10" t="n">
        <f aca="false">Q40*Inputs!$B$48*Inputs!$B$29</f>
        <v>26.0897703458119</v>
      </c>
      <c r="V41" s="10" t="n">
        <f aca="false">S40*Inputs!$B$48*Inputs!$B$29</f>
        <v>0</v>
      </c>
    </row>
    <row r="42" customFormat="false" ht="15" hidden="false" customHeight="false" outlineLevel="0" collapsed="false">
      <c r="A42" s="16" t="n">
        <v>41</v>
      </c>
      <c r="B42" s="16" t="n">
        <f aca="false">ROUNDUP(A42/12,0)</f>
        <v>4</v>
      </c>
      <c r="C42" s="10" t="n">
        <f aca="false">F41</f>
        <v>386005.511089681</v>
      </c>
      <c r="D42" s="10" t="n">
        <f aca="false">IF(AND(A42&lt;=Inputs!$B$9*12,C42&gt;0.000001),C42*Inputs!$B$10/12,0)</f>
        <v>2341.7667672774</v>
      </c>
      <c r="E42" s="10" t="n">
        <f aca="false">IF(AND(A42&lt;=Inputs!$B$9*12,C42&gt;0.000001),MIN(C42,Inputs!$B$41-D42),0)</f>
        <v>395.082361703309</v>
      </c>
      <c r="F42" s="10" t="n">
        <f aca="false">C42-E42</f>
        <v>385610.428727977</v>
      </c>
      <c r="G42" s="10" t="n">
        <f aca="false">IF(AND(Inputs!$B$43=1,C42&gt;0.78*Inputs!$B$7,A42&lt;=Inputs!$B$9*6),Inputs!$B$16*Inputs!$B$39/12,0)</f>
        <v>0</v>
      </c>
      <c r="H42" s="10" t="n">
        <f aca="false">IF(B42=1,Inputs!$B$7,INDEX(Annual!$AC$2:$AC$51,B42-1))</f>
        <v>562432</v>
      </c>
      <c r="I42" s="10" t="n">
        <f aca="false">Inputs!$B$12*IF(Inputs!$B$35="",H42,MIN(H42,Inputs!$B$7*(1+Inputs!$B$35)^(B42-1)))/12</f>
        <v>421.824</v>
      </c>
      <c r="J42" s="10" t="n">
        <f aca="false">Inputs!$B$13*Inputs!$B$7*(1+Inputs!$B$22)^(B42-1)/12</f>
        <v>226.327906666667</v>
      </c>
      <c r="K42" s="10" t="n">
        <f aca="false">Inputs!$B$14*Inputs!$B$7*(1+Inputs!$B$22)^(B42-1)/12</f>
        <v>452.655813333333</v>
      </c>
      <c r="L42" s="10" t="n">
        <f aca="false">Inputs!$B$15*(1+Inputs!$B$22)^(B42-1)</f>
        <v>0</v>
      </c>
      <c r="M42" s="10" t="n">
        <f aca="false">INDEX(Annual!$N$2:$N$51,B42)/12</f>
        <v>0</v>
      </c>
      <c r="N42" s="10" t="n">
        <f aca="false">D42+E42+G42+I42+J42+K42+L42-M42</f>
        <v>3837.65684898071</v>
      </c>
      <c r="O42" s="10" t="n">
        <f aca="false">Inputs!$B$17*(1+Inputs!$B$18)^(B42-1)+Inputs!$B$19*(1+Inputs!$B$22)^(B42-1)</f>
        <v>2788.09029678</v>
      </c>
      <c r="P42" s="10" t="n">
        <f aca="false">N42-O42</f>
        <v>1049.56655220071</v>
      </c>
      <c r="Q42" s="10" t="n">
        <f aca="false">Q41*(1+Inputs!$B$42)-U42+MAX(P42,0)</f>
        <v>193947.980413314</v>
      </c>
      <c r="R42" s="10" t="n">
        <f aca="false">R41+Q41*Inputs!$B$48-U42+MAX(P42,0)</f>
        <v>164550.443159264</v>
      </c>
      <c r="S42" s="10" t="n">
        <f aca="false">S41*(1+Inputs!$B$42)-V42+MAX(-P42,0)</f>
        <v>0</v>
      </c>
      <c r="T42" s="10" t="n">
        <f aca="false">T41+S41*Inputs!$B$48-V42+MAX(-P42,0)</f>
        <v>0</v>
      </c>
      <c r="U42" s="10" t="n">
        <f aca="false">Q41*Inputs!$B$48*Inputs!$B$29</f>
        <v>26.3780137579762</v>
      </c>
      <c r="V42" s="10" t="n">
        <f aca="false">S41*Inputs!$B$48*Inputs!$B$29</f>
        <v>0</v>
      </c>
    </row>
    <row r="43" customFormat="false" ht="15" hidden="false" customHeight="false" outlineLevel="0" collapsed="false">
      <c r="A43" s="16" t="n">
        <v>42</v>
      </c>
      <c r="B43" s="16" t="n">
        <f aca="false">ROUNDUP(A43/12,0)</f>
        <v>4</v>
      </c>
      <c r="C43" s="10" t="n">
        <f aca="false">F42</f>
        <v>385610.428727977</v>
      </c>
      <c r="D43" s="10" t="n">
        <f aca="false">IF(AND(A43&lt;=Inputs!$B$9*12,C43&gt;0.000001),C43*Inputs!$B$10/12,0)</f>
        <v>2339.36993428306</v>
      </c>
      <c r="E43" s="10" t="n">
        <f aca="false">IF(AND(A43&lt;=Inputs!$B$9*12,C43&gt;0.000001),MIN(C43,Inputs!$B$41-D43),0)</f>
        <v>397.479194697643</v>
      </c>
      <c r="F43" s="10" t="n">
        <f aca="false">C43-E43</f>
        <v>385212.94953328</v>
      </c>
      <c r="G43" s="10" t="n">
        <f aca="false">IF(AND(Inputs!$B$43=1,C43&gt;0.78*Inputs!$B$7,A43&lt;=Inputs!$B$9*6),Inputs!$B$16*Inputs!$B$39/12,0)</f>
        <v>0</v>
      </c>
      <c r="H43" s="10" t="n">
        <f aca="false">IF(B43=1,Inputs!$B$7,INDEX(Annual!$AC$2:$AC$51,B43-1))</f>
        <v>562432</v>
      </c>
      <c r="I43" s="10" t="n">
        <f aca="false">Inputs!$B$12*IF(Inputs!$B$35="",H43,MIN(H43,Inputs!$B$7*(1+Inputs!$B$35)^(B43-1)))/12</f>
        <v>421.824</v>
      </c>
      <c r="J43" s="10" t="n">
        <f aca="false">Inputs!$B$13*Inputs!$B$7*(1+Inputs!$B$22)^(B43-1)/12</f>
        <v>226.327906666667</v>
      </c>
      <c r="K43" s="10" t="n">
        <f aca="false">Inputs!$B$14*Inputs!$B$7*(1+Inputs!$B$22)^(B43-1)/12</f>
        <v>452.655813333333</v>
      </c>
      <c r="L43" s="10" t="n">
        <f aca="false">Inputs!$B$15*(1+Inputs!$B$22)^(B43-1)</f>
        <v>0</v>
      </c>
      <c r="M43" s="10" t="n">
        <f aca="false">INDEX(Annual!$N$2:$N$51,B43)/12</f>
        <v>0</v>
      </c>
      <c r="N43" s="10" t="n">
        <f aca="false">D43+E43+G43+I43+J43+K43+L43-M43</f>
        <v>3837.65684898071</v>
      </c>
      <c r="O43" s="10" t="n">
        <f aca="false">Inputs!$B$17*(1+Inputs!$B$18)^(B43-1)+Inputs!$B$19*(1+Inputs!$B$22)^(B43-1)</f>
        <v>2788.09029678</v>
      </c>
      <c r="P43" s="10" t="n">
        <f aca="false">N43-O43</f>
        <v>1049.56655220071</v>
      </c>
      <c r="Q43" s="10" t="n">
        <f aca="false">Q42*(1+Inputs!$B$42)-U43+MAX(P43,0)</f>
        <v>196067.489197058</v>
      </c>
      <c r="R43" s="10" t="n">
        <f aca="false">R42+Q42*Inputs!$B$48-U43+MAX(P43,0)</f>
        <v>165751.12751287</v>
      </c>
      <c r="S43" s="10" t="n">
        <f aca="false">S42*(1+Inputs!$B$42)-V43+MAX(-P43,0)</f>
        <v>0</v>
      </c>
      <c r="T43" s="10" t="n">
        <f aca="false">T42+S42*Inputs!$B$48-V43+MAX(-P43,0)</f>
        <v>0</v>
      </c>
      <c r="U43" s="10" t="n">
        <f aca="false">Q42*Inputs!$B$48*Inputs!$B$29</f>
        <v>26.6678473068306</v>
      </c>
      <c r="V43" s="10" t="n">
        <f aca="false">S42*Inputs!$B$48*Inputs!$B$29</f>
        <v>0</v>
      </c>
    </row>
    <row r="44" customFormat="false" ht="15" hidden="false" customHeight="false" outlineLevel="0" collapsed="false">
      <c r="A44" s="16" t="n">
        <v>43</v>
      </c>
      <c r="B44" s="16" t="n">
        <f aca="false">ROUNDUP(A44/12,0)</f>
        <v>4</v>
      </c>
      <c r="C44" s="10" t="n">
        <f aca="false">F43</f>
        <v>385212.94953328</v>
      </c>
      <c r="D44" s="10" t="n">
        <f aca="false">IF(AND(A44&lt;=Inputs!$B$9*12,C44&gt;0.000001),C44*Inputs!$B$10/12,0)</f>
        <v>2336.9585605019</v>
      </c>
      <c r="E44" s="10" t="n">
        <f aca="false">IF(AND(A44&lt;=Inputs!$B$9*12,C44&gt;0.000001),MIN(C44,Inputs!$B$41-D44),0)</f>
        <v>399.890568478808</v>
      </c>
      <c r="F44" s="10" t="n">
        <f aca="false">C44-E44</f>
        <v>384813.058964801</v>
      </c>
      <c r="G44" s="10" t="n">
        <f aca="false">IF(AND(Inputs!$B$43=1,C44&gt;0.78*Inputs!$B$7,A44&lt;=Inputs!$B$9*6),Inputs!$B$16*Inputs!$B$39/12,0)</f>
        <v>0</v>
      </c>
      <c r="H44" s="10" t="n">
        <f aca="false">IF(B44=1,Inputs!$B$7,INDEX(Annual!$AC$2:$AC$51,B44-1))</f>
        <v>562432</v>
      </c>
      <c r="I44" s="10" t="n">
        <f aca="false">Inputs!$B$12*IF(Inputs!$B$35="",H44,MIN(H44,Inputs!$B$7*(1+Inputs!$B$35)^(B44-1)))/12</f>
        <v>421.824</v>
      </c>
      <c r="J44" s="10" t="n">
        <f aca="false">Inputs!$B$13*Inputs!$B$7*(1+Inputs!$B$22)^(B44-1)/12</f>
        <v>226.327906666667</v>
      </c>
      <c r="K44" s="10" t="n">
        <f aca="false">Inputs!$B$14*Inputs!$B$7*(1+Inputs!$B$22)^(B44-1)/12</f>
        <v>452.655813333333</v>
      </c>
      <c r="L44" s="10" t="n">
        <f aca="false">Inputs!$B$15*(1+Inputs!$B$22)^(B44-1)</f>
        <v>0</v>
      </c>
      <c r="M44" s="10" t="n">
        <f aca="false">INDEX(Annual!$N$2:$N$51,B44)/12</f>
        <v>0</v>
      </c>
      <c r="N44" s="10" t="n">
        <f aca="false">D44+E44+G44+I44+J44+K44+L44-M44</f>
        <v>3837.65684898071</v>
      </c>
      <c r="O44" s="10" t="n">
        <f aca="false">Inputs!$B$17*(1+Inputs!$B$18)^(B44-1)+Inputs!$B$19*(1+Inputs!$B$22)^(B44-1)</f>
        <v>2788.09029678</v>
      </c>
      <c r="P44" s="10" t="n">
        <f aca="false">N44-O44</f>
        <v>1049.56655220071</v>
      </c>
      <c r="Q44" s="10" t="n">
        <f aca="false">Q43*(1+Inputs!$B$42)-U44+MAX(P44,0)</f>
        <v>198198.690559158</v>
      </c>
      <c r="R44" s="10" t="n">
        <f aca="false">R43+Q43*Inputs!$B$48-U44+MAX(P44,0)</f>
        <v>166953.46331707</v>
      </c>
      <c r="S44" s="10" t="n">
        <f aca="false">S43*(1+Inputs!$B$42)-V44+MAX(-P44,0)</f>
        <v>0</v>
      </c>
      <c r="T44" s="10" t="n">
        <f aca="false">T43+S43*Inputs!$B$48-V44+MAX(-P44,0)</f>
        <v>0</v>
      </c>
      <c r="U44" s="10" t="n">
        <f aca="false">Q43*Inputs!$B$48*Inputs!$B$29</f>
        <v>26.9592797645955</v>
      </c>
      <c r="V44" s="10" t="n">
        <f aca="false">S43*Inputs!$B$48*Inputs!$B$29</f>
        <v>0</v>
      </c>
    </row>
    <row r="45" customFormat="false" ht="15" hidden="false" customHeight="false" outlineLevel="0" collapsed="false">
      <c r="A45" s="16" t="n">
        <v>44</v>
      </c>
      <c r="B45" s="16" t="n">
        <f aca="false">ROUNDUP(A45/12,0)</f>
        <v>4</v>
      </c>
      <c r="C45" s="10" t="n">
        <f aca="false">F44</f>
        <v>384813.058964801</v>
      </c>
      <c r="D45" s="10" t="n">
        <f aca="false">IF(AND(A45&lt;=Inputs!$B$9*12,C45&gt;0.000001),C45*Inputs!$B$10/12,0)</f>
        <v>2334.53255771979</v>
      </c>
      <c r="E45" s="10" t="n">
        <f aca="false">IF(AND(A45&lt;=Inputs!$B$9*12,C45&gt;0.000001),MIN(C45,Inputs!$B$41-D45),0)</f>
        <v>402.316571260913</v>
      </c>
      <c r="F45" s="10" t="n">
        <f aca="false">C45-E45</f>
        <v>384410.74239354</v>
      </c>
      <c r="G45" s="10" t="n">
        <f aca="false">IF(AND(Inputs!$B$43=1,C45&gt;0.78*Inputs!$B$7,A45&lt;=Inputs!$B$9*6),Inputs!$B$16*Inputs!$B$39/12,0)</f>
        <v>0</v>
      </c>
      <c r="H45" s="10" t="n">
        <f aca="false">IF(B45=1,Inputs!$B$7,INDEX(Annual!$AC$2:$AC$51,B45-1))</f>
        <v>562432</v>
      </c>
      <c r="I45" s="10" t="n">
        <f aca="false">Inputs!$B$12*IF(Inputs!$B$35="",H45,MIN(H45,Inputs!$B$7*(1+Inputs!$B$35)^(B45-1)))/12</f>
        <v>421.824</v>
      </c>
      <c r="J45" s="10" t="n">
        <f aca="false">Inputs!$B$13*Inputs!$B$7*(1+Inputs!$B$22)^(B45-1)/12</f>
        <v>226.327906666667</v>
      </c>
      <c r="K45" s="10" t="n">
        <f aca="false">Inputs!$B$14*Inputs!$B$7*(1+Inputs!$B$22)^(B45-1)/12</f>
        <v>452.655813333333</v>
      </c>
      <c r="L45" s="10" t="n">
        <f aca="false">Inputs!$B$15*(1+Inputs!$B$22)^(B45-1)</f>
        <v>0</v>
      </c>
      <c r="M45" s="10" t="n">
        <f aca="false">INDEX(Annual!$N$2:$N$51,B45)/12</f>
        <v>0</v>
      </c>
      <c r="N45" s="10" t="n">
        <f aca="false">D45+E45+G45+I45+J45+K45+L45-M45</f>
        <v>3837.65684898071</v>
      </c>
      <c r="O45" s="10" t="n">
        <f aca="false">Inputs!$B$17*(1+Inputs!$B$18)^(B45-1)+Inputs!$B$19*(1+Inputs!$B$22)^(B45-1)</f>
        <v>2788.09029678</v>
      </c>
      <c r="P45" s="10" t="n">
        <f aca="false">N45-O45</f>
        <v>1049.56655220071</v>
      </c>
      <c r="Q45" s="10" t="n">
        <f aca="false">Q44*(1+Inputs!$B$42)-U45+MAX(P45,0)</f>
        <v>200341.649003421</v>
      </c>
      <c r="R45" s="10" t="n">
        <f aca="false">R44+Q44*Inputs!$B$48-U45+MAX(P45,0)</f>
        <v>168157.459682331</v>
      </c>
      <c r="S45" s="10" t="n">
        <f aca="false">S44*(1+Inputs!$B$42)-V45+MAX(-P45,0)</f>
        <v>0</v>
      </c>
      <c r="T45" s="10" t="n">
        <f aca="false">T44+S44*Inputs!$B$48-V45+MAX(-P45,0)</f>
        <v>0</v>
      </c>
      <c r="U45" s="10" t="n">
        <f aca="false">Q44*Inputs!$B$48*Inputs!$B$29</f>
        <v>27.2523199518842</v>
      </c>
      <c r="V45" s="10" t="n">
        <f aca="false">S44*Inputs!$B$48*Inputs!$B$29</f>
        <v>0</v>
      </c>
    </row>
    <row r="46" customFormat="false" ht="15" hidden="false" customHeight="false" outlineLevel="0" collapsed="false">
      <c r="A46" s="16" t="n">
        <v>45</v>
      </c>
      <c r="B46" s="16" t="n">
        <f aca="false">ROUNDUP(A46/12,0)</f>
        <v>4</v>
      </c>
      <c r="C46" s="10" t="n">
        <f aca="false">F45</f>
        <v>384410.74239354</v>
      </c>
      <c r="D46" s="10" t="n">
        <f aca="false">IF(AND(A46&lt;=Inputs!$B$9*12,C46&gt;0.000001),C46*Inputs!$B$10/12,0)</f>
        <v>2332.09183718748</v>
      </c>
      <c r="E46" s="10" t="n">
        <f aca="false">IF(AND(A46&lt;=Inputs!$B$9*12,C46&gt;0.000001),MIN(C46,Inputs!$B$41-D46),0)</f>
        <v>404.757291793229</v>
      </c>
      <c r="F46" s="10" t="n">
        <f aca="false">C46-E46</f>
        <v>384005.985101747</v>
      </c>
      <c r="G46" s="10" t="n">
        <f aca="false">IF(AND(Inputs!$B$43=1,C46&gt;0.78*Inputs!$B$7,A46&lt;=Inputs!$B$9*6),Inputs!$B$16*Inputs!$B$39/12,0)</f>
        <v>0</v>
      </c>
      <c r="H46" s="10" t="n">
        <f aca="false">IF(B46=1,Inputs!$B$7,INDEX(Annual!$AC$2:$AC$51,B46-1))</f>
        <v>562432</v>
      </c>
      <c r="I46" s="10" t="n">
        <f aca="false">Inputs!$B$12*IF(Inputs!$B$35="",H46,MIN(H46,Inputs!$B$7*(1+Inputs!$B$35)^(B46-1)))/12</f>
        <v>421.824</v>
      </c>
      <c r="J46" s="10" t="n">
        <f aca="false">Inputs!$B$13*Inputs!$B$7*(1+Inputs!$B$22)^(B46-1)/12</f>
        <v>226.327906666667</v>
      </c>
      <c r="K46" s="10" t="n">
        <f aca="false">Inputs!$B$14*Inputs!$B$7*(1+Inputs!$B$22)^(B46-1)/12</f>
        <v>452.655813333333</v>
      </c>
      <c r="L46" s="10" t="n">
        <f aca="false">Inputs!$B$15*(1+Inputs!$B$22)^(B46-1)</f>
        <v>0</v>
      </c>
      <c r="M46" s="10" t="n">
        <f aca="false">INDEX(Annual!$N$2:$N$51,B46)/12</f>
        <v>0</v>
      </c>
      <c r="N46" s="10" t="n">
        <f aca="false">D46+E46+G46+I46+J46+K46+L46-M46</f>
        <v>3837.65684898071</v>
      </c>
      <c r="O46" s="10" t="n">
        <f aca="false">Inputs!$B$17*(1+Inputs!$B$18)^(B46-1)+Inputs!$B$19*(1+Inputs!$B$22)^(B46-1)</f>
        <v>2788.09029678</v>
      </c>
      <c r="P46" s="10" t="n">
        <f aca="false">N46-O46</f>
        <v>1049.56655220071</v>
      </c>
      <c r="Q46" s="10" t="n">
        <f aca="false">Q45*(1+Inputs!$B$42)-U46+MAX(P46,0)</f>
        <v>202496.429389502</v>
      </c>
      <c r="R46" s="10" t="n">
        <f aca="false">R45+Q45*Inputs!$B$48-U46+MAX(P46,0)</f>
        <v>169363.125769381</v>
      </c>
      <c r="S46" s="10" t="n">
        <f aca="false">S45*(1+Inputs!$B$42)-V46+MAX(-P46,0)</f>
        <v>0</v>
      </c>
      <c r="T46" s="10" t="n">
        <f aca="false">T45+S45*Inputs!$B$48-V46+MAX(-P46,0)</f>
        <v>0</v>
      </c>
      <c r="U46" s="10" t="n">
        <f aca="false">Q45*Inputs!$B$48*Inputs!$B$29</f>
        <v>27.5469767379704</v>
      </c>
      <c r="V46" s="10" t="n">
        <f aca="false">S45*Inputs!$B$48*Inputs!$B$29</f>
        <v>0</v>
      </c>
    </row>
    <row r="47" customFormat="false" ht="15" hidden="false" customHeight="false" outlineLevel="0" collapsed="false">
      <c r="A47" s="16" t="n">
        <v>46</v>
      </c>
      <c r="B47" s="16" t="n">
        <f aca="false">ROUNDUP(A47/12,0)</f>
        <v>4</v>
      </c>
      <c r="C47" s="10" t="n">
        <f aca="false">F46</f>
        <v>384005.985101747</v>
      </c>
      <c r="D47" s="10" t="n">
        <f aca="false">IF(AND(A47&lt;=Inputs!$B$9*12,C47&gt;0.000001),C47*Inputs!$B$10/12,0)</f>
        <v>2329.63630961726</v>
      </c>
      <c r="E47" s="10" t="n">
        <f aca="false">IF(AND(A47&lt;=Inputs!$B$9*12,C47&gt;0.000001),MIN(C47,Inputs!$B$41-D47),0)</f>
        <v>407.212819363442</v>
      </c>
      <c r="F47" s="10" t="n">
        <f aca="false">C47-E47</f>
        <v>383598.772282383</v>
      </c>
      <c r="G47" s="10" t="n">
        <f aca="false">IF(AND(Inputs!$B$43=1,C47&gt;0.78*Inputs!$B$7,A47&lt;=Inputs!$B$9*6),Inputs!$B$16*Inputs!$B$39/12,0)</f>
        <v>0</v>
      </c>
      <c r="H47" s="10" t="n">
        <f aca="false">IF(B47=1,Inputs!$B$7,INDEX(Annual!$AC$2:$AC$51,B47-1))</f>
        <v>562432</v>
      </c>
      <c r="I47" s="10" t="n">
        <f aca="false">Inputs!$B$12*IF(Inputs!$B$35="",H47,MIN(H47,Inputs!$B$7*(1+Inputs!$B$35)^(B47-1)))/12</f>
        <v>421.824</v>
      </c>
      <c r="J47" s="10" t="n">
        <f aca="false">Inputs!$B$13*Inputs!$B$7*(1+Inputs!$B$22)^(B47-1)/12</f>
        <v>226.327906666667</v>
      </c>
      <c r="K47" s="10" t="n">
        <f aca="false">Inputs!$B$14*Inputs!$B$7*(1+Inputs!$B$22)^(B47-1)/12</f>
        <v>452.655813333333</v>
      </c>
      <c r="L47" s="10" t="n">
        <f aca="false">Inputs!$B$15*(1+Inputs!$B$22)^(B47-1)</f>
        <v>0</v>
      </c>
      <c r="M47" s="10" t="n">
        <f aca="false">INDEX(Annual!$N$2:$N$51,B47)/12</f>
        <v>0</v>
      </c>
      <c r="N47" s="10" t="n">
        <f aca="false">D47+E47+G47+I47+J47+K47+L47-M47</f>
        <v>3837.65684898071</v>
      </c>
      <c r="O47" s="10" t="n">
        <f aca="false">Inputs!$B$17*(1+Inputs!$B$18)^(B47-1)+Inputs!$B$19*(1+Inputs!$B$22)^(B47-1)</f>
        <v>2788.09029678</v>
      </c>
      <c r="P47" s="10" t="n">
        <f aca="false">N47-O47</f>
        <v>1049.56655220071</v>
      </c>
      <c r="Q47" s="10" t="n">
        <f aca="false">Q46*(1+Inputs!$B$42)-U47+MAX(P47,0)</f>
        <v>204663.09693486</v>
      </c>
      <c r="R47" s="10" t="n">
        <f aca="false">R46+Q46*Inputs!$B$48-U47+MAX(P47,0)</f>
        <v>170570.470789481</v>
      </c>
      <c r="S47" s="10" t="n">
        <f aca="false">S46*(1+Inputs!$B$42)-V47+MAX(-P47,0)</f>
        <v>0</v>
      </c>
      <c r="T47" s="10" t="n">
        <f aca="false">T46+S46*Inputs!$B$48-V47+MAX(-P47,0)</f>
        <v>0</v>
      </c>
      <c r="U47" s="10" t="n">
        <f aca="false">Q46*Inputs!$B$48*Inputs!$B$29</f>
        <v>27.8432590410565</v>
      </c>
      <c r="V47" s="10" t="n">
        <f aca="false">S46*Inputs!$B$48*Inputs!$B$29</f>
        <v>0</v>
      </c>
    </row>
    <row r="48" customFormat="false" ht="15" hidden="false" customHeight="false" outlineLevel="0" collapsed="false">
      <c r="A48" s="16" t="n">
        <v>47</v>
      </c>
      <c r="B48" s="16" t="n">
        <f aca="false">ROUNDUP(A48/12,0)</f>
        <v>4</v>
      </c>
      <c r="C48" s="10" t="n">
        <f aca="false">F47</f>
        <v>383598.772282383</v>
      </c>
      <c r="D48" s="10" t="n">
        <f aca="false">IF(AND(A48&lt;=Inputs!$B$9*12,C48&gt;0.000001),C48*Inputs!$B$10/12,0)</f>
        <v>2327.16588517979</v>
      </c>
      <c r="E48" s="10" t="n">
        <f aca="false">IF(AND(A48&lt;=Inputs!$B$9*12,C48&gt;0.000001),MIN(C48,Inputs!$B$41-D48),0)</f>
        <v>409.683243800913</v>
      </c>
      <c r="F48" s="10" t="n">
        <f aca="false">C48-E48</f>
        <v>383189.089038582</v>
      </c>
      <c r="G48" s="10" t="n">
        <f aca="false">IF(AND(Inputs!$B$43=1,C48&gt;0.78*Inputs!$B$7,A48&lt;=Inputs!$B$9*6),Inputs!$B$16*Inputs!$B$39/12,0)</f>
        <v>0</v>
      </c>
      <c r="H48" s="10" t="n">
        <f aca="false">IF(B48=1,Inputs!$B$7,INDEX(Annual!$AC$2:$AC$51,B48-1))</f>
        <v>562432</v>
      </c>
      <c r="I48" s="10" t="n">
        <f aca="false">Inputs!$B$12*IF(Inputs!$B$35="",H48,MIN(H48,Inputs!$B$7*(1+Inputs!$B$35)^(B48-1)))/12</f>
        <v>421.824</v>
      </c>
      <c r="J48" s="10" t="n">
        <f aca="false">Inputs!$B$13*Inputs!$B$7*(1+Inputs!$B$22)^(B48-1)/12</f>
        <v>226.327906666667</v>
      </c>
      <c r="K48" s="10" t="n">
        <f aca="false">Inputs!$B$14*Inputs!$B$7*(1+Inputs!$B$22)^(B48-1)/12</f>
        <v>452.655813333333</v>
      </c>
      <c r="L48" s="10" t="n">
        <f aca="false">Inputs!$B$15*(1+Inputs!$B$22)^(B48-1)</f>
        <v>0</v>
      </c>
      <c r="M48" s="10" t="n">
        <f aca="false">INDEX(Annual!$N$2:$N$51,B48)/12</f>
        <v>0</v>
      </c>
      <c r="N48" s="10" t="n">
        <f aca="false">D48+E48+G48+I48+J48+K48+L48-M48</f>
        <v>3837.65684898071</v>
      </c>
      <c r="O48" s="10" t="n">
        <f aca="false">Inputs!$B$17*(1+Inputs!$B$18)^(B48-1)+Inputs!$B$19*(1+Inputs!$B$22)^(B48-1)</f>
        <v>2788.09029678</v>
      </c>
      <c r="P48" s="10" t="n">
        <f aca="false">N48-O48</f>
        <v>1049.56655220071</v>
      </c>
      <c r="Q48" s="10" t="n">
        <f aca="false">Q47*(1+Inputs!$B$42)-U48+MAX(P48,0)</f>
        <v>206841.717216739</v>
      </c>
      <c r="R48" s="10" t="n">
        <f aca="false">R47+Q47*Inputs!$B$48-U48+MAX(P48,0)</f>
        <v>171779.50400471</v>
      </c>
      <c r="S48" s="10" t="n">
        <f aca="false">S47*(1+Inputs!$B$42)-V48+MAX(-P48,0)</f>
        <v>0</v>
      </c>
      <c r="T48" s="10" t="n">
        <f aca="false">T47+S47*Inputs!$B$48-V48+MAX(-P48,0)</f>
        <v>0</v>
      </c>
      <c r="U48" s="10" t="n">
        <f aca="false">Q47*Inputs!$B$48*Inputs!$B$29</f>
        <v>28.1411758285433</v>
      </c>
      <c r="V48" s="10" t="n">
        <f aca="false">S47*Inputs!$B$48*Inputs!$B$29</f>
        <v>0</v>
      </c>
    </row>
    <row r="49" customFormat="false" ht="15" hidden="false" customHeight="false" outlineLevel="0" collapsed="false">
      <c r="A49" s="16" t="n">
        <v>48</v>
      </c>
      <c r="B49" s="16" t="n">
        <f aca="false">ROUNDUP(A49/12,0)</f>
        <v>4</v>
      </c>
      <c r="C49" s="10" t="n">
        <f aca="false">F48</f>
        <v>383189.089038582</v>
      </c>
      <c r="D49" s="10" t="n">
        <f aca="false">IF(AND(A49&lt;=Inputs!$B$9*12,C49&gt;0.000001),C49*Inputs!$B$10/12,0)</f>
        <v>2324.68047350073</v>
      </c>
      <c r="E49" s="10" t="n">
        <f aca="false">IF(AND(A49&lt;=Inputs!$B$9*12,C49&gt;0.000001),MIN(C49,Inputs!$B$41-D49),0)</f>
        <v>412.168655479972</v>
      </c>
      <c r="F49" s="10" t="n">
        <f aca="false">C49-E49</f>
        <v>382776.920383103</v>
      </c>
      <c r="G49" s="10" t="n">
        <f aca="false">IF(AND(Inputs!$B$43=1,C49&gt;0.78*Inputs!$B$7,A49&lt;=Inputs!$B$9*6),Inputs!$B$16*Inputs!$B$39/12,0)</f>
        <v>0</v>
      </c>
      <c r="H49" s="10" t="n">
        <f aca="false">IF(B49=1,Inputs!$B$7,INDEX(Annual!$AC$2:$AC$51,B49-1))</f>
        <v>562432</v>
      </c>
      <c r="I49" s="10" t="n">
        <f aca="false">Inputs!$B$12*IF(Inputs!$B$35="",H49,MIN(H49,Inputs!$B$7*(1+Inputs!$B$35)^(B49-1)))/12</f>
        <v>421.824</v>
      </c>
      <c r="J49" s="10" t="n">
        <f aca="false">Inputs!$B$13*Inputs!$B$7*(1+Inputs!$B$22)^(B49-1)/12</f>
        <v>226.327906666667</v>
      </c>
      <c r="K49" s="10" t="n">
        <f aca="false">Inputs!$B$14*Inputs!$B$7*(1+Inputs!$B$22)^(B49-1)/12</f>
        <v>452.655813333333</v>
      </c>
      <c r="L49" s="10" t="n">
        <f aca="false">Inputs!$B$15*(1+Inputs!$B$22)^(B49-1)</f>
        <v>0</v>
      </c>
      <c r="M49" s="10" t="n">
        <f aca="false">INDEX(Annual!$N$2:$N$51,B49)/12</f>
        <v>0</v>
      </c>
      <c r="N49" s="10" t="n">
        <f aca="false">D49+E49+G49+I49+J49+K49+L49-M49</f>
        <v>3837.65684898071</v>
      </c>
      <c r="O49" s="10" t="n">
        <f aca="false">Inputs!$B$17*(1+Inputs!$B$18)^(B49-1)+Inputs!$B$19*(1+Inputs!$B$22)^(B49-1)</f>
        <v>2788.09029678</v>
      </c>
      <c r="P49" s="10" t="n">
        <f aca="false">N49-O49</f>
        <v>1049.56655220071</v>
      </c>
      <c r="Q49" s="10" t="n">
        <f aca="false">Q48*(1+Inputs!$B$42)-U49+MAX(P49,0)</f>
        <v>209032.356174146</v>
      </c>
      <c r="R49" s="10" t="n">
        <f aca="false">R48+Q48*Inputs!$B$48-U49+MAX(P49,0)</f>
        <v>172990.234728242</v>
      </c>
      <c r="S49" s="10" t="n">
        <f aca="false">S48*(1+Inputs!$B$42)-V49+MAX(-P49,0)</f>
        <v>0</v>
      </c>
      <c r="T49" s="10" t="n">
        <f aca="false">T48+S48*Inputs!$B$48-V49+MAX(-P49,0)</f>
        <v>0</v>
      </c>
      <c r="U49" s="10" t="n">
        <f aca="false">Q48*Inputs!$B$48*Inputs!$B$29</f>
        <v>28.4407361173016</v>
      </c>
      <c r="V49" s="10" t="n">
        <f aca="false">S48*Inputs!$B$48*Inputs!$B$29</f>
        <v>0</v>
      </c>
    </row>
    <row r="50" customFormat="false" ht="15" hidden="false" customHeight="false" outlineLevel="0" collapsed="false">
      <c r="A50" s="16" t="n">
        <v>49</v>
      </c>
      <c r="B50" s="16" t="n">
        <f aca="false">ROUNDUP(A50/12,0)</f>
        <v>5</v>
      </c>
      <c r="C50" s="10" t="n">
        <f aca="false">F49</f>
        <v>382776.920383103</v>
      </c>
      <c r="D50" s="10" t="n">
        <f aca="false">IF(AND(A50&lt;=Inputs!$B$9*12,C50&gt;0.000001),C50*Inputs!$B$10/12,0)</f>
        <v>2322.17998365749</v>
      </c>
      <c r="E50" s="10" t="n">
        <f aca="false">IF(AND(A50&lt;=Inputs!$B$9*12,C50&gt;0.000001),MIN(C50,Inputs!$B$41-D50),0)</f>
        <v>414.669145323217</v>
      </c>
      <c r="F50" s="10" t="n">
        <f aca="false">C50-E50</f>
        <v>382362.251237779</v>
      </c>
      <c r="G50" s="10" t="n">
        <f aca="false">IF(AND(Inputs!$B$43=1,C50&gt;0.78*Inputs!$B$7,A50&lt;=Inputs!$B$9*6),Inputs!$B$16*Inputs!$B$39/12,0)</f>
        <v>0</v>
      </c>
      <c r="H50" s="10" t="n">
        <f aca="false">IF(B50=1,Inputs!$B$7,INDEX(Annual!$AC$2:$AC$51,B50-1))</f>
        <v>584929.28</v>
      </c>
      <c r="I50" s="10" t="n">
        <f aca="false">Inputs!$B$12*IF(Inputs!$B$35="",H50,MIN(H50,Inputs!$B$7*(1+Inputs!$B$35)^(B50-1)))/12</f>
        <v>438.69696</v>
      </c>
      <c r="J50" s="10" t="n">
        <f aca="false">Inputs!$B$13*Inputs!$B$7*(1+Inputs!$B$22)^(B50-1)/12</f>
        <v>232.665088053333</v>
      </c>
      <c r="K50" s="10" t="n">
        <f aca="false">Inputs!$B$14*Inputs!$B$7*(1+Inputs!$B$22)^(B50-1)/12</f>
        <v>465.330176106667</v>
      </c>
      <c r="L50" s="10" t="n">
        <f aca="false">Inputs!$B$15*(1+Inputs!$B$22)^(B50-1)</f>
        <v>0</v>
      </c>
      <c r="M50" s="10" t="n">
        <f aca="false">INDEX(Annual!$N$2:$N$51,B50)/12</f>
        <v>0</v>
      </c>
      <c r="N50" s="10" t="n">
        <f aca="false">D50+E50+G50+I50+J50+K50+L50-M50</f>
        <v>3873.54135314071</v>
      </c>
      <c r="O50" s="10" t="n">
        <f aca="false">Inputs!$B$17*(1+Inputs!$B$18)^(B50-1)+Inputs!$B$19*(1+Inputs!$B$22)^(B50-1)</f>
        <v>2885.55938790234</v>
      </c>
      <c r="P50" s="10" t="n">
        <f aca="false">N50-O50</f>
        <v>987.981965238367</v>
      </c>
      <c r="Q50" s="10" t="n">
        <f aca="false">Q49*(1+Inputs!$B$42)-U50+MAX(P50,0)</f>
        <v>211173.495522891</v>
      </c>
      <c r="R50" s="10" t="n">
        <f aca="false">R49+Q49*Inputs!$B$48-U50+MAX(P50,0)</f>
        <v>174141.087737666</v>
      </c>
      <c r="S50" s="10" t="n">
        <f aca="false">S49*(1+Inputs!$B$42)-V50+MAX(-P50,0)</f>
        <v>0</v>
      </c>
      <c r="T50" s="10" t="n">
        <f aca="false">T49+S49*Inputs!$B$48-V50+MAX(-P50,0)</f>
        <v>0</v>
      </c>
      <c r="U50" s="10" t="n">
        <f aca="false">Q49*Inputs!$B$48*Inputs!$B$29</f>
        <v>28.7419489739451</v>
      </c>
      <c r="V50" s="10" t="n">
        <f aca="false">S49*Inputs!$B$48*Inputs!$B$29</f>
        <v>0</v>
      </c>
    </row>
    <row r="51" customFormat="false" ht="15" hidden="false" customHeight="false" outlineLevel="0" collapsed="false">
      <c r="A51" s="16" t="n">
        <v>50</v>
      </c>
      <c r="B51" s="16" t="n">
        <f aca="false">ROUNDUP(A51/12,0)</f>
        <v>5</v>
      </c>
      <c r="C51" s="10" t="n">
        <f aca="false">F50</f>
        <v>382362.251237779</v>
      </c>
      <c r="D51" s="10" t="n">
        <f aca="false">IF(AND(A51&lt;=Inputs!$B$9*12,C51&gt;0.000001),C51*Inputs!$B$10/12,0)</f>
        <v>2319.66432417586</v>
      </c>
      <c r="E51" s="10" t="n">
        <f aca="false">IF(AND(A51&lt;=Inputs!$B$9*12,C51&gt;0.000001),MIN(C51,Inputs!$B$41-D51),0)</f>
        <v>417.184804804845</v>
      </c>
      <c r="F51" s="10" t="n">
        <f aca="false">C51-E51</f>
        <v>381945.066432974</v>
      </c>
      <c r="G51" s="10" t="n">
        <f aca="false">IF(AND(Inputs!$B$43=1,C51&gt;0.78*Inputs!$B$7,A51&lt;=Inputs!$B$9*6),Inputs!$B$16*Inputs!$B$39/12,0)</f>
        <v>0</v>
      </c>
      <c r="H51" s="10" t="n">
        <f aca="false">IF(B51=1,Inputs!$B$7,INDEX(Annual!$AC$2:$AC$51,B51-1))</f>
        <v>584929.28</v>
      </c>
      <c r="I51" s="10" t="n">
        <f aca="false">Inputs!$B$12*IF(Inputs!$B$35="",H51,MIN(H51,Inputs!$B$7*(1+Inputs!$B$35)^(B51-1)))/12</f>
        <v>438.69696</v>
      </c>
      <c r="J51" s="10" t="n">
        <f aca="false">Inputs!$B$13*Inputs!$B$7*(1+Inputs!$B$22)^(B51-1)/12</f>
        <v>232.665088053333</v>
      </c>
      <c r="K51" s="10" t="n">
        <f aca="false">Inputs!$B$14*Inputs!$B$7*(1+Inputs!$B$22)^(B51-1)/12</f>
        <v>465.330176106667</v>
      </c>
      <c r="L51" s="10" t="n">
        <f aca="false">Inputs!$B$15*(1+Inputs!$B$22)^(B51-1)</f>
        <v>0</v>
      </c>
      <c r="M51" s="10" t="n">
        <f aca="false">INDEX(Annual!$N$2:$N$51,B51)/12</f>
        <v>0</v>
      </c>
      <c r="N51" s="10" t="n">
        <f aca="false">D51+E51+G51+I51+J51+K51+L51-M51</f>
        <v>3873.54135314071</v>
      </c>
      <c r="O51" s="10" t="n">
        <f aca="false">Inputs!$B$17*(1+Inputs!$B$18)^(B51-1)+Inputs!$B$19*(1+Inputs!$B$22)^(B51-1)</f>
        <v>2885.55938790234</v>
      </c>
      <c r="P51" s="10" t="n">
        <f aca="false">N51-O51</f>
        <v>987.981965238367</v>
      </c>
      <c r="Q51" s="10" t="n">
        <f aca="false">Q50*(1+Inputs!$B$42)-U51+MAX(P51,0)</f>
        <v>213326.446778148</v>
      </c>
      <c r="R51" s="10" t="n">
        <f aca="false">R50+Q50*Inputs!$B$48-U51+MAX(P51,0)</f>
        <v>175293.609051499</v>
      </c>
      <c r="S51" s="10" t="n">
        <f aca="false">S50*(1+Inputs!$B$42)-V51+MAX(-P51,0)</f>
        <v>0</v>
      </c>
      <c r="T51" s="10" t="n">
        <f aca="false">T50+S50*Inputs!$B$48-V51+MAX(-P51,0)</f>
        <v>0</v>
      </c>
      <c r="U51" s="10" t="n">
        <f aca="false">Q50*Inputs!$B$48*Inputs!$B$29</f>
        <v>29.0363556343975</v>
      </c>
      <c r="V51" s="10" t="n">
        <f aca="false">S50*Inputs!$B$48*Inputs!$B$29</f>
        <v>0</v>
      </c>
    </row>
    <row r="52" customFormat="false" ht="15" hidden="false" customHeight="false" outlineLevel="0" collapsed="false">
      <c r="A52" s="16" t="n">
        <v>51</v>
      </c>
      <c r="B52" s="16" t="n">
        <f aca="false">ROUNDUP(A52/12,0)</f>
        <v>5</v>
      </c>
      <c r="C52" s="10" t="n">
        <f aca="false">F51</f>
        <v>381945.066432974</v>
      </c>
      <c r="D52" s="10" t="n">
        <f aca="false">IF(AND(A52&lt;=Inputs!$B$9*12,C52&gt;0.000001),C52*Inputs!$B$10/12,0)</f>
        <v>2317.13340302671</v>
      </c>
      <c r="E52" s="10" t="n">
        <f aca="false">IF(AND(A52&lt;=Inputs!$B$9*12,C52&gt;0.000001),MIN(C52,Inputs!$B$41-D52),0)</f>
        <v>419.715725953994</v>
      </c>
      <c r="F52" s="10" t="n">
        <f aca="false">C52-E52</f>
        <v>381525.35070702</v>
      </c>
      <c r="G52" s="10" t="n">
        <f aca="false">IF(AND(Inputs!$B$43=1,C52&gt;0.78*Inputs!$B$7,A52&lt;=Inputs!$B$9*6),Inputs!$B$16*Inputs!$B$39/12,0)</f>
        <v>0</v>
      </c>
      <c r="H52" s="10" t="n">
        <f aca="false">IF(B52=1,Inputs!$B$7,INDEX(Annual!$AC$2:$AC$51,B52-1))</f>
        <v>584929.28</v>
      </c>
      <c r="I52" s="10" t="n">
        <f aca="false">Inputs!$B$12*IF(Inputs!$B$35="",H52,MIN(H52,Inputs!$B$7*(1+Inputs!$B$35)^(B52-1)))/12</f>
        <v>438.69696</v>
      </c>
      <c r="J52" s="10" t="n">
        <f aca="false">Inputs!$B$13*Inputs!$B$7*(1+Inputs!$B$22)^(B52-1)/12</f>
        <v>232.665088053333</v>
      </c>
      <c r="K52" s="10" t="n">
        <f aca="false">Inputs!$B$14*Inputs!$B$7*(1+Inputs!$B$22)^(B52-1)/12</f>
        <v>465.330176106667</v>
      </c>
      <c r="L52" s="10" t="n">
        <f aca="false">Inputs!$B$15*(1+Inputs!$B$22)^(B52-1)</f>
        <v>0</v>
      </c>
      <c r="M52" s="10" t="n">
        <f aca="false">INDEX(Annual!$N$2:$N$51,B52)/12</f>
        <v>0</v>
      </c>
      <c r="N52" s="10" t="n">
        <f aca="false">D52+E52+G52+I52+J52+K52+L52-M52</f>
        <v>3873.54135314071</v>
      </c>
      <c r="O52" s="10" t="n">
        <f aca="false">Inputs!$B$17*(1+Inputs!$B$18)^(B52-1)+Inputs!$B$19*(1+Inputs!$B$22)^(B52-1)</f>
        <v>2885.55938790234</v>
      </c>
      <c r="P52" s="10" t="n">
        <f aca="false">N52-O52</f>
        <v>987.981965238367</v>
      </c>
      <c r="Q52" s="10" t="n">
        <f aca="false">Q51*(1+Inputs!$B$42)-U52+MAX(P52,0)</f>
        <v>215491.275102017</v>
      </c>
      <c r="R52" s="10" t="n">
        <f aca="false">R51+Q51*Inputs!$B$48-U52+MAX(P52,0)</f>
        <v>176447.807873186</v>
      </c>
      <c r="S52" s="10" t="n">
        <f aca="false">S51*(1+Inputs!$B$42)-V52+MAX(-P52,0)</f>
        <v>0</v>
      </c>
      <c r="T52" s="10" t="n">
        <f aca="false">T51+S51*Inputs!$B$48-V52+MAX(-P52,0)</f>
        <v>0</v>
      </c>
      <c r="U52" s="10" t="n">
        <f aca="false">Q51*Inputs!$B$48*Inputs!$B$29</f>
        <v>29.3323864319954</v>
      </c>
      <c r="V52" s="10" t="n">
        <f aca="false">S51*Inputs!$B$48*Inputs!$B$29</f>
        <v>0</v>
      </c>
    </row>
    <row r="53" customFormat="false" ht="15" hidden="false" customHeight="false" outlineLevel="0" collapsed="false">
      <c r="A53" s="16" t="n">
        <v>52</v>
      </c>
      <c r="B53" s="16" t="n">
        <f aca="false">ROUNDUP(A53/12,0)</f>
        <v>5</v>
      </c>
      <c r="C53" s="10" t="n">
        <f aca="false">F52</f>
        <v>381525.35070702</v>
      </c>
      <c r="D53" s="10" t="n">
        <f aca="false">IF(AND(A53&lt;=Inputs!$B$9*12,C53&gt;0.000001),C53*Inputs!$B$10/12,0)</f>
        <v>2314.58712762259</v>
      </c>
      <c r="E53" s="10" t="n">
        <f aca="false">IF(AND(A53&lt;=Inputs!$B$9*12,C53&gt;0.000001),MIN(C53,Inputs!$B$41-D53),0)</f>
        <v>422.262001358115</v>
      </c>
      <c r="F53" s="10" t="n">
        <f aca="false">C53-E53</f>
        <v>381103.088705662</v>
      </c>
      <c r="G53" s="10" t="n">
        <f aca="false">IF(AND(Inputs!$B$43=1,C53&gt;0.78*Inputs!$B$7,A53&lt;=Inputs!$B$9*6),Inputs!$B$16*Inputs!$B$39/12,0)</f>
        <v>0</v>
      </c>
      <c r="H53" s="10" t="n">
        <f aca="false">IF(B53=1,Inputs!$B$7,INDEX(Annual!$AC$2:$AC$51,B53-1))</f>
        <v>584929.28</v>
      </c>
      <c r="I53" s="10" t="n">
        <f aca="false">Inputs!$B$12*IF(Inputs!$B$35="",H53,MIN(H53,Inputs!$B$7*(1+Inputs!$B$35)^(B53-1)))/12</f>
        <v>438.69696</v>
      </c>
      <c r="J53" s="10" t="n">
        <f aca="false">Inputs!$B$13*Inputs!$B$7*(1+Inputs!$B$22)^(B53-1)/12</f>
        <v>232.665088053333</v>
      </c>
      <c r="K53" s="10" t="n">
        <f aca="false">Inputs!$B$14*Inputs!$B$7*(1+Inputs!$B$22)^(B53-1)/12</f>
        <v>465.330176106667</v>
      </c>
      <c r="L53" s="10" t="n">
        <f aca="false">Inputs!$B$15*(1+Inputs!$B$22)^(B53-1)</f>
        <v>0</v>
      </c>
      <c r="M53" s="10" t="n">
        <f aca="false">INDEX(Annual!$N$2:$N$51,B53)/12</f>
        <v>0</v>
      </c>
      <c r="N53" s="10" t="n">
        <f aca="false">D53+E53+G53+I53+J53+K53+L53-M53</f>
        <v>3873.54135314071</v>
      </c>
      <c r="O53" s="10" t="n">
        <f aca="false">Inputs!$B$17*(1+Inputs!$B$18)^(B53-1)+Inputs!$B$19*(1+Inputs!$B$22)^(B53-1)</f>
        <v>2885.55938790234</v>
      </c>
      <c r="P53" s="10" t="n">
        <f aca="false">N53-O53</f>
        <v>987.981965238367</v>
      </c>
      <c r="Q53" s="10" t="n">
        <f aca="false">Q52*(1+Inputs!$B$42)-U53+MAX(P53,0)</f>
        <v>217668.046016073</v>
      </c>
      <c r="R53" s="10" t="n">
        <f aca="false">R52+Q52*Inputs!$B$48-U53+MAX(P53,0)</f>
        <v>177603.693456941</v>
      </c>
      <c r="S53" s="10" t="n">
        <f aca="false">S52*(1+Inputs!$B$42)-V53+MAX(-P53,0)</f>
        <v>0</v>
      </c>
      <c r="T53" s="10" t="n">
        <f aca="false">T52+S52*Inputs!$B$48-V53+MAX(-P53,0)</f>
        <v>0</v>
      </c>
      <c r="U53" s="10" t="n">
        <f aca="false">Q52*Inputs!$B$48*Inputs!$B$29</f>
        <v>29.6300503265273</v>
      </c>
      <c r="V53" s="10" t="n">
        <f aca="false">S52*Inputs!$B$48*Inputs!$B$29</f>
        <v>0</v>
      </c>
    </row>
    <row r="54" customFormat="false" ht="15" hidden="false" customHeight="false" outlineLevel="0" collapsed="false">
      <c r="A54" s="16" t="n">
        <v>53</v>
      </c>
      <c r="B54" s="16" t="n">
        <f aca="false">ROUNDUP(A54/12,0)</f>
        <v>5</v>
      </c>
      <c r="C54" s="10" t="n">
        <f aca="false">F53</f>
        <v>381103.088705662</v>
      </c>
      <c r="D54" s="10" t="n">
        <f aca="false">IF(AND(A54&lt;=Inputs!$B$9*12,C54&gt;0.000001),C54*Inputs!$B$10/12,0)</f>
        <v>2312.02540481435</v>
      </c>
      <c r="E54" s="10" t="n">
        <f aca="false">IF(AND(A54&lt;=Inputs!$B$9*12,C54&gt;0.000001),MIN(C54,Inputs!$B$41-D54),0)</f>
        <v>424.823724166354</v>
      </c>
      <c r="F54" s="10" t="n">
        <f aca="false">C54-E54</f>
        <v>380678.264981496</v>
      </c>
      <c r="G54" s="10" t="n">
        <f aca="false">IF(AND(Inputs!$B$43=1,C54&gt;0.78*Inputs!$B$7,A54&lt;=Inputs!$B$9*6),Inputs!$B$16*Inputs!$B$39/12,0)</f>
        <v>0</v>
      </c>
      <c r="H54" s="10" t="n">
        <f aca="false">IF(B54=1,Inputs!$B$7,INDEX(Annual!$AC$2:$AC$51,B54-1))</f>
        <v>584929.28</v>
      </c>
      <c r="I54" s="10" t="n">
        <f aca="false">Inputs!$B$12*IF(Inputs!$B$35="",H54,MIN(H54,Inputs!$B$7*(1+Inputs!$B$35)^(B54-1)))/12</f>
        <v>438.69696</v>
      </c>
      <c r="J54" s="10" t="n">
        <f aca="false">Inputs!$B$13*Inputs!$B$7*(1+Inputs!$B$22)^(B54-1)/12</f>
        <v>232.665088053333</v>
      </c>
      <c r="K54" s="10" t="n">
        <f aca="false">Inputs!$B$14*Inputs!$B$7*(1+Inputs!$B$22)^(B54-1)/12</f>
        <v>465.330176106667</v>
      </c>
      <c r="L54" s="10" t="n">
        <f aca="false">Inputs!$B$15*(1+Inputs!$B$22)^(B54-1)</f>
        <v>0</v>
      </c>
      <c r="M54" s="10" t="n">
        <f aca="false">INDEX(Annual!$N$2:$N$51,B54)/12</f>
        <v>0</v>
      </c>
      <c r="N54" s="10" t="n">
        <f aca="false">D54+E54+G54+I54+J54+K54+L54-M54</f>
        <v>3873.54135314071</v>
      </c>
      <c r="O54" s="10" t="n">
        <f aca="false">Inputs!$B$17*(1+Inputs!$B$18)^(B54-1)+Inputs!$B$19*(1+Inputs!$B$22)^(B54-1)</f>
        <v>2885.55938790234</v>
      </c>
      <c r="P54" s="10" t="n">
        <f aca="false">N54-O54</f>
        <v>987.981965238367</v>
      </c>
      <c r="Q54" s="10" t="n">
        <f aca="false">Q53*(1+Inputs!$B$42)-U54+MAX(P54,0)</f>
        <v>219856.825403351</v>
      </c>
      <c r="R54" s="10" t="n">
        <f aca="false">R53+Q53*Inputs!$B$48-U54+MAX(P54,0)</f>
        <v>178761.275108033</v>
      </c>
      <c r="S54" s="10" t="n">
        <f aca="false">S53*(1+Inputs!$B$42)-V54+MAX(-P54,0)</f>
        <v>0</v>
      </c>
      <c r="T54" s="10" t="n">
        <f aca="false">T53+S53*Inputs!$B$48-V54+MAX(-P54,0)</f>
        <v>0</v>
      </c>
      <c r="U54" s="10" t="n">
        <f aca="false">Q53*Inputs!$B$48*Inputs!$B$29</f>
        <v>29.92935632721</v>
      </c>
      <c r="V54" s="10" t="n">
        <f aca="false">S53*Inputs!$B$48*Inputs!$B$29</f>
        <v>0</v>
      </c>
    </row>
    <row r="55" customFormat="false" ht="15" hidden="false" customHeight="false" outlineLevel="0" collapsed="false">
      <c r="A55" s="16" t="n">
        <v>54</v>
      </c>
      <c r="B55" s="16" t="n">
        <f aca="false">ROUNDUP(A55/12,0)</f>
        <v>5</v>
      </c>
      <c r="C55" s="10" t="n">
        <f aca="false">F54</f>
        <v>380678.264981496</v>
      </c>
      <c r="D55" s="10" t="n">
        <f aca="false">IF(AND(A55&lt;=Inputs!$B$9*12,C55&gt;0.000001),C55*Inputs!$B$10/12,0)</f>
        <v>2309.44814088774</v>
      </c>
      <c r="E55" s="10" t="n">
        <f aca="false">IF(AND(A55&lt;=Inputs!$B$9*12,C55&gt;0.000001),MIN(C55,Inputs!$B$41-D55),0)</f>
        <v>427.400988092963</v>
      </c>
      <c r="F55" s="10" t="n">
        <f aca="false">C55-E55</f>
        <v>380250.863993403</v>
      </c>
      <c r="G55" s="10" t="n">
        <f aca="false">IF(AND(Inputs!$B$43=1,C55&gt;0.78*Inputs!$B$7,A55&lt;=Inputs!$B$9*6),Inputs!$B$16*Inputs!$B$39/12,0)</f>
        <v>0</v>
      </c>
      <c r="H55" s="10" t="n">
        <f aca="false">IF(B55=1,Inputs!$B$7,INDEX(Annual!$AC$2:$AC$51,B55-1))</f>
        <v>584929.28</v>
      </c>
      <c r="I55" s="10" t="n">
        <f aca="false">Inputs!$B$12*IF(Inputs!$B$35="",H55,MIN(H55,Inputs!$B$7*(1+Inputs!$B$35)^(B55-1)))/12</f>
        <v>438.69696</v>
      </c>
      <c r="J55" s="10" t="n">
        <f aca="false">Inputs!$B$13*Inputs!$B$7*(1+Inputs!$B$22)^(B55-1)/12</f>
        <v>232.665088053333</v>
      </c>
      <c r="K55" s="10" t="n">
        <f aca="false">Inputs!$B$14*Inputs!$B$7*(1+Inputs!$B$22)^(B55-1)/12</f>
        <v>465.330176106667</v>
      </c>
      <c r="L55" s="10" t="n">
        <f aca="false">Inputs!$B$15*(1+Inputs!$B$22)^(B55-1)</f>
        <v>0</v>
      </c>
      <c r="M55" s="10" t="n">
        <f aca="false">INDEX(Annual!$N$2:$N$51,B55)/12</f>
        <v>0</v>
      </c>
      <c r="N55" s="10" t="n">
        <f aca="false">D55+E55+G55+I55+J55+K55+L55-M55</f>
        <v>3873.54135314071</v>
      </c>
      <c r="O55" s="10" t="n">
        <f aca="false">Inputs!$B$17*(1+Inputs!$B$18)^(B55-1)+Inputs!$B$19*(1+Inputs!$B$22)^(B55-1)</f>
        <v>2885.55938790234</v>
      </c>
      <c r="P55" s="10" t="n">
        <f aca="false">N55-O55</f>
        <v>987.981965238367</v>
      </c>
      <c r="Q55" s="10" t="n">
        <f aca="false">Q54*(1+Inputs!$B$42)-U55+MAX(P55,0)</f>
        <v>222057.67951034</v>
      </c>
      <c r="R55" s="10" t="n">
        <f aca="false">R54+Q54*Inputs!$B$48-U55+MAX(P55,0)</f>
        <v>179920.562183065</v>
      </c>
      <c r="S55" s="10" t="n">
        <f aca="false">S54*(1+Inputs!$B$42)-V55+MAX(-P55,0)</f>
        <v>0</v>
      </c>
      <c r="T55" s="10" t="n">
        <f aca="false">T54+S54*Inputs!$B$48-V55+MAX(-P55,0)</f>
        <v>0</v>
      </c>
      <c r="U55" s="10" t="n">
        <f aca="false">Q54*Inputs!$B$48*Inputs!$B$29</f>
        <v>30.2303134929608</v>
      </c>
      <c r="V55" s="10" t="n">
        <f aca="false">S54*Inputs!$B$48*Inputs!$B$29</f>
        <v>0</v>
      </c>
    </row>
    <row r="56" customFormat="false" ht="15" hidden="false" customHeight="false" outlineLevel="0" collapsed="false">
      <c r="A56" s="16" t="n">
        <v>55</v>
      </c>
      <c r="B56" s="16" t="n">
        <f aca="false">ROUNDUP(A56/12,0)</f>
        <v>5</v>
      </c>
      <c r="C56" s="10" t="n">
        <f aca="false">F55</f>
        <v>380250.863993403</v>
      </c>
      <c r="D56" s="10" t="n">
        <f aca="false">IF(AND(A56&lt;=Inputs!$B$9*12,C56&gt;0.000001),C56*Inputs!$B$10/12,0)</f>
        <v>2306.85524155998</v>
      </c>
      <c r="E56" s="10" t="n">
        <f aca="false">IF(AND(A56&lt;=Inputs!$B$9*12,C56&gt;0.000001),MIN(C56,Inputs!$B$41-D56),0)</f>
        <v>429.993887420727</v>
      </c>
      <c r="F56" s="10" t="n">
        <f aca="false">C56-E56</f>
        <v>379820.870105982</v>
      </c>
      <c r="G56" s="10" t="n">
        <f aca="false">IF(AND(Inputs!$B$43=1,C56&gt;0.78*Inputs!$B$7,A56&lt;=Inputs!$B$9*6),Inputs!$B$16*Inputs!$B$39/12,0)</f>
        <v>0</v>
      </c>
      <c r="H56" s="10" t="n">
        <f aca="false">IF(B56=1,Inputs!$B$7,INDEX(Annual!$AC$2:$AC$51,B56-1))</f>
        <v>584929.28</v>
      </c>
      <c r="I56" s="10" t="n">
        <f aca="false">Inputs!$B$12*IF(Inputs!$B$35="",H56,MIN(H56,Inputs!$B$7*(1+Inputs!$B$35)^(B56-1)))/12</f>
        <v>438.69696</v>
      </c>
      <c r="J56" s="10" t="n">
        <f aca="false">Inputs!$B$13*Inputs!$B$7*(1+Inputs!$B$22)^(B56-1)/12</f>
        <v>232.665088053333</v>
      </c>
      <c r="K56" s="10" t="n">
        <f aca="false">Inputs!$B$14*Inputs!$B$7*(1+Inputs!$B$22)^(B56-1)/12</f>
        <v>465.330176106667</v>
      </c>
      <c r="L56" s="10" t="n">
        <f aca="false">Inputs!$B$15*(1+Inputs!$B$22)^(B56-1)</f>
        <v>0</v>
      </c>
      <c r="M56" s="10" t="n">
        <f aca="false">INDEX(Annual!$N$2:$N$51,B56)/12</f>
        <v>0</v>
      </c>
      <c r="N56" s="10" t="n">
        <f aca="false">D56+E56+G56+I56+J56+K56+L56-M56</f>
        <v>3873.54135314071</v>
      </c>
      <c r="O56" s="10" t="n">
        <f aca="false">Inputs!$B$17*(1+Inputs!$B$18)^(B56-1)+Inputs!$B$19*(1+Inputs!$B$22)^(B56-1)</f>
        <v>2885.55938790234</v>
      </c>
      <c r="P56" s="10" t="n">
        <f aca="false">N56-O56</f>
        <v>987.981965238367</v>
      </c>
      <c r="Q56" s="10" t="n">
        <f aca="false">Q55*(1+Inputs!$B$42)-U56+MAX(P56,0)</f>
        <v>224270.674948988</v>
      </c>
      <c r="R56" s="10" t="n">
        <f aca="false">R55+Q55*Inputs!$B$48-U56+MAX(P56,0)</f>
        <v>181081.564090255</v>
      </c>
      <c r="S56" s="10" t="n">
        <f aca="false">S55*(1+Inputs!$B$42)-V56+MAX(-P56,0)</f>
        <v>0</v>
      </c>
      <c r="T56" s="10" t="n">
        <f aca="false">T55+S55*Inputs!$B$48-V56+MAX(-P56,0)</f>
        <v>0</v>
      </c>
      <c r="U56" s="10" t="n">
        <f aca="false">Q55*Inputs!$B$48*Inputs!$B$29</f>
        <v>30.5329309326718</v>
      </c>
      <c r="V56" s="10" t="n">
        <f aca="false">S55*Inputs!$B$48*Inputs!$B$29</f>
        <v>0</v>
      </c>
    </row>
    <row r="57" customFormat="false" ht="15" hidden="false" customHeight="false" outlineLevel="0" collapsed="false">
      <c r="A57" s="16" t="n">
        <v>56</v>
      </c>
      <c r="B57" s="16" t="n">
        <f aca="false">ROUNDUP(A57/12,0)</f>
        <v>5</v>
      </c>
      <c r="C57" s="10" t="n">
        <f aca="false">F56</f>
        <v>379820.870105982</v>
      </c>
      <c r="D57" s="10" t="n">
        <f aca="false">IF(AND(A57&lt;=Inputs!$B$9*12,C57&gt;0.000001),C57*Inputs!$B$10/12,0)</f>
        <v>2304.24661197629</v>
      </c>
      <c r="E57" s="10" t="n">
        <f aca="false">IF(AND(A57&lt;=Inputs!$B$9*12,C57&gt;0.000001),MIN(C57,Inputs!$B$41-D57),0)</f>
        <v>432.602517004413</v>
      </c>
      <c r="F57" s="10" t="n">
        <f aca="false">C57-E57</f>
        <v>379388.267588978</v>
      </c>
      <c r="G57" s="10" t="n">
        <f aca="false">IF(AND(Inputs!$B$43=1,C57&gt;0.78*Inputs!$B$7,A57&lt;=Inputs!$B$9*6),Inputs!$B$16*Inputs!$B$39/12,0)</f>
        <v>0</v>
      </c>
      <c r="H57" s="10" t="n">
        <f aca="false">IF(B57=1,Inputs!$B$7,INDEX(Annual!$AC$2:$AC$51,B57-1))</f>
        <v>584929.28</v>
      </c>
      <c r="I57" s="10" t="n">
        <f aca="false">Inputs!$B$12*IF(Inputs!$B$35="",H57,MIN(H57,Inputs!$B$7*(1+Inputs!$B$35)^(B57-1)))/12</f>
        <v>438.69696</v>
      </c>
      <c r="J57" s="10" t="n">
        <f aca="false">Inputs!$B$13*Inputs!$B$7*(1+Inputs!$B$22)^(B57-1)/12</f>
        <v>232.665088053333</v>
      </c>
      <c r="K57" s="10" t="n">
        <f aca="false">Inputs!$B$14*Inputs!$B$7*(1+Inputs!$B$22)^(B57-1)/12</f>
        <v>465.330176106667</v>
      </c>
      <c r="L57" s="10" t="n">
        <f aca="false">Inputs!$B$15*(1+Inputs!$B$22)^(B57-1)</f>
        <v>0</v>
      </c>
      <c r="M57" s="10" t="n">
        <f aca="false">INDEX(Annual!$N$2:$N$51,B57)/12</f>
        <v>0</v>
      </c>
      <c r="N57" s="10" t="n">
        <f aca="false">D57+E57+G57+I57+J57+K57+L57-M57</f>
        <v>3873.54135314071</v>
      </c>
      <c r="O57" s="10" t="n">
        <f aca="false">Inputs!$B$17*(1+Inputs!$B$18)^(B57-1)+Inputs!$B$19*(1+Inputs!$B$22)^(B57-1)</f>
        <v>2885.55938790234</v>
      </c>
      <c r="P57" s="10" t="n">
        <f aca="false">N57-O57</f>
        <v>987.981965238367</v>
      </c>
      <c r="Q57" s="10" t="n">
        <f aca="false">Q56*(1+Inputs!$B$42)-U57+MAX(P57,0)</f>
        <v>226495.878698713</v>
      </c>
      <c r="R57" s="10" t="n">
        <f aca="false">R56+Q56*Inputs!$B$48-U57+MAX(P57,0)</f>
        <v>182244.290289725</v>
      </c>
      <c r="S57" s="10" t="n">
        <f aca="false">S56*(1+Inputs!$B$42)-V57+MAX(-P57,0)</f>
        <v>0</v>
      </c>
      <c r="T57" s="10" t="n">
        <f aca="false">T56+S56*Inputs!$B$48-V57+MAX(-P57,0)</f>
        <v>0</v>
      </c>
      <c r="U57" s="10" t="n">
        <f aca="false">Q56*Inputs!$B$48*Inputs!$B$29</f>
        <v>30.8372178054858</v>
      </c>
      <c r="V57" s="10" t="n">
        <f aca="false">S56*Inputs!$B$48*Inputs!$B$29</f>
        <v>0</v>
      </c>
    </row>
    <row r="58" customFormat="false" ht="15" hidden="false" customHeight="false" outlineLevel="0" collapsed="false">
      <c r="A58" s="16" t="n">
        <v>57</v>
      </c>
      <c r="B58" s="16" t="n">
        <f aca="false">ROUNDUP(A58/12,0)</f>
        <v>5</v>
      </c>
      <c r="C58" s="10" t="n">
        <f aca="false">F57</f>
        <v>379388.267588978</v>
      </c>
      <c r="D58" s="10" t="n">
        <f aca="false">IF(AND(A58&lt;=Inputs!$B$9*12,C58&gt;0.000001),C58*Inputs!$B$10/12,0)</f>
        <v>2301.62215670647</v>
      </c>
      <c r="E58" s="10" t="n">
        <f aca="false">IF(AND(A58&lt;=Inputs!$B$9*12,C58&gt;0.000001),MIN(C58,Inputs!$B$41-D58),0)</f>
        <v>435.22697227424</v>
      </c>
      <c r="F58" s="10" t="n">
        <f aca="false">C58-E58</f>
        <v>378953.040616704</v>
      </c>
      <c r="G58" s="10" t="n">
        <f aca="false">IF(AND(Inputs!$B$43=1,C58&gt;0.78*Inputs!$B$7,A58&lt;=Inputs!$B$9*6),Inputs!$B$16*Inputs!$B$39/12,0)</f>
        <v>0</v>
      </c>
      <c r="H58" s="10" t="n">
        <f aca="false">IF(B58=1,Inputs!$B$7,INDEX(Annual!$AC$2:$AC$51,B58-1))</f>
        <v>584929.28</v>
      </c>
      <c r="I58" s="10" t="n">
        <f aca="false">Inputs!$B$12*IF(Inputs!$B$35="",H58,MIN(H58,Inputs!$B$7*(1+Inputs!$B$35)^(B58-1)))/12</f>
        <v>438.69696</v>
      </c>
      <c r="J58" s="10" t="n">
        <f aca="false">Inputs!$B$13*Inputs!$B$7*(1+Inputs!$B$22)^(B58-1)/12</f>
        <v>232.665088053333</v>
      </c>
      <c r="K58" s="10" t="n">
        <f aca="false">Inputs!$B$14*Inputs!$B$7*(1+Inputs!$B$22)^(B58-1)/12</f>
        <v>465.330176106667</v>
      </c>
      <c r="L58" s="10" t="n">
        <f aca="false">Inputs!$B$15*(1+Inputs!$B$22)^(B58-1)</f>
        <v>0</v>
      </c>
      <c r="M58" s="10" t="n">
        <f aca="false">INDEX(Annual!$N$2:$N$51,B58)/12</f>
        <v>0</v>
      </c>
      <c r="N58" s="10" t="n">
        <f aca="false">D58+E58+G58+I58+J58+K58+L58-M58</f>
        <v>3873.54135314071</v>
      </c>
      <c r="O58" s="10" t="n">
        <f aca="false">Inputs!$B$17*(1+Inputs!$B$18)^(B58-1)+Inputs!$B$19*(1+Inputs!$B$22)^(B58-1)</f>
        <v>2885.55938790234</v>
      </c>
      <c r="P58" s="10" t="n">
        <f aca="false">N58-O58</f>
        <v>987.981965238367</v>
      </c>
      <c r="Q58" s="10" t="n">
        <f aca="false">Q57*(1+Inputs!$B$42)-U58+MAX(P58,0)</f>
        <v>228733.358108441</v>
      </c>
      <c r="R58" s="10" t="n">
        <f aca="false">R57+Q57*Inputs!$B$48-U58+MAX(P58,0)</f>
        <v>183408.750293783</v>
      </c>
      <c r="S58" s="10" t="n">
        <f aca="false">S57*(1+Inputs!$B$42)-V58+MAX(-P58,0)</f>
        <v>0</v>
      </c>
      <c r="T58" s="10" t="n">
        <f aca="false">T57+S57*Inputs!$B$48-V58+MAX(-P58,0)</f>
        <v>0</v>
      </c>
      <c r="U58" s="10" t="n">
        <f aca="false">Q57*Inputs!$B$48*Inputs!$B$29</f>
        <v>31.1431833210731</v>
      </c>
      <c r="V58" s="10" t="n">
        <f aca="false">S57*Inputs!$B$48*Inputs!$B$29</f>
        <v>0</v>
      </c>
    </row>
    <row r="59" customFormat="false" ht="15" hidden="false" customHeight="false" outlineLevel="0" collapsed="false">
      <c r="A59" s="16" t="n">
        <v>58</v>
      </c>
      <c r="B59" s="16" t="n">
        <f aca="false">ROUNDUP(A59/12,0)</f>
        <v>5</v>
      </c>
      <c r="C59" s="10" t="n">
        <f aca="false">F58</f>
        <v>378953.040616704</v>
      </c>
      <c r="D59" s="10" t="n">
        <f aca="false">IF(AND(A59&lt;=Inputs!$B$9*12,C59&gt;0.000001),C59*Inputs!$B$10/12,0)</f>
        <v>2298.98177974134</v>
      </c>
      <c r="E59" s="10" t="n">
        <f aca="false">IF(AND(A59&lt;=Inputs!$B$9*12,C59&gt;0.000001),MIN(C59,Inputs!$B$41-D59),0)</f>
        <v>437.86734923937</v>
      </c>
      <c r="F59" s="10" t="n">
        <f aca="false">C59-E59</f>
        <v>378515.173267464</v>
      </c>
      <c r="G59" s="10" t="n">
        <f aca="false">IF(AND(Inputs!$B$43=1,C59&gt;0.78*Inputs!$B$7,A59&lt;=Inputs!$B$9*6),Inputs!$B$16*Inputs!$B$39/12,0)</f>
        <v>0</v>
      </c>
      <c r="H59" s="10" t="n">
        <f aca="false">IF(B59=1,Inputs!$B$7,INDEX(Annual!$AC$2:$AC$51,B59-1))</f>
        <v>584929.28</v>
      </c>
      <c r="I59" s="10" t="n">
        <f aca="false">Inputs!$B$12*IF(Inputs!$B$35="",H59,MIN(H59,Inputs!$B$7*(1+Inputs!$B$35)^(B59-1)))/12</f>
        <v>438.69696</v>
      </c>
      <c r="J59" s="10" t="n">
        <f aca="false">Inputs!$B$13*Inputs!$B$7*(1+Inputs!$B$22)^(B59-1)/12</f>
        <v>232.665088053333</v>
      </c>
      <c r="K59" s="10" t="n">
        <f aca="false">Inputs!$B$14*Inputs!$B$7*(1+Inputs!$B$22)^(B59-1)/12</f>
        <v>465.330176106667</v>
      </c>
      <c r="L59" s="10" t="n">
        <f aca="false">Inputs!$B$15*(1+Inputs!$B$22)^(B59-1)</f>
        <v>0</v>
      </c>
      <c r="M59" s="10" t="n">
        <f aca="false">INDEX(Annual!$N$2:$N$51,B59)/12</f>
        <v>0</v>
      </c>
      <c r="N59" s="10" t="n">
        <f aca="false">D59+E59+G59+I59+J59+K59+L59-M59</f>
        <v>3873.54135314071</v>
      </c>
      <c r="O59" s="10" t="n">
        <f aca="false">Inputs!$B$17*(1+Inputs!$B$18)^(B59-1)+Inputs!$B$19*(1+Inputs!$B$22)^(B59-1)</f>
        <v>2885.55938790234</v>
      </c>
      <c r="P59" s="10" t="n">
        <f aca="false">N59-O59</f>
        <v>987.981965238367</v>
      </c>
      <c r="Q59" s="10" t="n">
        <f aca="false">Q58*(1+Inputs!$B$42)-U59+MAX(P59,0)</f>
        <v>230983.180898634</v>
      </c>
      <c r="R59" s="10" t="n">
        <f aca="false">R58+Q58*Inputs!$B$48-U59+MAX(P59,0)</f>
        <v>184574.953667214</v>
      </c>
      <c r="S59" s="10" t="n">
        <f aca="false">S58*(1+Inputs!$B$42)-V59+MAX(-P59,0)</f>
        <v>0</v>
      </c>
      <c r="T59" s="10" t="n">
        <f aca="false">T58+S58*Inputs!$B$48-V59+MAX(-P59,0)</f>
        <v>0</v>
      </c>
      <c r="U59" s="10" t="n">
        <f aca="false">Q58*Inputs!$B$48*Inputs!$B$29</f>
        <v>31.4508367399107</v>
      </c>
      <c r="V59" s="10" t="n">
        <f aca="false">S58*Inputs!$B$48*Inputs!$B$29</f>
        <v>0</v>
      </c>
    </row>
    <row r="60" customFormat="false" ht="15" hidden="false" customHeight="false" outlineLevel="0" collapsed="false">
      <c r="A60" s="16" t="n">
        <v>59</v>
      </c>
      <c r="B60" s="16" t="n">
        <f aca="false">ROUNDUP(A60/12,0)</f>
        <v>5</v>
      </c>
      <c r="C60" s="10" t="n">
        <f aca="false">F59</f>
        <v>378515.173267464</v>
      </c>
      <c r="D60" s="10" t="n">
        <f aca="false">IF(AND(A60&lt;=Inputs!$B$9*12,C60&gt;0.000001),C60*Inputs!$B$10/12,0)</f>
        <v>2296.32538448928</v>
      </c>
      <c r="E60" s="10" t="n">
        <f aca="false">IF(AND(A60&lt;=Inputs!$B$9*12,C60&gt;0.000001),MIN(C60,Inputs!$B$41-D60),0)</f>
        <v>440.523744491422</v>
      </c>
      <c r="F60" s="10" t="n">
        <f aca="false">C60-E60</f>
        <v>378074.649522973</v>
      </c>
      <c r="G60" s="10" t="n">
        <f aca="false">IF(AND(Inputs!$B$43=1,C60&gt;0.78*Inputs!$B$7,A60&lt;=Inputs!$B$9*6),Inputs!$B$16*Inputs!$B$39/12,0)</f>
        <v>0</v>
      </c>
      <c r="H60" s="10" t="n">
        <f aca="false">IF(B60=1,Inputs!$B$7,INDEX(Annual!$AC$2:$AC$51,B60-1))</f>
        <v>584929.28</v>
      </c>
      <c r="I60" s="10" t="n">
        <f aca="false">Inputs!$B$12*IF(Inputs!$B$35="",H60,MIN(H60,Inputs!$B$7*(1+Inputs!$B$35)^(B60-1)))/12</f>
        <v>438.69696</v>
      </c>
      <c r="J60" s="10" t="n">
        <f aca="false">Inputs!$B$13*Inputs!$B$7*(1+Inputs!$B$22)^(B60-1)/12</f>
        <v>232.665088053333</v>
      </c>
      <c r="K60" s="10" t="n">
        <f aca="false">Inputs!$B$14*Inputs!$B$7*(1+Inputs!$B$22)^(B60-1)/12</f>
        <v>465.330176106667</v>
      </c>
      <c r="L60" s="10" t="n">
        <f aca="false">Inputs!$B$15*(1+Inputs!$B$22)^(B60-1)</f>
        <v>0</v>
      </c>
      <c r="M60" s="10" t="n">
        <f aca="false">INDEX(Annual!$N$2:$N$51,B60)/12</f>
        <v>0</v>
      </c>
      <c r="N60" s="10" t="n">
        <f aca="false">D60+E60+G60+I60+J60+K60+L60-M60</f>
        <v>3873.54135314071</v>
      </c>
      <c r="O60" s="10" t="n">
        <f aca="false">Inputs!$B$17*(1+Inputs!$B$18)^(B60-1)+Inputs!$B$19*(1+Inputs!$B$22)^(B60-1)</f>
        <v>2885.55938790234</v>
      </c>
      <c r="P60" s="10" t="n">
        <f aca="false">N60-O60</f>
        <v>987.981965238367</v>
      </c>
      <c r="Q60" s="10" t="n">
        <f aca="false">Q59*(1+Inputs!$B$42)-U60+MAX(P60,0)</f>
        <v>233245.415163345</v>
      </c>
      <c r="R60" s="10" t="n">
        <f aca="false">R59+Q59*Inputs!$B$48-U60+MAX(P60,0)</f>
        <v>185742.910027569</v>
      </c>
      <c r="S60" s="10" t="n">
        <f aca="false">S59*(1+Inputs!$B$42)-V60+MAX(-P60,0)</f>
        <v>0</v>
      </c>
      <c r="T60" s="10" t="n">
        <f aca="false">T59+S59*Inputs!$B$48-V60+MAX(-P60,0)</f>
        <v>0</v>
      </c>
      <c r="U60" s="10" t="n">
        <f aca="false">Q59*Inputs!$B$48*Inputs!$B$29</f>
        <v>31.7601873735622</v>
      </c>
      <c r="V60" s="10" t="n">
        <f aca="false">S59*Inputs!$B$48*Inputs!$B$29</f>
        <v>0</v>
      </c>
    </row>
    <row r="61" customFormat="false" ht="15" hidden="false" customHeight="false" outlineLevel="0" collapsed="false">
      <c r="A61" s="16" t="n">
        <v>60</v>
      </c>
      <c r="B61" s="16" t="n">
        <f aca="false">ROUNDUP(A61/12,0)</f>
        <v>5</v>
      </c>
      <c r="C61" s="10" t="n">
        <f aca="false">F60</f>
        <v>378074.649522973</v>
      </c>
      <c r="D61" s="10" t="n">
        <f aca="false">IF(AND(A61&lt;=Inputs!$B$9*12,C61&gt;0.000001),C61*Inputs!$B$10/12,0)</f>
        <v>2293.6528737727</v>
      </c>
      <c r="E61" s="10" t="n">
        <f aca="false">IF(AND(A61&lt;=Inputs!$B$9*12,C61&gt;0.000001),MIN(C61,Inputs!$B$41-D61),0)</f>
        <v>443.196255208004</v>
      </c>
      <c r="F61" s="10" t="n">
        <f aca="false">C61-E61</f>
        <v>377631.453267765</v>
      </c>
      <c r="G61" s="10" t="n">
        <f aca="false">IF(AND(Inputs!$B$43=1,C61&gt;0.78*Inputs!$B$7,A61&lt;=Inputs!$B$9*6),Inputs!$B$16*Inputs!$B$39/12,0)</f>
        <v>0</v>
      </c>
      <c r="H61" s="10" t="n">
        <f aca="false">IF(B61=1,Inputs!$B$7,INDEX(Annual!$AC$2:$AC$51,B61-1))</f>
        <v>584929.28</v>
      </c>
      <c r="I61" s="10" t="n">
        <f aca="false">Inputs!$B$12*IF(Inputs!$B$35="",H61,MIN(H61,Inputs!$B$7*(1+Inputs!$B$35)^(B61-1)))/12</f>
        <v>438.69696</v>
      </c>
      <c r="J61" s="10" t="n">
        <f aca="false">Inputs!$B$13*Inputs!$B$7*(1+Inputs!$B$22)^(B61-1)/12</f>
        <v>232.665088053333</v>
      </c>
      <c r="K61" s="10" t="n">
        <f aca="false">Inputs!$B$14*Inputs!$B$7*(1+Inputs!$B$22)^(B61-1)/12</f>
        <v>465.330176106667</v>
      </c>
      <c r="L61" s="10" t="n">
        <f aca="false">Inputs!$B$15*(1+Inputs!$B$22)^(B61-1)</f>
        <v>0</v>
      </c>
      <c r="M61" s="10" t="n">
        <f aca="false">INDEX(Annual!$N$2:$N$51,B61)/12</f>
        <v>0</v>
      </c>
      <c r="N61" s="10" t="n">
        <f aca="false">D61+E61+G61+I61+J61+K61+L61-M61</f>
        <v>3873.54135314071</v>
      </c>
      <c r="O61" s="10" t="n">
        <f aca="false">Inputs!$B$17*(1+Inputs!$B$18)^(B61-1)+Inputs!$B$19*(1+Inputs!$B$22)^(B61-1)</f>
        <v>2885.55938790234</v>
      </c>
      <c r="P61" s="10" t="n">
        <f aca="false">N61-O61</f>
        <v>987.981965238367</v>
      </c>
      <c r="Q61" s="10" t="n">
        <f aca="false">Q60*(1+Inputs!$B$42)-U61+MAX(P61,0)</f>
        <v>235520.129372278</v>
      </c>
      <c r="R61" s="10" t="n">
        <f aca="false">R60+Q60*Inputs!$B$48-U61+MAX(P61,0)</f>
        <v>186912.629045456</v>
      </c>
      <c r="S61" s="10" t="n">
        <f aca="false">S60*(1+Inputs!$B$42)-V61+MAX(-P61,0)</f>
        <v>0</v>
      </c>
      <c r="T61" s="10" t="n">
        <f aca="false">T60+S60*Inputs!$B$48-V61+MAX(-P61,0)</f>
        <v>0</v>
      </c>
      <c r="U61" s="10" t="n">
        <f aca="false">Q60*Inputs!$B$48*Inputs!$B$29</f>
        <v>32.07124458496</v>
      </c>
      <c r="V61" s="10" t="n">
        <f aca="false">S60*Inputs!$B$48*Inputs!$B$29</f>
        <v>0</v>
      </c>
    </row>
    <row r="62" customFormat="false" ht="15" hidden="false" customHeight="false" outlineLevel="0" collapsed="false">
      <c r="A62" s="16" t="n">
        <v>61</v>
      </c>
      <c r="B62" s="16" t="n">
        <f aca="false">ROUNDUP(A62/12,0)</f>
        <v>6</v>
      </c>
      <c r="C62" s="10" t="n">
        <f aca="false">F61</f>
        <v>377631.453267765</v>
      </c>
      <c r="D62" s="10" t="n">
        <f aca="false">IF(AND(A62&lt;=Inputs!$B$9*12,C62&gt;0.000001),C62*Inputs!$B$10/12,0)</f>
        <v>2290.96414982444</v>
      </c>
      <c r="E62" s="10" t="n">
        <f aca="false">IF(AND(A62&lt;=Inputs!$B$9*12,C62&gt;0.000001),MIN(C62,Inputs!$B$41-D62),0)</f>
        <v>445.884979156265</v>
      </c>
      <c r="F62" s="10" t="n">
        <f aca="false">C62-E62</f>
        <v>377185.568288609</v>
      </c>
      <c r="G62" s="10" t="n">
        <f aca="false">IF(AND(Inputs!$B$43=1,C62&gt;0.78*Inputs!$B$7,A62&lt;=Inputs!$B$9*6),Inputs!$B$16*Inputs!$B$39/12,0)</f>
        <v>0</v>
      </c>
      <c r="H62" s="10" t="n">
        <f aca="false">IF(B62=1,Inputs!$B$7,INDEX(Annual!$AC$2:$AC$51,B62-1))</f>
        <v>608326.4512</v>
      </c>
      <c r="I62" s="10" t="n">
        <f aca="false">Inputs!$B$12*IF(Inputs!$B$35="",H62,MIN(H62,Inputs!$B$7*(1+Inputs!$B$35)^(B62-1)))/12</f>
        <v>456.2448384</v>
      </c>
      <c r="J62" s="10" t="n">
        <f aca="false">Inputs!$B$13*Inputs!$B$7*(1+Inputs!$B$22)^(B62-1)/12</f>
        <v>239.179710518827</v>
      </c>
      <c r="K62" s="10" t="n">
        <f aca="false">Inputs!$B$14*Inputs!$B$7*(1+Inputs!$B$22)^(B62-1)/12</f>
        <v>478.359421037653</v>
      </c>
      <c r="L62" s="10" t="n">
        <f aca="false">Inputs!$B$15*(1+Inputs!$B$22)^(B62-1)</f>
        <v>0</v>
      </c>
      <c r="M62" s="10" t="n">
        <f aca="false">INDEX(Annual!$N$2:$N$51,B62)/12</f>
        <v>0</v>
      </c>
      <c r="N62" s="10" t="n">
        <f aca="false">D62+E62+G62+I62+J62+K62+L62-M62</f>
        <v>3910.63309893719</v>
      </c>
      <c r="O62" s="10" t="n">
        <f aca="false">Inputs!$B$17*(1+Inputs!$B$18)^(B62-1)+Inputs!$B$19*(1+Inputs!$B$22)^(B62-1)</f>
        <v>2986.43670327454</v>
      </c>
      <c r="P62" s="10" t="n">
        <f aca="false">N62-O62</f>
        <v>924.196395662644</v>
      </c>
      <c r="Q62" s="10" t="n">
        <f aca="false">Q61*(1+Inputs!$B$42)-U62+MAX(P62,0)</f>
        <v>237743.606803283</v>
      </c>
      <c r="R62" s="10" t="n">
        <f aca="false">R61+Q61*Inputs!$B$48-U62+MAX(P62,0)</f>
        <v>188020.334875254</v>
      </c>
      <c r="S62" s="10" t="n">
        <f aca="false">S61*(1+Inputs!$B$42)-V62+MAX(-P62,0)</f>
        <v>0</v>
      </c>
      <c r="T62" s="10" t="n">
        <f aca="false">T61+S61*Inputs!$B$48-V62+MAX(-P62,0)</f>
        <v>0</v>
      </c>
      <c r="U62" s="10" t="n">
        <f aca="false">Q61*Inputs!$B$48*Inputs!$B$29</f>
        <v>32.3840177886883</v>
      </c>
      <c r="V62" s="10" t="n">
        <f aca="false">S61*Inputs!$B$48*Inputs!$B$29</f>
        <v>0</v>
      </c>
    </row>
    <row r="63" customFormat="false" ht="15" hidden="false" customHeight="false" outlineLevel="0" collapsed="false">
      <c r="A63" s="16" t="n">
        <v>62</v>
      </c>
      <c r="B63" s="16" t="n">
        <f aca="false">ROUNDUP(A63/12,0)</f>
        <v>6</v>
      </c>
      <c r="C63" s="10" t="n">
        <f aca="false">F62</f>
        <v>377185.568288609</v>
      </c>
      <c r="D63" s="10" t="n">
        <f aca="false">IF(AND(A63&lt;=Inputs!$B$9*12,C63&gt;0.000001),C63*Inputs!$B$10/12,0)</f>
        <v>2288.25911428423</v>
      </c>
      <c r="E63" s="10" t="n">
        <f aca="false">IF(AND(A63&lt;=Inputs!$B$9*12,C63&gt;0.000001),MIN(C63,Inputs!$B$41-D63),0)</f>
        <v>448.59001469648</v>
      </c>
      <c r="F63" s="10" t="n">
        <f aca="false">C63-E63</f>
        <v>376736.978273912</v>
      </c>
      <c r="G63" s="10" t="n">
        <f aca="false">IF(AND(Inputs!$B$43=1,C63&gt;0.78*Inputs!$B$7,A63&lt;=Inputs!$B$9*6),Inputs!$B$16*Inputs!$B$39/12,0)</f>
        <v>0</v>
      </c>
      <c r="H63" s="10" t="n">
        <f aca="false">IF(B63=1,Inputs!$B$7,INDEX(Annual!$AC$2:$AC$51,B63-1))</f>
        <v>608326.4512</v>
      </c>
      <c r="I63" s="10" t="n">
        <f aca="false">Inputs!$B$12*IF(Inputs!$B$35="",H63,MIN(H63,Inputs!$B$7*(1+Inputs!$B$35)^(B63-1)))/12</f>
        <v>456.2448384</v>
      </c>
      <c r="J63" s="10" t="n">
        <f aca="false">Inputs!$B$13*Inputs!$B$7*(1+Inputs!$B$22)^(B63-1)/12</f>
        <v>239.179710518827</v>
      </c>
      <c r="K63" s="10" t="n">
        <f aca="false">Inputs!$B$14*Inputs!$B$7*(1+Inputs!$B$22)^(B63-1)/12</f>
        <v>478.359421037653</v>
      </c>
      <c r="L63" s="10" t="n">
        <f aca="false">Inputs!$B$15*(1+Inputs!$B$22)^(B63-1)</f>
        <v>0</v>
      </c>
      <c r="M63" s="10" t="n">
        <f aca="false">INDEX(Annual!$N$2:$N$51,B63)/12</f>
        <v>0</v>
      </c>
      <c r="N63" s="10" t="n">
        <f aca="false">D63+E63+G63+I63+J63+K63+L63-M63</f>
        <v>3910.63309893719</v>
      </c>
      <c r="O63" s="10" t="n">
        <f aca="false">Inputs!$B$17*(1+Inputs!$B$18)^(B63-1)+Inputs!$B$19*(1+Inputs!$B$22)^(B63-1)</f>
        <v>2986.43670327454</v>
      </c>
      <c r="P63" s="10" t="n">
        <f aca="false">N63-O63</f>
        <v>924.196395662644</v>
      </c>
      <c r="Q63" s="10" t="n">
        <f aca="false">Q62*(1+Inputs!$B$42)-U63+MAX(P63,0)</f>
        <v>239979.350370803</v>
      </c>
      <c r="R63" s="10" t="n">
        <f aca="false">R62+Q62*Inputs!$B$48-U63+MAX(P63,0)</f>
        <v>189129.773164551</v>
      </c>
      <c r="S63" s="10" t="n">
        <f aca="false">S62*(1+Inputs!$B$42)-V63+MAX(-P63,0)</f>
        <v>0</v>
      </c>
      <c r="T63" s="10" t="n">
        <f aca="false">T62+S62*Inputs!$B$48-V63+MAX(-P63,0)</f>
        <v>0</v>
      </c>
      <c r="U63" s="10" t="n">
        <f aca="false">Q62*Inputs!$B$48*Inputs!$B$29</f>
        <v>32.6897459354515</v>
      </c>
      <c r="V63" s="10" t="n">
        <f aca="false">S62*Inputs!$B$48*Inputs!$B$29</f>
        <v>0</v>
      </c>
    </row>
    <row r="64" customFormat="false" ht="15" hidden="false" customHeight="false" outlineLevel="0" collapsed="false">
      <c r="A64" s="16" t="n">
        <v>63</v>
      </c>
      <c r="B64" s="16" t="n">
        <f aca="false">ROUNDUP(A64/12,0)</f>
        <v>6</v>
      </c>
      <c r="C64" s="10" t="n">
        <f aca="false">F63</f>
        <v>376736.978273912</v>
      </c>
      <c r="D64" s="10" t="n">
        <f aca="false">IF(AND(A64&lt;=Inputs!$B$9*12,C64&gt;0.000001),C64*Inputs!$B$10/12,0)</f>
        <v>2285.53766819507</v>
      </c>
      <c r="E64" s="10" t="n">
        <f aca="false">IF(AND(A64&lt;=Inputs!$B$9*12,C64&gt;0.000001),MIN(C64,Inputs!$B$41-D64),0)</f>
        <v>451.311460785639</v>
      </c>
      <c r="F64" s="10" t="n">
        <f aca="false">C64-E64</f>
        <v>376285.666813127</v>
      </c>
      <c r="G64" s="10" t="n">
        <f aca="false">IF(AND(Inputs!$B$43=1,C64&gt;0.78*Inputs!$B$7,A64&lt;=Inputs!$B$9*6),Inputs!$B$16*Inputs!$B$39/12,0)</f>
        <v>0</v>
      </c>
      <c r="H64" s="10" t="n">
        <f aca="false">IF(B64=1,Inputs!$B$7,INDEX(Annual!$AC$2:$AC$51,B64-1))</f>
        <v>608326.4512</v>
      </c>
      <c r="I64" s="10" t="n">
        <f aca="false">Inputs!$B$12*IF(Inputs!$B$35="",H64,MIN(H64,Inputs!$B$7*(1+Inputs!$B$35)^(B64-1)))/12</f>
        <v>456.2448384</v>
      </c>
      <c r="J64" s="10" t="n">
        <f aca="false">Inputs!$B$13*Inputs!$B$7*(1+Inputs!$B$22)^(B64-1)/12</f>
        <v>239.179710518827</v>
      </c>
      <c r="K64" s="10" t="n">
        <f aca="false">Inputs!$B$14*Inputs!$B$7*(1+Inputs!$B$22)^(B64-1)/12</f>
        <v>478.359421037653</v>
      </c>
      <c r="L64" s="10" t="n">
        <f aca="false">Inputs!$B$15*(1+Inputs!$B$22)^(B64-1)</f>
        <v>0</v>
      </c>
      <c r="M64" s="10" t="n">
        <f aca="false">INDEX(Annual!$N$2:$N$51,B64)/12</f>
        <v>0</v>
      </c>
      <c r="N64" s="10" t="n">
        <f aca="false">D64+E64+G64+I64+J64+K64+L64-M64</f>
        <v>3910.63309893719</v>
      </c>
      <c r="O64" s="10" t="n">
        <f aca="false">Inputs!$B$17*(1+Inputs!$B$18)^(B64-1)+Inputs!$B$19*(1+Inputs!$B$22)^(B64-1)</f>
        <v>2986.43670327454</v>
      </c>
      <c r="P64" s="10" t="n">
        <f aca="false">N64-O64</f>
        <v>924.196395662644</v>
      </c>
      <c r="Q64" s="10" t="n">
        <f aca="false">Q63*(1+Inputs!$B$42)-U64+MAX(P64,0)</f>
        <v>242227.427742761</v>
      </c>
      <c r="R64" s="10" t="n">
        <f aca="false">R63+Q63*Inputs!$B$48-U64+MAX(P64,0)</f>
        <v>190240.953470711</v>
      </c>
      <c r="S64" s="10" t="n">
        <f aca="false">S63*(1+Inputs!$B$42)-V64+MAX(-P64,0)</f>
        <v>0</v>
      </c>
      <c r="T64" s="10" t="n">
        <f aca="false">T63+S63*Inputs!$B$48-V64+MAX(-P64,0)</f>
        <v>0</v>
      </c>
      <c r="U64" s="10" t="n">
        <f aca="false">Q63*Inputs!$B$48*Inputs!$B$29</f>
        <v>32.9971606759853</v>
      </c>
      <c r="V64" s="10" t="n">
        <f aca="false">S63*Inputs!$B$48*Inputs!$B$29</f>
        <v>0</v>
      </c>
    </row>
    <row r="65" customFormat="false" ht="15" hidden="false" customHeight="false" outlineLevel="0" collapsed="false">
      <c r="A65" s="16" t="n">
        <v>64</v>
      </c>
      <c r="B65" s="16" t="n">
        <f aca="false">ROUNDUP(A65/12,0)</f>
        <v>6</v>
      </c>
      <c r="C65" s="10" t="n">
        <f aca="false">F64</f>
        <v>376285.666813127</v>
      </c>
      <c r="D65" s="10" t="n">
        <f aca="false">IF(AND(A65&lt;=Inputs!$B$9*12,C65&gt;0.000001),C65*Inputs!$B$10/12,0)</f>
        <v>2282.79971199963</v>
      </c>
      <c r="E65" s="10" t="n">
        <f aca="false">IF(AND(A65&lt;=Inputs!$B$9*12,C65&gt;0.000001),MIN(C65,Inputs!$B$41-D65),0)</f>
        <v>454.049416981071</v>
      </c>
      <c r="F65" s="10" t="n">
        <f aca="false">C65-E65</f>
        <v>375831.617396146</v>
      </c>
      <c r="G65" s="10" t="n">
        <f aca="false">IF(AND(Inputs!$B$43=1,C65&gt;0.78*Inputs!$B$7,A65&lt;=Inputs!$B$9*6),Inputs!$B$16*Inputs!$B$39/12,0)</f>
        <v>0</v>
      </c>
      <c r="H65" s="10" t="n">
        <f aca="false">IF(B65=1,Inputs!$B$7,INDEX(Annual!$AC$2:$AC$51,B65-1))</f>
        <v>608326.4512</v>
      </c>
      <c r="I65" s="10" t="n">
        <f aca="false">Inputs!$B$12*IF(Inputs!$B$35="",H65,MIN(H65,Inputs!$B$7*(1+Inputs!$B$35)^(B65-1)))/12</f>
        <v>456.2448384</v>
      </c>
      <c r="J65" s="10" t="n">
        <f aca="false">Inputs!$B$13*Inputs!$B$7*(1+Inputs!$B$22)^(B65-1)/12</f>
        <v>239.179710518827</v>
      </c>
      <c r="K65" s="10" t="n">
        <f aca="false">Inputs!$B$14*Inputs!$B$7*(1+Inputs!$B$22)^(B65-1)/12</f>
        <v>478.359421037653</v>
      </c>
      <c r="L65" s="10" t="n">
        <f aca="false">Inputs!$B$15*(1+Inputs!$B$22)^(B65-1)</f>
        <v>0</v>
      </c>
      <c r="M65" s="10" t="n">
        <f aca="false">INDEX(Annual!$N$2:$N$51,B65)/12</f>
        <v>0</v>
      </c>
      <c r="N65" s="10" t="n">
        <f aca="false">D65+E65+G65+I65+J65+K65+L65-M65</f>
        <v>3910.63309893719</v>
      </c>
      <c r="O65" s="10" t="n">
        <f aca="false">Inputs!$B$17*(1+Inputs!$B$18)^(B65-1)+Inputs!$B$19*(1+Inputs!$B$22)^(B65-1)</f>
        <v>2986.43670327454</v>
      </c>
      <c r="P65" s="10" t="n">
        <f aca="false">N65-O65</f>
        <v>924.196395662644</v>
      </c>
      <c r="Q65" s="10" t="n">
        <f aca="false">Q64*(1+Inputs!$B$42)-U65+MAX(P65,0)</f>
        <v>244487.906960384</v>
      </c>
      <c r="R65" s="10" t="n">
        <f aca="false">R64+Q64*Inputs!$B$48-U65+MAX(P65,0)</f>
        <v>191353.885403823</v>
      </c>
      <c r="S65" s="10" t="n">
        <f aca="false">S64*(1+Inputs!$B$42)-V65+MAX(-P65,0)</f>
        <v>0</v>
      </c>
      <c r="T65" s="10" t="n">
        <f aca="false">T64+S64*Inputs!$B$48-V65+MAX(-P65,0)</f>
        <v>0</v>
      </c>
      <c r="U65" s="10" t="n">
        <f aca="false">Q64*Inputs!$B$48*Inputs!$B$29</f>
        <v>33.3062713146296</v>
      </c>
      <c r="V65" s="10" t="n">
        <f aca="false">S64*Inputs!$B$48*Inputs!$B$29</f>
        <v>0</v>
      </c>
    </row>
    <row r="66" customFormat="false" ht="15" hidden="false" customHeight="false" outlineLevel="0" collapsed="false">
      <c r="A66" s="16" t="n">
        <v>65</v>
      </c>
      <c r="B66" s="16" t="n">
        <f aca="false">ROUNDUP(A66/12,0)</f>
        <v>6</v>
      </c>
      <c r="C66" s="10" t="n">
        <f aca="false">F65</f>
        <v>375831.617396146</v>
      </c>
      <c r="D66" s="10" t="n">
        <f aca="false">IF(AND(A66&lt;=Inputs!$B$9*12,C66&gt;0.000001),C66*Inputs!$B$10/12,0)</f>
        <v>2280.04514553662</v>
      </c>
      <c r="E66" s="10" t="n">
        <f aca="false">IF(AND(A66&lt;=Inputs!$B$9*12,C66&gt;0.000001),MIN(C66,Inputs!$B$41-D66),0)</f>
        <v>456.80398344409</v>
      </c>
      <c r="F66" s="10" t="n">
        <f aca="false">C66-E66</f>
        <v>375374.813412701</v>
      </c>
      <c r="G66" s="10" t="n">
        <f aca="false">IF(AND(Inputs!$B$43=1,C66&gt;0.78*Inputs!$B$7,A66&lt;=Inputs!$B$9*6),Inputs!$B$16*Inputs!$B$39/12,0)</f>
        <v>0</v>
      </c>
      <c r="H66" s="10" t="n">
        <f aca="false">IF(B66=1,Inputs!$B$7,INDEX(Annual!$AC$2:$AC$51,B66-1))</f>
        <v>608326.4512</v>
      </c>
      <c r="I66" s="10" t="n">
        <f aca="false">Inputs!$B$12*IF(Inputs!$B$35="",H66,MIN(H66,Inputs!$B$7*(1+Inputs!$B$35)^(B66-1)))/12</f>
        <v>456.2448384</v>
      </c>
      <c r="J66" s="10" t="n">
        <f aca="false">Inputs!$B$13*Inputs!$B$7*(1+Inputs!$B$22)^(B66-1)/12</f>
        <v>239.179710518827</v>
      </c>
      <c r="K66" s="10" t="n">
        <f aca="false">Inputs!$B$14*Inputs!$B$7*(1+Inputs!$B$22)^(B66-1)/12</f>
        <v>478.359421037653</v>
      </c>
      <c r="L66" s="10" t="n">
        <f aca="false">Inputs!$B$15*(1+Inputs!$B$22)^(B66-1)</f>
        <v>0</v>
      </c>
      <c r="M66" s="10" t="n">
        <f aca="false">INDEX(Annual!$N$2:$N$51,B66)/12</f>
        <v>0</v>
      </c>
      <c r="N66" s="10" t="n">
        <f aca="false">D66+E66+G66+I66+J66+K66+L66-M66</f>
        <v>3910.63309893719</v>
      </c>
      <c r="O66" s="10" t="n">
        <f aca="false">Inputs!$B$17*(1+Inputs!$B$18)^(B66-1)+Inputs!$B$19*(1+Inputs!$B$22)^(B66-1)</f>
        <v>2986.43670327454</v>
      </c>
      <c r="P66" s="10" t="n">
        <f aca="false">N66-O66</f>
        <v>924.196395662644</v>
      </c>
      <c r="Q66" s="10" t="n">
        <f aca="false">Q65*(1+Inputs!$B$42)-U66+MAX(P66,0)</f>
        <v>246760.856440256</v>
      </c>
      <c r="R66" s="10" t="n">
        <f aca="false">R65+Q65*Inputs!$B$48-U66+MAX(P66,0)</f>
        <v>192468.578626992</v>
      </c>
      <c r="S66" s="10" t="n">
        <f aca="false">S65*(1+Inputs!$B$42)-V66+MAX(-P66,0)</f>
        <v>0</v>
      </c>
      <c r="T66" s="10" t="n">
        <f aca="false">T65+S65*Inputs!$B$48-V66+MAX(-P66,0)</f>
        <v>0</v>
      </c>
      <c r="U66" s="10" t="n">
        <f aca="false">Q65*Inputs!$B$48*Inputs!$B$29</f>
        <v>33.6170872070527</v>
      </c>
      <c r="V66" s="10" t="n">
        <f aca="false">S65*Inputs!$B$48*Inputs!$B$29</f>
        <v>0</v>
      </c>
    </row>
    <row r="67" customFormat="false" ht="15" hidden="false" customHeight="false" outlineLevel="0" collapsed="false">
      <c r="A67" s="16" t="n">
        <v>66</v>
      </c>
      <c r="B67" s="16" t="n">
        <f aca="false">ROUNDUP(A67/12,0)</f>
        <v>6</v>
      </c>
      <c r="C67" s="10" t="n">
        <f aca="false">F66</f>
        <v>375374.813412701</v>
      </c>
      <c r="D67" s="10" t="n">
        <f aca="false">IF(AND(A67&lt;=Inputs!$B$9*12,C67&gt;0.000001),C67*Inputs!$B$10/12,0)</f>
        <v>2277.27386803706</v>
      </c>
      <c r="E67" s="10" t="n">
        <f aca="false">IF(AND(A67&lt;=Inputs!$B$9*12,C67&gt;0.000001),MIN(C67,Inputs!$B$41-D67),0)</f>
        <v>459.57526094365</v>
      </c>
      <c r="F67" s="10" t="n">
        <f aca="false">C67-E67</f>
        <v>374915.238151758</v>
      </c>
      <c r="G67" s="10" t="n">
        <f aca="false">IF(AND(Inputs!$B$43=1,C67&gt;0.78*Inputs!$B$7,A67&lt;=Inputs!$B$9*6),Inputs!$B$16*Inputs!$B$39/12,0)</f>
        <v>0</v>
      </c>
      <c r="H67" s="10" t="n">
        <f aca="false">IF(B67=1,Inputs!$B$7,INDEX(Annual!$AC$2:$AC$51,B67-1))</f>
        <v>608326.4512</v>
      </c>
      <c r="I67" s="10" t="n">
        <f aca="false">Inputs!$B$12*IF(Inputs!$B$35="",H67,MIN(H67,Inputs!$B$7*(1+Inputs!$B$35)^(B67-1)))/12</f>
        <v>456.2448384</v>
      </c>
      <c r="J67" s="10" t="n">
        <f aca="false">Inputs!$B$13*Inputs!$B$7*(1+Inputs!$B$22)^(B67-1)/12</f>
        <v>239.179710518827</v>
      </c>
      <c r="K67" s="10" t="n">
        <f aca="false">Inputs!$B$14*Inputs!$B$7*(1+Inputs!$B$22)^(B67-1)/12</f>
        <v>478.359421037653</v>
      </c>
      <c r="L67" s="10" t="n">
        <f aca="false">Inputs!$B$15*(1+Inputs!$B$22)^(B67-1)</f>
        <v>0</v>
      </c>
      <c r="M67" s="10" t="n">
        <f aca="false">INDEX(Annual!$N$2:$N$51,B67)/12</f>
        <v>0</v>
      </c>
      <c r="N67" s="10" t="n">
        <f aca="false">D67+E67+G67+I67+J67+K67+L67-M67</f>
        <v>3910.63309893719</v>
      </c>
      <c r="O67" s="10" t="n">
        <f aca="false">Inputs!$B$17*(1+Inputs!$B$18)^(B67-1)+Inputs!$B$19*(1+Inputs!$B$22)^(B67-1)</f>
        <v>2986.43670327454</v>
      </c>
      <c r="P67" s="10" t="n">
        <f aca="false">N67-O67</f>
        <v>924.196395662644</v>
      </c>
      <c r="Q67" s="10" t="n">
        <f aca="false">Q66*(1+Inputs!$B$42)-U67+MAX(P67,0)</f>
        <v>249046.344976392</v>
      </c>
      <c r="R67" s="10" t="n">
        <f aca="false">R66+Q66*Inputs!$B$48-U67+MAX(P67,0)</f>
        <v>193585.042856631</v>
      </c>
      <c r="S67" s="10" t="n">
        <f aca="false">S66*(1+Inputs!$B$42)-V67+MAX(-P67,0)</f>
        <v>0</v>
      </c>
      <c r="T67" s="10" t="n">
        <f aca="false">T66+S66*Inputs!$B$48-V67+MAX(-P67,0)</f>
        <v>0</v>
      </c>
      <c r="U67" s="10" t="n">
        <f aca="false">Q66*Inputs!$B$48*Inputs!$B$29</f>
        <v>33.9296177605351</v>
      </c>
      <c r="V67" s="10" t="n">
        <f aca="false">S66*Inputs!$B$48*Inputs!$B$29</f>
        <v>0</v>
      </c>
    </row>
    <row r="68" customFormat="false" ht="15" hidden="false" customHeight="false" outlineLevel="0" collapsed="false">
      <c r="A68" s="16" t="n">
        <v>67</v>
      </c>
      <c r="B68" s="16" t="n">
        <f aca="false">ROUNDUP(A68/12,0)</f>
        <v>6</v>
      </c>
      <c r="C68" s="10" t="n">
        <f aca="false">F67</f>
        <v>374915.238151758</v>
      </c>
      <c r="D68" s="10" t="n">
        <f aca="false">IF(AND(A68&lt;=Inputs!$B$9*12,C68&gt;0.000001),C68*Inputs!$B$10/12,0)</f>
        <v>2274.48577812066</v>
      </c>
      <c r="E68" s="10" t="n">
        <f aca="false">IF(AND(A68&lt;=Inputs!$B$9*12,C68&gt;0.000001),MIN(C68,Inputs!$B$41-D68),0)</f>
        <v>462.363350860042</v>
      </c>
      <c r="F68" s="10" t="n">
        <f aca="false">C68-E68</f>
        <v>374452.874800898</v>
      </c>
      <c r="G68" s="10" t="n">
        <f aca="false">IF(AND(Inputs!$B$43=1,C68&gt;0.78*Inputs!$B$7,A68&lt;=Inputs!$B$9*6),Inputs!$B$16*Inputs!$B$39/12,0)</f>
        <v>0</v>
      </c>
      <c r="H68" s="10" t="n">
        <f aca="false">IF(B68=1,Inputs!$B$7,INDEX(Annual!$AC$2:$AC$51,B68-1))</f>
        <v>608326.4512</v>
      </c>
      <c r="I68" s="10" t="n">
        <f aca="false">Inputs!$B$12*IF(Inputs!$B$35="",H68,MIN(H68,Inputs!$B$7*(1+Inputs!$B$35)^(B68-1)))/12</f>
        <v>456.2448384</v>
      </c>
      <c r="J68" s="10" t="n">
        <f aca="false">Inputs!$B$13*Inputs!$B$7*(1+Inputs!$B$22)^(B68-1)/12</f>
        <v>239.179710518827</v>
      </c>
      <c r="K68" s="10" t="n">
        <f aca="false">Inputs!$B$14*Inputs!$B$7*(1+Inputs!$B$22)^(B68-1)/12</f>
        <v>478.359421037653</v>
      </c>
      <c r="L68" s="10" t="n">
        <f aca="false">Inputs!$B$15*(1+Inputs!$B$22)^(B68-1)</f>
        <v>0</v>
      </c>
      <c r="M68" s="10" t="n">
        <f aca="false">INDEX(Annual!$N$2:$N$51,B68)/12</f>
        <v>0</v>
      </c>
      <c r="N68" s="10" t="n">
        <f aca="false">D68+E68+G68+I68+J68+K68+L68-M68</f>
        <v>3910.63309893719</v>
      </c>
      <c r="O68" s="10" t="n">
        <f aca="false">Inputs!$B$17*(1+Inputs!$B$18)^(B68-1)+Inputs!$B$19*(1+Inputs!$B$22)^(B68-1)</f>
        <v>2986.43670327454</v>
      </c>
      <c r="P68" s="10" t="n">
        <f aca="false">N68-O68</f>
        <v>924.196395662644</v>
      </c>
      <c r="Q68" s="10" t="n">
        <f aca="false">Q67*(1+Inputs!$B$42)-U68+MAX(P68,0)</f>
        <v>251344.441742318</v>
      </c>
      <c r="R68" s="10" t="n">
        <f aca="false">R67+Q67*Inputs!$B$48-U68+MAX(P68,0)</f>
        <v>194703.287862755</v>
      </c>
      <c r="S68" s="10" t="n">
        <f aca="false">S67*(1+Inputs!$B$42)-V68+MAX(-P68,0)</f>
        <v>0</v>
      </c>
      <c r="T68" s="10" t="n">
        <f aca="false">T67+S67*Inputs!$B$48-V68+MAX(-P68,0)</f>
        <v>0</v>
      </c>
      <c r="U68" s="10" t="n">
        <f aca="false">Q67*Inputs!$B$48*Inputs!$B$29</f>
        <v>34.2438724342538</v>
      </c>
      <c r="V68" s="10" t="n">
        <f aca="false">S67*Inputs!$B$48*Inputs!$B$29</f>
        <v>0</v>
      </c>
    </row>
    <row r="69" customFormat="false" ht="15" hidden="false" customHeight="false" outlineLevel="0" collapsed="false">
      <c r="A69" s="16" t="n">
        <v>68</v>
      </c>
      <c r="B69" s="16" t="n">
        <f aca="false">ROUNDUP(A69/12,0)</f>
        <v>6</v>
      </c>
      <c r="C69" s="10" t="n">
        <f aca="false">F68</f>
        <v>374452.874800898</v>
      </c>
      <c r="D69" s="10" t="n">
        <f aca="false">IF(AND(A69&lt;=Inputs!$B$9*12,C69&gt;0.000001),C69*Inputs!$B$10/12,0)</f>
        <v>2271.68077379211</v>
      </c>
      <c r="E69" s="10" t="n">
        <f aca="false">IF(AND(A69&lt;=Inputs!$B$9*12,C69&gt;0.000001),MIN(C69,Inputs!$B$41-D69),0)</f>
        <v>465.168355188593</v>
      </c>
      <c r="F69" s="10" t="n">
        <f aca="false">C69-E69</f>
        <v>373987.706445709</v>
      </c>
      <c r="G69" s="10" t="n">
        <f aca="false">IF(AND(Inputs!$B$43=1,C69&gt;0.78*Inputs!$B$7,A69&lt;=Inputs!$B$9*6),Inputs!$B$16*Inputs!$B$39/12,0)</f>
        <v>0</v>
      </c>
      <c r="H69" s="10" t="n">
        <f aca="false">IF(B69=1,Inputs!$B$7,INDEX(Annual!$AC$2:$AC$51,B69-1))</f>
        <v>608326.4512</v>
      </c>
      <c r="I69" s="10" t="n">
        <f aca="false">Inputs!$B$12*IF(Inputs!$B$35="",H69,MIN(H69,Inputs!$B$7*(1+Inputs!$B$35)^(B69-1)))/12</f>
        <v>456.2448384</v>
      </c>
      <c r="J69" s="10" t="n">
        <f aca="false">Inputs!$B$13*Inputs!$B$7*(1+Inputs!$B$22)^(B69-1)/12</f>
        <v>239.179710518827</v>
      </c>
      <c r="K69" s="10" t="n">
        <f aca="false">Inputs!$B$14*Inputs!$B$7*(1+Inputs!$B$22)^(B69-1)/12</f>
        <v>478.359421037653</v>
      </c>
      <c r="L69" s="10" t="n">
        <f aca="false">Inputs!$B$15*(1+Inputs!$B$22)^(B69-1)</f>
        <v>0</v>
      </c>
      <c r="M69" s="10" t="n">
        <f aca="false">INDEX(Annual!$N$2:$N$51,B69)/12</f>
        <v>0</v>
      </c>
      <c r="N69" s="10" t="n">
        <f aca="false">D69+E69+G69+I69+J69+K69+L69-M69</f>
        <v>3910.63309893719</v>
      </c>
      <c r="O69" s="10" t="n">
        <f aca="false">Inputs!$B$17*(1+Inputs!$B$18)^(B69-1)+Inputs!$B$19*(1+Inputs!$B$22)^(B69-1)</f>
        <v>2986.43670327454</v>
      </c>
      <c r="P69" s="10" t="n">
        <f aca="false">N69-O69</f>
        <v>924.196395662644</v>
      </c>
      <c r="Q69" s="10" t="n">
        <f aca="false">Q68*(1+Inputs!$B$42)-U69+MAX(P69,0)</f>
        <v>253655.216293169</v>
      </c>
      <c r="R69" s="10" t="n">
        <f aca="false">R68+Q68*Inputs!$B$48-U69+MAX(P69,0)</f>
        <v>195823.323469275</v>
      </c>
      <c r="S69" s="10" t="n">
        <f aca="false">S68*(1+Inputs!$B$42)-V69+MAX(-P69,0)</f>
        <v>0</v>
      </c>
      <c r="T69" s="10" t="n">
        <f aca="false">T68+S68*Inputs!$B$48-V69+MAX(-P69,0)</f>
        <v>0</v>
      </c>
      <c r="U69" s="10" t="n">
        <f aca="false">Q68*Inputs!$B$48*Inputs!$B$29</f>
        <v>34.5598607395688</v>
      </c>
      <c r="V69" s="10" t="n">
        <f aca="false">S68*Inputs!$B$48*Inputs!$B$29</f>
        <v>0</v>
      </c>
    </row>
    <row r="70" customFormat="false" ht="15" hidden="false" customHeight="false" outlineLevel="0" collapsed="false">
      <c r="A70" s="16" t="n">
        <v>69</v>
      </c>
      <c r="B70" s="16" t="n">
        <f aca="false">ROUNDUP(A70/12,0)</f>
        <v>6</v>
      </c>
      <c r="C70" s="10" t="n">
        <f aca="false">F69</f>
        <v>373987.706445709</v>
      </c>
      <c r="D70" s="10" t="n">
        <f aca="false">IF(AND(A70&lt;=Inputs!$B$9*12,C70&gt;0.000001),C70*Inputs!$B$10/12,0)</f>
        <v>2268.8587524373</v>
      </c>
      <c r="E70" s="10" t="n">
        <f aca="false">IF(AND(A70&lt;=Inputs!$B$9*12,C70&gt;0.000001),MIN(C70,Inputs!$B$41-D70),0)</f>
        <v>467.990376543404</v>
      </c>
      <c r="F70" s="10" t="n">
        <f aca="false">C70-E70</f>
        <v>373519.716069166</v>
      </c>
      <c r="G70" s="10" t="n">
        <f aca="false">IF(AND(Inputs!$B$43=1,C70&gt;0.78*Inputs!$B$7,A70&lt;=Inputs!$B$9*6),Inputs!$B$16*Inputs!$B$39/12,0)</f>
        <v>0</v>
      </c>
      <c r="H70" s="10" t="n">
        <f aca="false">IF(B70=1,Inputs!$B$7,INDEX(Annual!$AC$2:$AC$51,B70-1))</f>
        <v>608326.4512</v>
      </c>
      <c r="I70" s="10" t="n">
        <f aca="false">Inputs!$B$12*IF(Inputs!$B$35="",H70,MIN(H70,Inputs!$B$7*(1+Inputs!$B$35)^(B70-1)))/12</f>
        <v>456.2448384</v>
      </c>
      <c r="J70" s="10" t="n">
        <f aca="false">Inputs!$B$13*Inputs!$B$7*(1+Inputs!$B$22)^(B70-1)/12</f>
        <v>239.179710518827</v>
      </c>
      <c r="K70" s="10" t="n">
        <f aca="false">Inputs!$B$14*Inputs!$B$7*(1+Inputs!$B$22)^(B70-1)/12</f>
        <v>478.359421037653</v>
      </c>
      <c r="L70" s="10" t="n">
        <f aca="false">Inputs!$B$15*(1+Inputs!$B$22)^(B70-1)</f>
        <v>0</v>
      </c>
      <c r="M70" s="10" t="n">
        <f aca="false">INDEX(Annual!$N$2:$N$51,B70)/12</f>
        <v>0</v>
      </c>
      <c r="N70" s="10" t="n">
        <f aca="false">D70+E70+G70+I70+J70+K70+L70-M70</f>
        <v>3910.63309893719</v>
      </c>
      <c r="O70" s="10" t="n">
        <f aca="false">Inputs!$B$17*(1+Inputs!$B$18)^(B70-1)+Inputs!$B$19*(1+Inputs!$B$22)^(B70-1)</f>
        <v>2986.43670327454</v>
      </c>
      <c r="P70" s="10" t="n">
        <f aca="false">N70-O70</f>
        <v>924.196395662644</v>
      </c>
      <c r="Q70" s="10" t="n">
        <f aca="false">Q69*(1+Inputs!$B$42)-U70+MAX(P70,0)</f>
        <v>255978.738567786</v>
      </c>
      <c r="R70" s="10" t="n">
        <f aca="false">R69+Q69*Inputs!$B$48-U70+MAX(P70,0)</f>
        <v>196945.159554299</v>
      </c>
      <c r="S70" s="10" t="n">
        <f aca="false">S69*(1+Inputs!$B$42)-V70+MAX(-P70,0)</f>
        <v>0</v>
      </c>
      <c r="T70" s="10" t="n">
        <f aca="false">T69+S69*Inputs!$B$48-V70+MAX(-P70,0)</f>
        <v>0</v>
      </c>
      <c r="U70" s="10" t="n">
        <f aca="false">Q69*Inputs!$B$48*Inputs!$B$29</f>
        <v>34.8775922403107</v>
      </c>
      <c r="V70" s="10" t="n">
        <f aca="false">S69*Inputs!$B$48*Inputs!$B$29</f>
        <v>0</v>
      </c>
    </row>
    <row r="71" customFormat="false" ht="15" hidden="false" customHeight="false" outlineLevel="0" collapsed="false">
      <c r="A71" s="16" t="n">
        <v>70</v>
      </c>
      <c r="B71" s="16" t="n">
        <f aca="false">ROUNDUP(A71/12,0)</f>
        <v>6</v>
      </c>
      <c r="C71" s="10" t="n">
        <f aca="false">F70</f>
        <v>373519.716069166</v>
      </c>
      <c r="D71" s="10" t="n">
        <f aca="false">IF(AND(A71&lt;=Inputs!$B$9*12,C71&gt;0.000001),C71*Inputs!$B$10/12,0)</f>
        <v>2266.01961081961</v>
      </c>
      <c r="E71" s="10" t="n">
        <f aca="false">IF(AND(A71&lt;=Inputs!$B$9*12,C71&gt;0.000001),MIN(C71,Inputs!$B$41-D71),0)</f>
        <v>470.829518161101</v>
      </c>
      <c r="F71" s="10" t="n">
        <f aca="false">C71-E71</f>
        <v>373048.886551005</v>
      </c>
      <c r="G71" s="10" t="n">
        <f aca="false">IF(AND(Inputs!$B$43=1,C71&gt;0.78*Inputs!$B$7,A71&lt;=Inputs!$B$9*6),Inputs!$B$16*Inputs!$B$39/12,0)</f>
        <v>0</v>
      </c>
      <c r="H71" s="10" t="n">
        <f aca="false">IF(B71=1,Inputs!$B$7,INDEX(Annual!$AC$2:$AC$51,B71-1))</f>
        <v>608326.4512</v>
      </c>
      <c r="I71" s="10" t="n">
        <f aca="false">Inputs!$B$12*IF(Inputs!$B$35="",H71,MIN(H71,Inputs!$B$7*(1+Inputs!$B$35)^(B71-1)))/12</f>
        <v>456.2448384</v>
      </c>
      <c r="J71" s="10" t="n">
        <f aca="false">Inputs!$B$13*Inputs!$B$7*(1+Inputs!$B$22)^(B71-1)/12</f>
        <v>239.179710518827</v>
      </c>
      <c r="K71" s="10" t="n">
        <f aca="false">Inputs!$B$14*Inputs!$B$7*(1+Inputs!$B$22)^(B71-1)/12</f>
        <v>478.359421037653</v>
      </c>
      <c r="L71" s="10" t="n">
        <f aca="false">Inputs!$B$15*(1+Inputs!$B$22)^(B71-1)</f>
        <v>0</v>
      </c>
      <c r="M71" s="10" t="n">
        <f aca="false">INDEX(Annual!$N$2:$N$51,B71)/12</f>
        <v>0</v>
      </c>
      <c r="N71" s="10" t="n">
        <f aca="false">D71+E71+G71+I71+J71+K71+L71-M71</f>
        <v>3910.63309893719</v>
      </c>
      <c r="O71" s="10" t="n">
        <f aca="false">Inputs!$B$17*(1+Inputs!$B$18)^(B71-1)+Inputs!$B$19*(1+Inputs!$B$22)^(B71-1)</f>
        <v>2986.43670327454</v>
      </c>
      <c r="P71" s="10" t="n">
        <f aca="false">N71-O71</f>
        <v>924.196395662644</v>
      </c>
      <c r="Q71" s="10" t="n">
        <f aca="false">Q70*(1+Inputs!$B$42)-U71+MAX(P71,0)</f>
        <v>258315.078890843</v>
      </c>
      <c r="R71" s="10" t="n">
        <f aca="false">R70+Q70*Inputs!$B$48-U71+MAX(P71,0)</f>
        <v>198068.806050429</v>
      </c>
      <c r="S71" s="10" t="n">
        <f aca="false">S70*(1+Inputs!$B$42)-V71+MAX(-P71,0)</f>
        <v>0</v>
      </c>
      <c r="T71" s="10" t="n">
        <f aca="false">T70+S70*Inputs!$B$48-V71+MAX(-P71,0)</f>
        <v>0</v>
      </c>
      <c r="U71" s="10" t="n">
        <f aca="false">Q70*Inputs!$B$48*Inputs!$B$29</f>
        <v>35.1970765530706</v>
      </c>
      <c r="V71" s="10" t="n">
        <f aca="false">S70*Inputs!$B$48*Inputs!$B$29</f>
        <v>0</v>
      </c>
    </row>
    <row r="72" customFormat="false" ht="15" hidden="false" customHeight="false" outlineLevel="0" collapsed="false">
      <c r="A72" s="16" t="n">
        <v>71</v>
      </c>
      <c r="B72" s="16" t="n">
        <f aca="false">ROUNDUP(A72/12,0)</f>
        <v>6</v>
      </c>
      <c r="C72" s="10" t="n">
        <f aca="false">F71</f>
        <v>373048.886551005</v>
      </c>
      <c r="D72" s="10" t="n">
        <f aca="false">IF(AND(A72&lt;=Inputs!$B$9*12,C72&gt;0.000001),C72*Inputs!$B$10/12,0)</f>
        <v>2263.1632450761</v>
      </c>
      <c r="E72" s="10" t="n">
        <f aca="false">IF(AND(A72&lt;=Inputs!$B$9*12,C72&gt;0.000001),MIN(C72,Inputs!$B$41-D72),0)</f>
        <v>473.685883904611</v>
      </c>
      <c r="F72" s="10" t="n">
        <f aca="false">C72-E72</f>
        <v>372575.2006671</v>
      </c>
      <c r="G72" s="10" t="n">
        <f aca="false">IF(AND(Inputs!$B$43=1,C72&gt;0.78*Inputs!$B$7,A72&lt;=Inputs!$B$9*6),Inputs!$B$16*Inputs!$B$39/12,0)</f>
        <v>0</v>
      </c>
      <c r="H72" s="10" t="n">
        <f aca="false">IF(B72=1,Inputs!$B$7,INDEX(Annual!$AC$2:$AC$51,B72-1))</f>
        <v>608326.4512</v>
      </c>
      <c r="I72" s="10" t="n">
        <f aca="false">Inputs!$B$12*IF(Inputs!$B$35="",H72,MIN(H72,Inputs!$B$7*(1+Inputs!$B$35)^(B72-1)))/12</f>
        <v>456.2448384</v>
      </c>
      <c r="J72" s="10" t="n">
        <f aca="false">Inputs!$B$13*Inputs!$B$7*(1+Inputs!$B$22)^(B72-1)/12</f>
        <v>239.179710518827</v>
      </c>
      <c r="K72" s="10" t="n">
        <f aca="false">Inputs!$B$14*Inputs!$B$7*(1+Inputs!$B$22)^(B72-1)/12</f>
        <v>478.359421037653</v>
      </c>
      <c r="L72" s="10" t="n">
        <f aca="false">Inputs!$B$15*(1+Inputs!$B$22)^(B72-1)</f>
        <v>0</v>
      </c>
      <c r="M72" s="10" t="n">
        <f aca="false">INDEX(Annual!$N$2:$N$51,B72)/12</f>
        <v>0</v>
      </c>
      <c r="N72" s="10" t="n">
        <f aca="false">D72+E72+G72+I72+J72+K72+L72-M72</f>
        <v>3910.63309893719</v>
      </c>
      <c r="O72" s="10" t="n">
        <f aca="false">Inputs!$B$17*(1+Inputs!$B$18)^(B72-1)+Inputs!$B$19*(1+Inputs!$B$22)^(B72-1)</f>
        <v>2986.43670327454</v>
      </c>
      <c r="P72" s="10" t="n">
        <f aca="false">N72-O72</f>
        <v>924.196395662644</v>
      </c>
      <c r="Q72" s="10" t="n">
        <f aca="false">Q71*(1+Inputs!$B$42)-U72+MAX(P72,0)</f>
        <v>260664.307974966</v>
      </c>
      <c r="R72" s="10" t="n">
        <f aca="false">R71+Q71*Inputs!$B$48-U72+MAX(P72,0)</f>
        <v>199194.272945061</v>
      </c>
      <c r="S72" s="10" t="n">
        <f aca="false">S71*(1+Inputs!$B$42)-V72+MAX(-P72,0)</f>
        <v>0</v>
      </c>
      <c r="T72" s="10" t="n">
        <f aca="false">T71+S71*Inputs!$B$48-V72+MAX(-P72,0)</f>
        <v>0</v>
      </c>
      <c r="U72" s="10" t="n">
        <f aca="false">Q71*Inputs!$B$48*Inputs!$B$29</f>
        <v>35.5183233474909</v>
      </c>
      <c r="V72" s="10" t="n">
        <f aca="false">S71*Inputs!$B$48*Inputs!$B$29</f>
        <v>0</v>
      </c>
    </row>
    <row r="73" customFormat="false" ht="15" hidden="false" customHeight="false" outlineLevel="0" collapsed="false">
      <c r="A73" s="16" t="n">
        <v>72</v>
      </c>
      <c r="B73" s="16" t="n">
        <f aca="false">ROUNDUP(A73/12,0)</f>
        <v>6</v>
      </c>
      <c r="C73" s="10" t="n">
        <f aca="false">F72</f>
        <v>372575.2006671</v>
      </c>
      <c r="D73" s="10" t="n">
        <f aca="false">IF(AND(A73&lt;=Inputs!$B$9*12,C73&gt;0.000001),C73*Inputs!$B$10/12,0)</f>
        <v>2260.28955071374</v>
      </c>
      <c r="E73" s="10" t="n">
        <f aca="false">IF(AND(A73&lt;=Inputs!$B$9*12,C73&gt;0.000001),MIN(C73,Inputs!$B$41-D73),0)</f>
        <v>476.559578266966</v>
      </c>
      <c r="F73" s="10" t="n">
        <f aca="false">C73-E73</f>
        <v>372098.641088833</v>
      </c>
      <c r="G73" s="10" t="n">
        <f aca="false">IF(AND(Inputs!$B$43=1,C73&gt;0.78*Inputs!$B$7,A73&lt;=Inputs!$B$9*6),Inputs!$B$16*Inputs!$B$39/12,0)</f>
        <v>0</v>
      </c>
      <c r="H73" s="10" t="n">
        <f aca="false">IF(B73=1,Inputs!$B$7,INDEX(Annual!$AC$2:$AC$51,B73-1))</f>
        <v>608326.4512</v>
      </c>
      <c r="I73" s="10" t="n">
        <f aca="false">Inputs!$B$12*IF(Inputs!$B$35="",H73,MIN(H73,Inputs!$B$7*(1+Inputs!$B$35)^(B73-1)))/12</f>
        <v>456.2448384</v>
      </c>
      <c r="J73" s="10" t="n">
        <f aca="false">Inputs!$B$13*Inputs!$B$7*(1+Inputs!$B$22)^(B73-1)/12</f>
        <v>239.179710518827</v>
      </c>
      <c r="K73" s="10" t="n">
        <f aca="false">Inputs!$B$14*Inputs!$B$7*(1+Inputs!$B$22)^(B73-1)/12</f>
        <v>478.359421037653</v>
      </c>
      <c r="L73" s="10" t="n">
        <f aca="false">Inputs!$B$15*(1+Inputs!$B$22)^(B73-1)</f>
        <v>0</v>
      </c>
      <c r="M73" s="10" t="n">
        <f aca="false">INDEX(Annual!$N$2:$N$51,B73)/12</f>
        <v>0</v>
      </c>
      <c r="N73" s="10" t="n">
        <f aca="false">D73+E73+G73+I73+J73+K73+L73-M73</f>
        <v>3910.63309893719</v>
      </c>
      <c r="O73" s="10" t="n">
        <f aca="false">Inputs!$B$17*(1+Inputs!$B$18)^(B73-1)+Inputs!$B$19*(1+Inputs!$B$22)^(B73-1)</f>
        <v>2986.43670327454</v>
      </c>
      <c r="P73" s="10" t="n">
        <f aca="false">N73-O73</f>
        <v>924.196395662644</v>
      </c>
      <c r="Q73" s="10" t="n">
        <f aca="false">Q72*(1+Inputs!$B$42)-U73+MAX(P73,0)</f>
        <v>263026.49692288</v>
      </c>
      <c r="R73" s="10" t="n">
        <f aca="false">R72+Q72*Inputs!$B$48-U73+MAX(P73,0)</f>
        <v>200321.570280688</v>
      </c>
      <c r="S73" s="10" t="n">
        <f aca="false">S72*(1+Inputs!$B$42)-V73+MAX(-P73,0)</f>
        <v>0</v>
      </c>
      <c r="T73" s="10" t="n">
        <f aca="false">T72+S72*Inputs!$B$48-V73+MAX(-P73,0)</f>
        <v>0</v>
      </c>
      <c r="U73" s="10" t="n">
        <f aca="false">Q72*Inputs!$B$48*Inputs!$B$29</f>
        <v>35.8413423465578</v>
      </c>
      <c r="V73" s="10" t="n">
        <f aca="false">S72*Inputs!$B$48*Inputs!$B$29</f>
        <v>0</v>
      </c>
    </row>
    <row r="74" customFormat="false" ht="15" hidden="false" customHeight="false" outlineLevel="0" collapsed="false">
      <c r="A74" s="16" t="n">
        <v>73</v>
      </c>
      <c r="B74" s="16" t="n">
        <f aca="false">ROUNDUP(A74/12,0)</f>
        <v>7</v>
      </c>
      <c r="C74" s="10" t="n">
        <f aca="false">F73</f>
        <v>372098.641088833</v>
      </c>
      <c r="D74" s="10" t="n">
        <f aca="false">IF(AND(A74&lt;=Inputs!$B$9*12,C74&gt;0.000001),C74*Inputs!$B$10/12,0)</f>
        <v>2257.39842260559</v>
      </c>
      <c r="E74" s="10" t="n">
        <f aca="false">IF(AND(A74&lt;=Inputs!$B$9*12,C74&gt;0.000001),MIN(C74,Inputs!$B$41-D74),0)</f>
        <v>479.450706375119</v>
      </c>
      <c r="F74" s="10" t="n">
        <f aca="false">C74-E74</f>
        <v>371619.190382458</v>
      </c>
      <c r="G74" s="10" t="n">
        <f aca="false">IF(AND(Inputs!$B$43=1,C74&gt;0.78*Inputs!$B$7,A74&lt;=Inputs!$B$9*6),Inputs!$B$16*Inputs!$B$39/12,0)</f>
        <v>0</v>
      </c>
      <c r="H74" s="10" t="n">
        <f aca="false">IF(B74=1,Inputs!$B$7,INDEX(Annual!$AC$2:$AC$51,B74-1))</f>
        <v>632659.509248</v>
      </c>
      <c r="I74" s="10" t="n">
        <f aca="false">Inputs!$B$12*IF(Inputs!$B$35="",H74,MIN(H74,Inputs!$B$7*(1+Inputs!$B$35)^(B74-1)))/12</f>
        <v>474.494631936</v>
      </c>
      <c r="J74" s="10" t="n">
        <f aca="false">Inputs!$B$13*Inputs!$B$7*(1+Inputs!$B$22)^(B74-1)/12</f>
        <v>245.876742413354</v>
      </c>
      <c r="K74" s="10" t="n">
        <f aca="false">Inputs!$B$14*Inputs!$B$7*(1+Inputs!$B$22)^(B74-1)/12</f>
        <v>491.753484826708</v>
      </c>
      <c r="L74" s="10" t="n">
        <f aca="false">Inputs!$B$15*(1+Inputs!$B$22)^(B74-1)</f>
        <v>0</v>
      </c>
      <c r="M74" s="10" t="n">
        <f aca="false">INDEX(Annual!$N$2:$N$51,B74)/12</f>
        <v>0</v>
      </c>
      <c r="N74" s="10" t="n">
        <f aca="false">D74+E74+G74+I74+J74+K74+L74-M74</f>
        <v>3948.97398815677</v>
      </c>
      <c r="O74" s="10" t="n">
        <f aca="false">Inputs!$B$17*(1+Inputs!$B$18)^(B74-1)+Inputs!$B$19*(1+Inputs!$B$22)^(B74-1)</f>
        <v>3090.84144131505</v>
      </c>
      <c r="P74" s="10" t="n">
        <f aca="false">N74-O74</f>
        <v>858.132546841719</v>
      </c>
      <c r="Q74" s="10" t="n">
        <f aca="false">Q73*(1+Inputs!$B$42)-U74+MAX(P74,0)</f>
        <v>265335.653380736</v>
      </c>
      <c r="R74" s="10" t="n">
        <f aca="false">R73+Q73*Inputs!$B$48-U74+MAX(P74,0)</f>
        <v>201384.644306382</v>
      </c>
      <c r="S74" s="10" t="n">
        <f aca="false">S73*(1+Inputs!$B$42)-V74+MAX(-P74,0)</f>
        <v>0</v>
      </c>
      <c r="T74" s="10" t="n">
        <f aca="false">T73+S73*Inputs!$B$48-V74+MAX(-P74,0)</f>
        <v>0</v>
      </c>
      <c r="U74" s="10" t="n">
        <f aca="false">Q73*Inputs!$B$48*Inputs!$B$29</f>
        <v>36.166143326896</v>
      </c>
      <c r="V74" s="10" t="n">
        <f aca="false">S73*Inputs!$B$48*Inputs!$B$29</f>
        <v>0</v>
      </c>
    </row>
    <row r="75" customFormat="false" ht="15" hidden="false" customHeight="false" outlineLevel="0" collapsed="false">
      <c r="A75" s="16" t="n">
        <v>74</v>
      </c>
      <c r="B75" s="16" t="n">
        <f aca="false">ROUNDUP(A75/12,0)</f>
        <v>7</v>
      </c>
      <c r="C75" s="10" t="n">
        <f aca="false">F74</f>
        <v>371619.190382458</v>
      </c>
      <c r="D75" s="10" t="n">
        <f aca="false">IF(AND(A75&lt;=Inputs!$B$9*12,C75&gt;0.000001),C75*Inputs!$B$10/12,0)</f>
        <v>2254.48975498691</v>
      </c>
      <c r="E75" s="10" t="n">
        <f aca="false">IF(AND(A75&lt;=Inputs!$B$9*12,C75&gt;0.000001),MIN(C75,Inputs!$B$41-D75),0)</f>
        <v>482.359373993795</v>
      </c>
      <c r="F75" s="10" t="n">
        <f aca="false">C75-E75</f>
        <v>371136.831008464</v>
      </c>
      <c r="G75" s="10" t="n">
        <f aca="false">IF(AND(Inputs!$B$43=1,C75&gt;0.78*Inputs!$B$7,A75&lt;=Inputs!$B$9*6),Inputs!$B$16*Inputs!$B$39/12,0)</f>
        <v>0</v>
      </c>
      <c r="H75" s="10" t="n">
        <f aca="false">IF(B75=1,Inputs!$B$7,INDEX(Annual!$AC$2:$AC$51,B75-1))</f>
        <v>632659.509248</v>
      </c>
      <c r="I75" s="10" t="n">
        <f aca="false">Inputs!$B$12*IF(Inputs!$B$35="",H75,MIN(H75,Inputs!$B$7*(1+Inputs!$B$35)^(B75-1)))/12</f>
        <v>474.494631936</v>
      </c>
      <c r="J75" s="10" t="n">
        <f aca="false">Inputs!$B$13*Inputs!$B$7*(1+Inputs!$B$22)^(B75-1)/12</f>
        <v>245.876742413354</v>
      </c>
      <c r="K75" s="10" t="n">
        <f aca="false">Inputs!$B$14*Inputs!$B$7*(1+Inputs!$B$22)^(B75-1)/12</f>
        <v>491.753484826708</v>
      </c>
      <c r="L75" s="10" t="n">
        <f aca="false">Inputs!$B$15*(1+Inputs!$B$22)^(B75-1)</f>
        <v>0</v>
      </c>
      <c r="M75" s="10" t="n">
        <f aca="false">INDEX(Annual!$N$2:$N$51,B75)/12</f>
        <v>0</v>
      </c>
      <c r="N75" s="10" t="n">
        <f aca="false">D75+E75+G75+I75+J75+K75+L75-M75</f>
        <v>3948.97398815677</v>
      </c>
      <c r="O75" s="10" t="n">
        <f aca="false">Inputs!$B$17*(1+Inputs!$B$18)^(B75-1)+Inputs!$B$19*(1+Inputs!$B$22)^(B75-1)</f>
        <v>3090.84144131505</v>
      </c>
      <c r="P75" s="10" t="n">
        <f aca="false">N75-O75</f>
        <v>858.132546841719</v>
      </c>
      <c r="Q75" s="10" t="n">
        <f aca="false">Q74*(1+Inputs!$B$42)-U75+MAX(P75,0)</f>
        <v>267657.548635915</v>
      </c>
      <c r="R75" s="10" t="n">
        <f aca="false">R74+Q74*Inputs!$B$48-U75+MAX(P75,0)</f>
        <v>202449.517549816</v>
      </c>
      <c r="S75" s="10" t="n">
        <f aca="false">S74*(1+Inputs!$B$42)-V75+MAX(-P75,0)</f>
        <v>0</v>
      </c>
      <c r="T75" s="10" t="n">
        <f aca="false">T74+S74*Inputs!$B$48-V75+MAX(-P75,0)</f>
        <v>0</v>
      </c>
      <c r="U75" s="10" t="n">
        <f aca="false">Q74*Inputs!$B$48*Inputs!$B$29</f>
        <v>36.4836523398513</v>
      </c>
      <c r="V75" s="10" t="n">
        <f aca="false">S74*Inputs!$B$48*Inputs!$B$29</f>
        <v>0</v>
      </c>
    </row>
    <row r="76" customFormat="false" ht="15" hidden="false" customHeight="false" outlineLevel="0" collapsed="false">
      <c r="A76" s="16" t="n">
        <v>75</v>
      </c>
      <c r="B76" s="16" t="n">
        <f aca="false">ROUNDUP(A76/12,0)</f>
        <v>7</v>
      </c>
      <c r="C76" s="10" t="n">
        <f aca="false">F75</f>
        <v>371136.831008464</v>
      </c>
      <c r="D76" s="10" t="n">
        <f aca="false">IF(AND(A76&lt;=Inputs!$B$9*12,C76&gt;0.000001),C76*Inputs!$B$10/12,0)</f>
        <v>2251.56344145135</v>
      </c>
      <c r="E76" s="10" t="n">
        <f aca="false">IF(AND(A76&lt;=Inputs!$B$9*12,C76&gt;0.000001),MIN(C76,Inputs!$B$41-D76),0)</f>
        <v>485.285687529357</v>
      </c>
      <c r="F76" s="10" t="n">
        <f aca="false">C76-E76</f>
        <v>370651.545320935</v>
      </c>
      <c r="G76" s="10" t="n">
        <f aca="false">IF(AND(Inputs!$B$43=1,C76&gt;0.78*Inputs!$B$7,A76&lt;=Inputs!$B$9*6),Inputs!$B$16*Inputs!$B$39/12,0)</f>
        <v>0</v>
      </c>
      <c r="H76" s="10" t="n">
        <f aca="false">IF(B76=1,Inputs!$B$7,INDEX(Annual!$AC$2:$AC$51,B76-1))</f>
        <v>632659.509248</v>
      </c>
      <c r="I76" s="10" t="n">
        <f aca="false">Inputs!$B$12*IF(Inputs!$B$35="",H76,MIN(H76,Inputs!$B$7*(1+Inputs!$B$35)^(B76-1)))/12</f>
        <v>474.494631936</v>
      </c>
      <c r="J76" s="10" t="n">
        <f aca="false">Inputs!$B$13*Inputs!$B$7*(1+Inputs!$B$22)^(B76-1)/12</f>
        <v>245.876742413354</v>
      </c>
      <c r="K76" s="10" t="n">
        <f aca="false">Inputs!$B$14*Inputs!$B$7*(1+Inputs!$B$22)^(B76-1)/12</f>
        <v>491.753484826708</v>
      </c>
      <c r="L76" s="10" t="n">
        <f aca="false">Inputs!$B$15*(1+Inputs!$B$22)^(B76-1)</f>
        <v>0</v>
      </c>
      <c r="M76" s="10" t="n">
        <f aca="false">INDEX(Annual!$N$2:$N$51,B76)/12</f>
        <v>0</v>
      </c>
      <c r="N76" s="10" t="n">
        <f aca="false">D76+E76+G76+I76+J76+K76+L76-M76</f>
        <v>3948.97398815677</v>
      </c>
      <c r="O76" s="10" t="n">
        <f aca="false">Inputs!$B$17*(1+Inputs!$B$18)^(B76-1)+Inputs!$B$19*(1+Inputs!$B$22)^(B76-1)</f>
        <v>3090.84144131505</v>
      </c>
      <c r="P76" s="10" t="n">
        <f aca="false">N76-O76</f>
        <v>858.132546841719</v>
      </c>
      <c r="Q76" s="10" t="n">
        <f aca="false">Q75*(1+Inputs!$B$42)-U76+MAX(P76,0)</f>
        <v>269992.252963843</v>
      </c>
      <c r="R76" s="10" t="n">
        <f aca="false">R75+Q75*Inputs!$B$48-U76+MAX(P76,0)</f>
        <v>203516.199936636</v>
      </c>
      <c r="S76" s="10" t="n">
        <f aca="false">S75*(1+Inputs!$B$42)-V76+MAX(-P76,0)</f>
        <v>0</v>
      </c>
      <c r="T76" s="10" t="n">
        <f aca="false">T75+S75*Inputs!$B$48-V76+MAX(-P76,0)</f>
        <v>0</v>
      </c>
      <c r="U76" s="10" t="n">
        <f aca="false">Q75*Inputs!$B$48*Inputs!$B$29</f>
        <v>36.8029129374383</v>
      </c>
      <c r="V76" s="10" t="n">
        <f aca="false">S75*Inputs!$B$48*Inputs!$B$29</f>
        <v>0</v>
      </c>
    </row>
    <row r="77" customFormat="false" ht="15" hidden="false" customHeight="false" outlineLevel="0" collapsed="false">
      <c r="A77" s="16" t="n">
        <v>76</v>
      </c>
      <c r="B77" s="16" t="n">
        <f aca="false">ROUNDUP(A77/12,0)</f>
        <v>7</v>
      </c>
      <c r="C77" s="10" t="n">
        <f aca="false">F76</f>
        <v>370651.545320935</v>
      </c>
      <c r="D77" s="10" t="n">
        <f aca="false">IF(AND(A77&lt;=Inputs!$B$9*12,C77&gt;0.000001),C77*Inputs!$B$10/12,0)</f>
        <v>2248.619374947</v>
      </c>
      <c r="E77" s="10" t="n">
        <f aca="false">IF(AND(A77&lt;=Inputs!$B$9*12,C77&gt;0.000001),MIN(C77,Inputs!$B$41-D77),0)</f>
        <v>488.229754033702</v>
      </c>
      <c r="F77" s="10" t="n">
        <f aca="false">C77-E77</f>
        <v>370163.315566901</v>
      </c>
      <c r="G77" s="10" t="n">
        <f aca="false">IF(AND(Inputs!$B$43=1,C77&gt;0.78*Inputs!$B$7,A77&lt;=Inputs!$B$9*6),Inputs!$B$16*Inputs!$B$39/12,0)</f>
        <v>0</v>
      </c>
      <c r="H77" s="10" t="n">
        <f aca="false">IF(B77=1,Inputs!$B$7,INDEX(Annual!$AC$2:$AC$51,B77-1))</f>
        <v>632659.509248</v>
      </c>
      <c r="I77" s="10" t="n">
        <f aca="false">Inputs!$B$12*IF(Inputs!$B$35="",H77,MIN(H77,Inputs!$B$7*(1+Inputs!$B$35)^(B77-1)))/12</f>
        <v>474.494631936</v>
      </c>
      <c r="J77" s="10" t="n">
        <f aca="false">Inputs!$B$13*Inputs!$B$7*(1+Inputs!$B$22)^(B77-1)/12</f>
        <v>245.876742413354</v>
      </c>
      <c r="K77" s="10" t="n">
        <f aca="false">Inputs!$B$14*Inputs!$B$7*(1+Inputs!$B$22)^(B77-1)/12</f>
        <v>491.753484826708</v>
      </c>
      <c r="L77" s="10" t="n">
        <f aca="false">Inputs!$B$15*(1+Inputs!$B$22)^(B77-1)</f>
        <v>0</v>
      </c>
      <c r="M77" s="10" t="n">
        <f aca="false">INDEX(Annual!$N$2:$N$51,B77)/12</f>
        <v>0</v>
      </c>
      <c r="N77" s="10" t="n">
        <f aca="false">D77+E77+G77+I77+J77+K77+L77-M77</f>
        <v>3948.97398815677</v>
      </c>
      <c r="O77" s="10" t="n">
        <f aca="false">Inputs!$B$17*(1+Inputs!$B$18)^(B77-1)+Inputs!$B$19*(1+Inputs!$B$22)^(B77-1)</f>
        <v>3090.84144131505</v>
      </c>
      <c r="P77" s="10" t="n">
        <f aca="false">N77-O77</f>
        <v>858.132546841719</v>
      </c>
      <c r="Q77" s="10" t="n">
        <f aca="false">Q76*(1+Inputs!$B$42)-U77+MAX(P77,0)</f>
        <v>272339.837027633</v>
      </c>
      <c r="R77" s="10" t="n">
        <f aca="false">R76+Q76*Inputs!$B$48-U77+MAX(P77,0)</f>
        <v>204584.701447246</v>
      </c>
      <c r="S77" s="10" t="n">
        <f aca="false">S76*(1+Inputs!$B$42)-V77+MAX(-P77,0)</f>
        <v>0</v>
      </c>
      <c r="T77" s="10" t="n">
        <f aca="false">T76+S76*Inputs!$B$48-V77+MAX(-P77,0)</f>
        <v>0</v>
      </c>
      <c r="U77" s="10" t="n">
        <f aca="false">Q76*Inputs!$B$48*Inputs!$B$29</f>
        <v>37.1239347825285</v>
      </c>
      <c r="V77" s="10" t="n">
        <f aca="false">S76*Inputs!$B$48*Inputs!$B$29</f>
        <v>0</v>
      </c>
    </row>
    <row r="78" customFormat="false" ht="15" hidden="false" customHeight="false" outlineLevel="0" collapsed="false">
      <c r="A78" s="16" t="n">
        <v>77</v>
      </c>
      <c r="B78" s="16" t="n">
        <f aca="false">ROUNDUP(A78/12,0)</f>
        <v>7</v>
      </c>
      <c r="C78" s="10" t="n">
        <f aca="false">F77</f>
        <v>370163.315566901</v>
      </c>
      <c r="D78" s="10" t="n">
        <f aca="false">IF(AND(A78&lt;=Inputs!$B$9*12,C78&gt;0.000001),C78*Inputs!$B$10/12,0)</f>
        <v>2245.65744777253</v>
      </c>
      <c r="E78" s="10" t="n">
        <f aca="false">IF(AND(A78&lt;=Inputs!$B$9*12,C78&gt;0.000001),MIN(C78,Inputs!$B$41-D78),0)</f>
        <v>491.191681208173</v>
      </c>
      <c r="F78" s="10" t="n">
        <f aca="false">C78-E78</f>
        <v>369672.123885693</v>
      </c>
      <c r="G78" s="10" t="n">
        <f aca="false">IF(AND(Inputs!$B$43=1,C78&gt;0.78*Inputs!$B$7,A78&lt;=Inputs!$B$9*6),Inputs!$B$16*Inputs!$B$39/12,0)</f>
        <v>0</v>
      </c>
      <c r="H78" s="10" t="n">
        <f aca="false">IF(B78=1,Inputs!$B$7,INDEX(Annual!$AC$2:$AC$51,B78-1))</f>
        <v>632659.509248</v>
      </c>
      <c r="I78" s="10" t="n">
        <f aca="false">Inputs!$B$12*IF(Inputs!$B$35="",H78,MIN(H78,Inputs!$B$7*(1+Inputs!$B$35)^(B78-1)))/12</f>
        <v>474.494631936</v>
      </c>
      <c r="J78" s="10" t="n">
        <f aca="false">Inputs!$B$13*Inputs!$B$7*(1+Inputs!$B$22)^(B78-1)/12</f>
        <v>245.876742413354</v>
      </c>
      <c r="K78" s="10" t="n">
        <f aca="false">Inputs!$B$14*Inputs!$B$7*(1+Inputs!$B$22)^(B78-1)/12</f>
        <v>491.753484826708</v>
      </c>
      <c r="L78" s="10" t="n">
        <f aca="false">Inputs!$B$15*(1+Inputs!$B$22)^(B78-1)</f>
        <v>0</v>
      </c>
      <c r="M78" s="10" t="n">
        <f aca="false">INDEX(Annual!$N$2:$N$51,B78)/12</f>
        <v>0</v>
      </c>
      <c r="N78" s="10" t="n">
        <f aca="false">D78+E78+G78+I78+J78+K78+L78-M78</f>
        <v>3948.97398815677</v>
      </c>
      <c r="O78" s="10" t="n">
        <f aca="false">Inputs!$B$17*(1+Inputs!$B$18)^(B78-1)+Inputs!$B$19*(1+Inputs!$B$22)^(B78-1)</f>
        <v>3090.84144131505</v>
      </c>
      <c r="P78" s="10" t="n">
        <f aca="false">N78-O78</f>
        <v>858.132546841719</v>
      </c>
      <c r="Q78" s="10" t="n">
        <f aca="false">Q77*(1+Inputs!$B$42)-U78+MAX(P78,0)</f>
        <v>274700.37188022</v>
      </c>
      <c r="R78" s="10" t="n">
        <f aca="false">R77+Q77*Inputs!$B$48-U78+MAX(P78,0)</f>
        <v>205655.032117105</v>
      </c>
      <c r="S78" s="10" t="n">
        <f aca="false">S77*(1+Inputs!$B$42)-V78+MAX(-P78,0)</f>
        <v>0</v>
      </c>
      <c r="T78" s="10" t="n">
        <f aca="false">T77+S77*Inputs!$B$48-V78+MAX(-P78,0)</f>
        <v>0</v>
      </c>
      <c r="U78" s="10" t="n">
        <f aca="false">Q77*Inputs!$B$48*Inputs!$B$29</f>
        <v>37.4467275912996</v>
      </c>
      <c r="V78" s="10" t="n">
        <f aca="false">S77*Inputs!$B$48*Inputs!$B$29</f>
        <v>0</v>
      </c>
    </row>
    <row r="79" customFormat="false" ht="15" hidden="false" customHeight="false" outlineLevel="0" collapsed="false">
      <c r="A79" s="16" t="n">
        <v>78</v>
      </c>
      <c r="B79" s="16" t="n">
        <f aca="false">ROUNDUP(A79/12,0)</f>
        <v>7</v>
      </c>
      <c r="C79" s="10" t="n">
        <f aca="false">F78</f>
        <v>369672.123885693</v>
      </c>
      <c r="D79" s="10" t="n">
        <f aca="false">IF(AND(A79&lt;=Inputs!$B$9*12,C79&gt;0.000001),C79*Inputs!$B$10/12,0)</f>
        <v>2242.6775515732</v>
      </c>
      <c r="E79" s="10" t="n">
        <f aca="false">IF(AND(A79&lt;=Inputs!$B$9*12,C79&gt;0.000001),MIN(C79,Inputs!$B$41-D79),0)</f>
        <v>494.171577407502</v>
      </c>
      <c r="F79" s="10" t="n">
        <f aca="false">C79-E79</f>
        <v>369177.952308285</v>
      </c>
      <c r="G79" s="10" t="n">
        <f aca="false">IF(AND(Inputs!$B$43=1,C79&gt;0.78*Inputs!$B$7,A79&lt;=Inputs!$B$9*6),Inputs!$B$16*Inputs!$B$39/12,0)</f>
        <v>0</v>
      </c>
      <c r="H79" s="10" t="n">
        <f aca="false">IF(B79=1,Inputs!$B$7,INDEX(Annual!$AC$2:$AC$51,B79-1))</f>
        <v>632659.509248</v>
      </c>
      <c r="I79" s="10" t="n">
        <f aca="false">Inputs!$B$12*IF(Inputs!$B$35="",H79,MIN(H79,Inputs!$B$7*(1+Inputs!$B$35)^(B79-1)))/12</f>
        <v>474.494631936</v>
      </c>
      <c r="J79" s="10" t="n">
        <f aca="false">Inputs!$B$13*Inputs!$B$7*(1+Inputs!$B$22)^(B79-1)/12</f>
        <v>245.876742413354</v>
      </c>
      <c r="K79" s="10" t="n">
        <f aca="false">Inputs!$B$14*Inputs!$B$7*(1+Inputs!$B$22)^(B79-1)/12</f>
        <v>491.753484826708</v>
      </c>
      <c r="L79" s="10" t="n">
        <f aca="false">Inputs!$B$15*(1+Inputs!$B$22)^(B79-1)</f>
        <v>0</v>
      </c>
      <c r="M79" s="10" t="n">
        <f aca="false">INDEX(Annual!$N$2:$N$51,B79)/12</f>
        <v>0</v>
      </c>
      <c r="N79" s="10" t="n">
        <f aca="false">D79+E79+G79+I79+J79+K79+L79-M79</f>
        <v>3948.97398815677</v>
      </c>
      <c r="O79" s="10" t="n">
        <f aca="false">Inputs!$B$17*(1+Inputs!$B$18)^(B79-1)+Inputs!$B$19*(1+Inputs!$B$22)^(B79-1)</f>
        <v>3090.84144131505</v>
      </c>
      <c r="P79" s="10" t="n">
        <f aca="false">N79-O79</f>
        <v>858.132546841719</v>
      </c>
      <c r="Q79" s="10" t="n">
        <f aca="false">Q78*(1+Inputs!$B$42)-U79+MAX(P79,0)</f>
        <v>277073.928966513</v>
      </c>
      <c r="R79" s="10" t="n">
        <f aca="false">R78+Q78*Inputs!$B$48-U79+MAX(P79,0)</f>
        <v>206727.202037037</v>
      </c>
      <c r="S79" s="10" t="n">
        <f aca="false">S78*(1+Inputs!$B$42)-V79+MAX(-P79,0)</f>
        <v>0</v>
      </c>
      <c r="T79" s="10" t="n">
        <f aca="false">T78+S78*Inputs!$B$48-V79+MAX(-P79,0)</f>
        <v>0</v>
      </c>
      <c r="U79" s="10" t="n">
        <f aca="false">Q78*Inputs!$B$48*Inputs!$B$29</f>
        <v>37.7713011335303</v>
      </c>
      <c r="V79" s="10" t="n">
        <f aca="false">S78*Inputs!$B$48*Inputs!$B$29</f>
        <v>0</v>
      </c>
    </row>
    <row r="80" customFormat="false" ht="15" hidden="false" customHeight="false" outlineLevel="0" collapsed="false">
      <c r="A80" s="16" t="n">
        <v>79</v>
      </c>
      <c r="B80" s="16" t="n">
        <f aca="false">ROUNDUP(A80/12,0)</f>
        <v>7</v>
      </c>
      <c r="C80" s="10" t="n">
        <f aca="false">F79</f>
        <v>369177.952308285</v>
      </c>
      <c r="D80" s="10" t="n">
        <f aca="false">IF(AND(A80&lt;=Inputs!$B$9*12,C80&gt;0.000001),C80*Inputs!$B$10/12,0)</f>
        <v>2239.67957733693</v>
      </c>
      <c r="E80" s="10" t="n">
        <f aca="false">IF(AND(A80&lt;=Inputs!$B$9*12,C80&gt;0.000001),MIN(C80,Inputs!$B$41-D80),0)</f>
        <v>497.169551643774</v>
      </c>
      <c r="F80" s="10" t="n">
        <f aca="false">C80-E80</f>
        <v>368680.782756642</v>
      </c>
      <c r="G80" s="10" t="n">
        <f aca="false">IF(AND(Inputs!$B$43=1,C80&gt;0.78*Inputs!$B$7,A80&lt;=Inputs!$B$9*6),Inputs!$B$16*Inputs!$B$39/12,0)</f>
        <v>0</v>
      </c>
      <c r="H80" s="10" t="n">
        <f aca="false">IF(B80=1,Inputs!$B$7,INDEX(Annual!$AC$2:$AC$51,B80-1))</f>
        <v>632659.509248</v>
      </c>
      <c r="I80" s="10" t="n">
        <f aca="false">Inputs!$B$12*IF(Inputs!$B$35="",H80,MIN(H80,Inputs!$B$7*(1+Inputs!$B$35)^(B80-1)))/12</f>
        <v>474.494631936</v>
      </c>
      <c r="J80" s="10" t="n">
        <f aca="false">Inputs!$B$13*Inputs!$B$7*(1+Inputs!$B$22)^(B80-1)/12</f>
        <v>245.876742413354</v>
      </c>
      <c r="K80" s="10" t="n">
        <f aca="false">Inputs!$B$14*Inputs!$B$7*(1+Inputs!$B$22)^(B80-1)/12</f>
        <v>491.753484826708</v>
      </c>
      <c r="L80" s="10" t="n">
        <f aca="false">Inputs!$B$15*(1+Inputs!$B$22)^(B80-1)</f>
        <v>0</v>
      </c>
      <c r="M80" s="10" t="n">
        <f aca="false">INDEX(Annual!$N$2:$N$51,B80)/12</f>
        <v>0</v>
      </c>
      <c r="N80" s="10" t="n">
        <f aca="false">D80+E80+G80+I80+J80+K80+L80-M80</f>
        <v>3948.97398815677</v>
      </c>
      <c r="O80" s="10" t="n">
        <f aca="false">Inputs!$B$17*(1+Inputs!$B$18)^(B80-1)+Inputs!$B$19*(1+Inputs!$B$22)^(B80-1)</f>
        <v>3090.84144131505</v>
      </c>
      <c r="P80" s="10" t="n">
        <f aca="false">N80-O80</f>
        <v>858.132546841719</v>
      </c>
      <c r="Q80" s="10" t="n">
        <f aca="false">Q79*(1+Inputs!$B$42)-U80+MAX(P80,0)</f>
        <v>279460.580125558</v>
      </c>
      <c r="R80" s="10" t="n">
        <f aca="false">R79+Q79*Inputs!$B$48-U80+MAX(P80,0)</f>
        <v>207801.221353531</v>
      </c>
      <c r="S80" s="10" t="n">
        <f aca="false">S79*(1+Inputs!$B$42)-V80+MAX(-P80,0)</f>
        <v>0</v>
      </c>
      <c r="T80" s="10" t="n">
        <f aca="false">T79+S79*Inputs!$B$48-V80+MAX(-P80,0)</f>
        <v>0</v>
      </c>
      <c r="U80" s="10" t="n">
        <f aca="false">Q79*Inputs!$B$48*Inputs!$B$29</f>
        <v>38.0976652328956</v>
      </c>
      <c r="V80" s="10" t="n">
        <f aca="false">S79*Inputs!$B$48*Inputs!$B$29</f>
        <v>0</v>
      </c>
    </row>
    <row r="81" customFormat="false" ht="15" hidden="false" customHeight="false" outlineLevel="0" collapsed="false">
      <c r="A81" s="16" t="n">
        <v>80</v>
      </c>
      <c r="B81" s="16" t="n">
        <f aca="false">ROUNDUP(A81/12,0)</f>
        <v>7</v>
      </c>
      <c r="C81" s="10" t="n">
        <f aca="false">F80</f>
        <v>368680.782756642</v>
      </c>
      <c r="D81" s="10" t="n">
        <f aca="false">IF(AND(A81&lt;=Inputs!$B$9*12,C81&gt;0.000001),C81*Inputs!$B$10/12,0)</f>
        <v>2236.66341539029</v>
      </c>
      <c r="E81" s="10" t="n">
        <f aca="false">IF(AND(A81&lt;=Inputs!$B$9*12,C81&gt;0.000001),MIN(C81,Inputs!$B$41-D81),0)</f>
        <v>500.185713590413</v>
      </c>
      <c r="F81" s="10" t="n">
        <f aca="false">C81-E81</f>
        <v>368180.597043051</v>
      </c>
      <c r="G81" s="10" t="n">
        <f aca="false">IF(AND(Inputs!$B$43=1,C81&gt;0.78*Inputs!$B$7,A81&lt;=Inputs!$B$9*6),Inputs!$B$16*Inputs!$B$39/12,0)</f>
        <v>0</v>
      </c>
      <c r="H81" s="10" t="n">
        <f aca="false">IF(B81=1,Inputs!$B$7,INDEX(Annual!$AC$2:$AC$51,B81-1))</f>
        <v>632659.509248</v>
      </c>
      <c r="I81" s="10" t="n">
        <f aca="false">Inputs!$B$12*IF(Inputs!$B$35="",H81,MIN(H81,Inputs!$B$7*(1+Inputs!$B$35)^(B81-1)))/12</f>
        <v>474.494631936</v>
      </c>
      <c r="J81" s="10" t="n">
        <f aca="false">Inputs!$B$13*Inputs!$B$7*(1+Inputs!$B$22)^(B81-1)/12</f>
        <v>245.876742413354</v>
      </c>
      <c r="K81" s="10" t="n">
        <f aca="false">Inputs!$B$14*Inputs!$B$7*(1+Inputs!$B$22)^(B81-1)/12</f>
        <v>491.753484826708</v>
      </c>
      <c r="L81" s="10" t="n">
        <f aca="false">Inputs!$B$15*(1+Inputs!$B$22)^(B81-1)</f>
        <v>0</v>
      </c>
      <c r="M81" s="10" t="n">
        <f aca="false">INDEX(Annual!$N$2:$N$51,B81)/12</f>
        <v>0</v>
      </c>
      <c r="N81" s="10" t="n">
        <f aca="false">D81+E81+G81+I81+J81+K81+L81-M81</f>
        <v>3948.97398815677</v>
      </c>
      <c r="O81" s="10" t="n">
        <f aca="false">Inputs!$B$17*(1+Inputs!$B$18)^(B81-1)+Inputs!$B$19*(1+Inputs!$B$22)^(B81-1)</f>
        <v>3090.84144131505</v>
      </c>
      <c r="P81" s="10" t="n">
        <f aca="false">N81-O81</f>
        <v>858.132546841719</v>
      </c>
      <c r="Q81" s="10" t="n">
        <f aca="false">Q80*(1+Inputs!$B$42)-U81+MAX(P81,0)</f>
        <v>281860.397592711</v>
      </c>
      <c r="R81" s="10" t="n">
        <f aca="false">R80+Q80*Inputs!$B$48-U81+MAX(P81,0)</f>
        <v>208877.100269054</v>
      </c>
      <c r="S81" s="10" t="n">
        <f aca="false">S80*(1+Inputs!$B$42)-V81+MAX(-P81,0)</f>
        <v>0</v>
      </c>
      <c r="T81" s="10" t="n">
        <f aca="false">T80+S80*Inputs!$B$48-V81+MAX(-P81,0)</f>
        <v>0</v>
      </c>
      <c r="U81" s="10" t="n">
        <f aca="false">Q80*Inputs!$B$48*Inputs!$B$29</f>
        <v>38.4258297672643</v>
      </c>
      <c r="V81" s="10" t="n">
        <f aca="false">S80*Inputs!$B$48*Inputs!$B$29</f>
        <v>0</v>
      </c>
    </row>
    <row r="82" customFormat="false" ht="15" hidden="false" customHeight="false" outlineLevel="0" collapsed="false">
      <c r="A82" s="16" t="n">
        <v>81</v>
      </c>
      <c r="B82" s="16" t="n">
        <f aca="false">ROUNDUP(A82/12,0)</f>
        <v>7</v>
      </c>
      <c r="C82" s="10" t="n">
        <f aca="false">F81</f>
        <v>368180.597043051</v>
      </c>
      <c r="D82" s="10" t="n">
        <f aca="false">IF(AND(A82&lt;=Inputs!$B$9*12,C82&gt;0.000001),C82*Inputs!$B$10/12,0)</f>
        <v>2233.62895539451</v>
      </c>
      <c r="E82" s="10" t="n">
        <f aca="false">IF(AND(A82&lt;=Inputs!$B$9*12,C82&gt;0.000001),MIN(C82,Inputs!$B$41-D82),0)</f>
        <v>503.220173586195</v>
      </c>
      <c r="F82" s="10" t="n">
        <f aca="false">C82-E82</f>
        <v>367677.376869465</v>
      </c>
      <c r="G82" s="10" t="n">
        <f aca="false">IF(AND(Inputs!$B$43=1,C82&gt;0.78*Inputs!$B$7,A82&lt;=Inputs!$B$9*6),Inputs!$B$16*Inputs!$B$39/12,0)</f>
        <v>0</v>
      </c>
      <c r="H82" s="10" t="n">
        <f aca="false">IF(B82=1,Inputs!$B$7,INDEX(Annual!$AC$2:$AC$51,B82-1))</f>
        <v>632659.509248</v>
      </c>
      <c r="I82" s="10" t="n">
        <f aca="false">Inputs!$B$12*IF(Inputs!$B$35="",H82,MIN(H82,Inputs!$B$7*(1+Inputs!$B$35)^(B82-1)))/12</f>
        <v>474.494631936</v>
      </c>
      <c r="J82" s="10" t="n">
        <f aca="false">Inputs!$B$13*Inputs!$B$7*(1+Inputs!$B$22)^(B82-1)/12</f>
        <v>245.876742413354</v>
      </c>
      <c r="K82" s="10" t="n">
        <f aca="false">Inputs!$B$14*Inputs!$B$7*(1+Inputs!$B$22)^(B82-1)/12</f>
        <v>491.753484826708</v>
      </c>
      <c r="L82" s="10" t="n">
        <f aca="false">Inputs!$B$15*(1+Inputs!$B$22)^(B82-1)</f>
        <v>0</v>
      </c>
      <c r="M82" s="10" t="n">
        <f aca="false">INDEX(Annual!$N$2:$N$51,B82)/12</f>
        <v>0</v>
      </c>
      <c r="N82" s="10" t="n">
        <f aca="false">D82+E82+G82+I82+J82+K82+L82-M82</f>
        <v>3948.97398815677</v>
      </c>
      <c r="O82" s="10" t="n">
        <f aca="false">Inputs!$B$17*(1+Inputs!$B$18)^(B82-1)+Inputs!$B$19*(1+Inputs!$B$22)^(B82-1)</f>
        <v>3090.84144131505</v>
      </c>
      <c r="P82" s="10" t="n">
        <f aca="false">N82-O82</f>
        <v>858.132546841719</v>
      </c>
      <c r="Q82" s="10" t="n">
        <f aca="false">Q81*(1+Inputs!$B$42)-U82+MAX(P82,0)</f>
        <v>284273.454001825</v>
      </c>
      <c r="R82" s="10" t="n">
        <f aca="false">R81+Q81*Inputs!$B$48-U82+MAX(P82,0)</f>
        <v>209954.849042354</v>
      </c>
      <c r="S82" s="10" t="n">
        <f aca="false">S81*(1+Inputs!$B$42)-V82+MAX(-P82,0)</f>
        <v>0</v>
      </c>
      <c r="T82" s="10" t="n">
        <f aca="false">T81+S81*Inputs!$B$48-V82+MAX(-P82,0)</f>
        <v>0</v>
      </c>
      <c r="U82" s="10" t="n">
        <f aca="false">Q81*Inputs!$B$48*Inputs!$B$29</f>
        <v>38.7558046689978</v>
      </c>
      <c r="V82" s="10" t="n">
        <f aca="false">S81*Inputs!$B$48*Inputs!$B$29</f>
        <v>0</v>
      </c>
    </row>
    <row r="83" customFormat="false" ht="15" hidden="false" customHeight="false" outlineLevel="0" collapsed="false">
      <c r="A83" s="16" t="n">
        <v>82</v>
      </c>
      <c r="B83" s="16" t="n">
        <f aca="false">ROUNDUP(A83/12,0)</f>
        <v>7</v>
      </c>
      <c r="C83" s="10" t="n">
        <f aca="false">F82</f>
        <v>367677.376869465</v>
      </c>
      <c r="D83" s="10" t="n">
        <f aca="false">IF(AND(A83&lt;=Inputs!$B$9*12,C83&gt;0.000001),C83*Inputs!$B$10/12,0)</f>
        <v>2230.57608634142</v>
      </c>
      <c r="E83" s="10" t="n">
        <f aca="false">IF(AND(A83&lt;=Inputs!$B$9*12,C83&gt;0.000001),MIN(C83,Inputs!$B$41-D83),0)</f>
        <v>506.273042639285</v>
      </c>
      <c r="F83" s="10" t="n">
        <f aca="false">C83-E83</f>
        <v>367171.103826826</v>
      </c>
      <c r="G83" s="10" t="n">
        <f aca="false">IF(AND(Inputs!$B$43=1,C83&gt;0.78*Inputs!$B$7,A83&lt;=Inputs!$B$9*6),Inputs!$B$16*Inputs!$B$39/12,0)</f>
        <v>0</v>
      </c>
      <c r="H83" s="10" t="n">
        <f aca="false">IF(B83=1,Inputs!$B$7,INDEX(Annual!$AC$2:$AC$51,B83-1))</f>
        <v>632659.509248</v>
      </c>
      <c r="I83" s="10" t="n">
        <f aca="false">Inputs!$B$12*IF(Inputs!$B$35="",H83,MIN(H83,Inputs!$B$7*(1+Inputs!$B$35)^(B83-1)))/12</f>
        <v>474.494631936</v>
      </c>
      <c r="J83" s="10" t="n">
        <f aca="false">Inputs!$B$13*Inputs!$B$7*(1+Inputs!$B$22)^(B83-1)/12</f>
        <v>245.876742413354</v>
      </c>
      <c r="K83" s="10" t="n">
        <f aca="false">Inputs!$B$14*Inputs!$B$7*(1+Inputs!$B$22)^(B83-1)/12</f>
        <v>491.753484826708</v>
      </c>
      <c r="L83" s="10" t="n">
        <f aca="false">Inputs!$B$15*(1+Inputs!$B$22)^(B83-1)</f>
        <v>0</v>
      </c>
      <c r="M83" s="10" t="n">
        <f aca="false">INDEX(Annual!$N$2:$N$51,B83)/12</f>
        <v>0</v>
      </c>
      <c r="N83" s="10" t="n">
        <f aca="false">D83+E83+G83+I83+J83+K83+L83-M83</f>
        <v>3948.97398815677</v>
      </c>
      <c r="O83" s="10" t="n">
        <f aca="false">Inputs!$B$17*(1+Inputs!$B$18)^(B83-1)+Inputs!$B$19*(1+Inputs!$B$22)^(B83-1)</f>
        <v>3090.84144131505</v>
      </c>
      <c r="P83" s="10" t="n">
        <f aca="false">N83-O83</f>
        <v>858.132546841719</v>
      </c>
      <c r="Q83" s="10" t="n">
        <f aca="false">Q82*(1+Inputs!$B$42)-U83+MAX(P83,0)</f>
        <v>286699.822387448</v>
      </c>
      <c r="R83" s="10" t="n">
        <f aca="false">R82+Q82*Inputs!$B$48-U83+MAX(P83,0)</f>
        <v>211034.477988772</v>
      </c>
      <c r="S83" s="10" t="n">
        <f aca="false">S82*(1+Inputs!$B$42)-V83+MAX(-P83,0)</f>
        <v>0</v>
      </c>
      <c r="T83" s="10" t="n">
        <f aca="false">T82+S82*Inputs!$B$48-V83+MAX(-P83,0)</f>
        <v>0</v>
      </c>
      <c r="U83" s="10" t="n">
        <f aca="false">Q82*Inputs!$B$48*Inputs!$B$29</f>
        <v>39.0875999252509</v>
      </c>
      <c r="V83" s="10" t="n">
        <f aca="false">S82*Inputs!$B$48*Inputs!$B$29</f>
        <v>0</v>
      </c>
    </row>
    <row r="84" customFormat="false" ht="15" hidden="false" customHeight="false" outlineLevel="0" collapsed="false">
      <c r="A84" s="16" t="n">
        <v>83</v>
      </c>
      <c r="B84" s="16" t="n">
        <f aca="false">ROUNDUP(A84/12,0)</f>
        <v>7</v>
      </c>
      <c r="C84" s="10" t="n">
        <f aca="false">F83</f>
        <v>367171.103826826</v>
      </c>
      <c r="D84" s="10" t="n">
        <f aca="false">IF(AND(A84&lt;=Inputs!$B$9*12,C84&gt;0.000001),C84*Inputs!$B$10/12,0)</f>
        <v>2227.50469654941</v>
      </c>
      <c r="E84" s="10" t="n">
        <f aca="false">IF(AND(A84&lt;=Inputs!$B$9*12,C84&gt;0.000001),MIN(C84,Inputs!$B$41-D84),0)</f>
        <v>509.344432431297</v>
      </c>
      <c r="F84" s="10" t="n">
        <f aca="false">C84-E84</f>
        <v>366661.759394394</v>
      </c>
      <c r="G84" s="10" t="n">
        <f aca="false">IF(AND(Inputs!$B$43=1,C84&gt;0.78*Inputs!$B$7,A84&lt;=Inputs!$B$9*6),Inputs!$B$16*Inputs!$B$39/12,0)</f>
        <v>0</v>
      </c>
      <c r="H84" s="10" t="n">
        <f aca="false">IF(B84=1,Inputs!$B$7,INDEX(Annual!$AC$2:$AC$51,B84-1))</f>
        <v>632659.509248</v>
      </c>
      <c r="I84" s="10" t="n">
        <f aca="false">Inputs!$B$12*IF(Inputs!$B$35="",H84,MIN(H84,Inputs!$B$7*(1+Inputs!$B$35)^(B84-1)))/12</f>
        <v>474.494631936</v>
      </c>
      <c r="J84" s="10" t="n">
        <f aca="false">Inputs!$B$13*Inputs!$B$7*(1+Inputs!$B$22)^(B84-1)/12</f>
        <v>245.876742413354</v>
      </c>
      <c r="K84" s="10" t="n">
        <f aca="false">Inputs!$B$14*Inputs!$B$7*(1+Inputs!$B$22)^(B84-1)/12</f>
        <v>491.753484826708</v>
      </c>
      <c r="L84" s="10" t="n">
        <f aca="false">Inputs!$B$15*(1+Inputs!$B$22)^(B84-1)</f>
        <v>0</v>
      </c>
      <c r="M84" s="10" t="n">
        <f aca="false">INDEX(Annual!$N$2:$N$51,B84)/12</f>
        <v>0</v>
      </c>
      <c r="N84" s="10" t="n">
        <f aca="false">D84+E84+G84+I84+J84+K84+L84-M84</f>
        <v>3948.97398815677</v>
      </c>
      <c r="O84" s="10" t="n">
        <f aca="false">Inputs!$B$17*(1+Inputs!$B$18)^(B84-1)+Inputs!$B$19*(1+Inputs!$B$22)^(B84-1)</f>
        <v>3090.84144131505</v>
      </c>
      <c r="P84" s="10" t="n">
        <f aca="false">N84-O84</f>
        <v>858.132546841719</v>
      </c>
      <c r="Q84" s="10" t="n">
        <f aca="false">Q83*(1+Inputs!$B$42)-U84+MAX(P84,0)</f>
        <v>289139.576187033</v>
      </c>
      <c r="R84" s="10" t="n">
        <f aca="false">R83+Q83*Inputs!$B$48-U84+MAX(P84,0)</f>
        <v>212115.997480557</v>
      </c>
      <c r="S84" s="10" t="n">
        <f aca="false">S83*(1+Inputs!$B$42)-V84+MAX(-P84,0)</f>
        <v>0</v>
      </c>
      <c r="T84" s="10" t="n">
        <f aca="false">T83+S83*Inputs!$B$48-V84+MAX(-P84,0)</f>
        <v>0</v>
      </c>
      <c r="U84" s="10" t="n">
        <f aca="false">Q83*Inputs!$B$48*Inputs!$B$29</f>
        <v>39.4212255782741</v>
      </c>
      <c r="V84" s="10" t="n">
        <f aca="false">S83*Inputs!$B$48*Inputs!$B$29</f>
        <v>0</v>
      </c>
    </row>
    <row r="85" customFormat="false" ht="15" hidden="false" customHeight="false" outlineLevel="0" collapsed="false">
      <c r="A85" s="16" t="n">
        <v>84</v>
      </c>
      <c r="B85" s="16" t="n">
        <f aca="false">ROUNDUP(A85/12,0)</f>
        <v>7</v>
      </c>
      <c r="C85" s="10" t="n">
        <f aca="false">F84</f>
        <v>366661.759394394</v>
      </c>
      <c r="D85" s="10" t="n">
        <f aca="false">IF(AND(A85&lt;=Inputs!$B$9*12,C85&gt;0.000001),C85*Inputs!$B$10/12,0)</f>
        <v>2224.41467365933</v>
      </c>
      <c r="E85" s="10" t="n">
        <f aca="false">IF(AND(A85&lt;=Inputs!$B$9*12,C85&gt;0.000001),MIN(C85,Inputs!$B$41-D85),0)</f>
        <v>512.43445532138</v>
      </c>
      <c r="F85" s="10" t="n">
        <f aca="false">C85-E85</f>
        <v>366149.324939073</v>
      </c>
      <c r="G85" s="10" t="n">
        <f aca="false">IF(AND(Inputs!$B$43=1,C85&gt;0.78*Inputs!$B$7,A85&lt;=Inputs!$B$9*6),Inputs!$B$16*Inputs!$B$39/12,0)</f>
        <v>0</v>
      </c>
      <c r="H85" s="10" t="n">
        <f aca="false">IF(B85=1,Inputs!$B$7,INDEX(Annual!$AC$2:$AC$51,B85-1))</f>
        <v>632659.509248</v>
      </c>
      <c r="I85" s="10" t="n">
        <f aca="false">Inputs!$B$12*IF(Inputs!$B$35="",H85,MIN(H85,Inputs!$B$7*(1+Inputs!$B$35)^(B85-1)))/12</f>
        <v>474.494631936</v>
      </c>
      <c r="J85" s="10" t="n">
        <f aca="false">Inputs!$B$13*Inputs!$B$7*(1+Inputs!$B$22)^(B85-1)/12</f>
        <v>245.876742413354</v>
      </c>
      <c r="K85" s="10" t="n">
        <f aca="false">Inputs!$B$14*Inputs!$B$7*(1+Inputs!$B$22)^(B85-1)/12</f>
        <v>491.753484826708</v>
      </c>
      <c r="L85" s="10" t="n">
        <f aca="false">Inputs!$B$15*(1+Inputs!$B$22)^(B85-1)</f>
        <v>0</v>
      </c>
      <c r="M85" s="10" t="n">
        <f aca="false">INDEX(Annual!$N$2:$N$51,B85)/12</f>
        <v>0</v>
      </c>
      <c r="N85" s="10" t="n">
        <f aca="false">D85+E85+G85+I85+J85+K85+L85-M85</f>
        <v>3948.97398815677</v>
      </c>
      <c r="O85" s="10" t="n">
        <f aca="false">Inputs!$B$17*(1+Inputs!$B$18)^(B85-1)+Inputs!$B$19*(1+Inputs!$B$22)^(B85-1)</f>
        <v>3090.84144131505</v>
      </c>
      <c r="P85" s="10" t="n">
        <f aca="false">N85-O85</f>
        <v>858.132546841719</v>
      </c>
      <c r="Q85" s="10" t="n">
        <f aca="false">Q84*(1+Inputs!$B$42)-U85+MAX(P85,0)</f>
        <v>291592.789243163</v>
      </c>
      <c r="R85" s="10" t="n">
        <f aca="false">R84+Q84*Inputs!$B$48-U85+MAX(P85,0)</f>
        <v>213199.417947178</v>
      </c>
      <c r="S85" s="10" t="n">
        <f aca="false">S84*(1+Inputs!$B$42)-V85+MAX(-P85,0)</f>
        <v>0</v>
      </c>
      <c r="T85" s="10" t="n">
        <f aca="false">T84+S84*Inputs!$B$48-V85+MAX(-P85,0)</f>
        <v>0</v>
      </c>
      <c r="U85" s="10" t="n">
        <f aca="false">Q84*Inputs!$B$48*Inputs!$B$29</f>
        <v>39.756691725717</v>
      </c>
      <c r="V85" s="10" t="n">
        <f aca="false">S84*Inputs!$B$48*Inputs!$B$29</f>
        <v>0</v>
      </c>
    </row>
    <row r="86" customFormat="false" ht="15" hidden="false" customHeight="false" outlineLevel="0" collapsed="false">
      <c r="A86" s="16" t="n">
        <v>85</v>
      </c>
      <c r="B86" s="16" t="n">
        <f aca="false">ROUNDUP(A86/12,0)</f>
        <v>8</v>
      </c>
      <c r="C86" s="10" t="n">
        <f aca="false">F85</f>
        <v>366149.324939073</v>
      </c>
      <c r="D86" s="10" t="n">
        <f aca="false">IF(AND(A86&lt;=Inputs!$B$9*12,C86&gt;0.000001),C86*Inputs!$B$10/12,0)</f>
        <v>2221.30590463038</v>
      </c>
      <c r="E86" s="10" t="n">
        <f aca="false">IF(AND(A86&lt;=Inputs!$B$9*12,C86&gt;0.000001),MIN(C86,Inputs!$B$41-D86),0)</f>
        <v>515.54322435033</v>
      </c>
      <c r="F86" s="10" t="n">
        <f aca="false">C86-E86</f>
        <v>365633.781714723</v>
      </c>
      <c r="G86" s="10" t="n">
        <f aca="false">IF(AND(Inputs!$B$43=1,C86&gt;0.78*Inputs!$B$7,A86&lt;=Inputs!$B$9*6),Inputs!$B$16*Inputs!$B$39/12,0)</f>
        <v>0</v>
      </c>
      <c r="H86" s="10" t="n">
        <f aca="false">IF(B86=1,Inputs!$B$7,INDEX(Annual!$AC$2:$AC$51,B86-1))</f>
        <v>657965.88961792</v>
      </c>
      <c r="I86" s="10" t="n">
        <f aca="false">Inputs!$B$12*IF(Inputs!$B$35="",H86,MIN(H86,Inputs!$B$7*(1+Inputs!$B$35)^(B86-1)))/12</f>
        <v>493.47441721344</v>
      </c>
      <c r="J86" s="10" t="n">
        <f aca="false">Inputs!$B$13*Inputs!$B$7*(1+Inputs!$B$22)^(B86-1)/12</f>
        <v>252.761291200928</v>
      </c>
      <c r="K86" s="10" t="n">
        <f aca="false">Inputs!$B$14*Inputs!$B$7*(1+Inputs!$B$22)^(B86-1)/12</f>
        <v>505.522582401856</v>
      </c>
      <c r="L86" s="10" t="n">
        <f aca="false">Inputs!$B$15*(1+Inputs!$B$22)^(B86-1)</f>
        <v>0</v>
      </c>
      <c r="M86" s="10" t="n">
        <f aca="false">INDEX(Annual!$N$2:$N$51,B86)/12</f>
        <v>0</v>
      </c>
      <c r="N86" s="10" t="n">
        <f aca="false">D86+E86+G86+I86+J86+K86+L86-M86</f>
        <v>3988.60741979693</v>
      </c>
      <c r="O86" s="10" t="n">
        <f aca="false">Inputs!$B$17*(1+Inputs!$B$18)^(B86-1)+Inputs!$B$19*(1+Inputs!$B$22)^(B86-1)</f>
        <v>3198.8969698829</v>
      </c>
      <c r="P86" s="10" t="n">
        <f aca="false">N86-O86</f>
        <v>789.71044991403</v>
      </c>
      <c r="Q86" s="10" t="n">
        <f aca="false">Q85*(1+Inputs!$B$42)-U86+MAX(P86,0)</f>
        <v>293991.113708856</v>
      </c>
      <c r="R86" s="10" t="n">
        <f aca="false">R85+Q85*Inputs!$B$48-U86+MAX(P86,0)</f>
        <v>214216.327778711</v>
      </c>
      <c r="S86" s="10" t="n">
        <f aca="false">S85*(1+Inputs!$B$42)-V86+MAX(-P86,0)</f>
        <v>0</v>
      </c>
      <c r="T86" s="10" t="n">
        <f aca="false">T85+S85*Inputs!$B$48-V86+MAX(-P86,0)</f>
        <v>0</v>
      </c>
      <c r="U86" s="10" t="n">
        <f aca="false">Q85*Inputs!$B$48*Inputs!$B$29</f>
        <v>40.0940085209349</v>
      </c>
      <c r="V86" s="10" t="n">
        <f aca="false">S85*Inputs!$B$48*Inputs!$B$29</f>
        <v>0</v>
      </c>
    </row>
    <row r="87" customFormat="false" ht="15" hidden="false" customHeight="false" outlineLevel="0" collapsed="false">
      <c r="A87" s="16" t="n">
        <v>86</v>
      </c>
      <c r="B87" s="16" t="n">
        <f aca="false">ROUNDUP(A87/12,0)</f>
        <v>8</v>
      </c>
      <c r="C87" s="10" t="n">
        <f aca="false">F86</f>
        <v>365633.781714723</v>
      </c>
      <c r="D87" s="10" t="n">
        <f aca="false">IF(AND(A87&lt;=Inputs!$B$9*12,C87&gt;0.000001),C87*Inputs!$B$10/12,0)</f>
        <v>2218.17827573598</v>
      </c>
      <c r="E87" s="10" t="n">
        <f aca="false">IF(AND(A87&lt;=Inputs!$B$9*12,C87&gt;0.000001),MIN(C87,Inputs!$B$41-D87),0)</f>
        <v>518.670853244722</v>
      </c>
      <c r="F87" s="10" t="n">
        <f aca="false">C87-E87</f>
        <v>365115.110861478</v>
      </c>
      <c r="G87" s="10" t="n">
        <f aca="false">IF(AND(Inputs!$B$43=1,C87&gt;0.78*Inputs!$B$7,A87&lt;=Inputs!$B$9*6),Inputs!$B$16*Inputs!$B$39/12,0)</f>
        <v>0</v>
      </c>
      <c r="H87" s="10" t="n">
        <f aca="false">IF(B87=1,Inputs!$B$7,INDEX(Annual!$AC$2:$AC$51,B87-1))</f>
        <v>657965.88961792</v>
      </c>
      <c r="I87" s="10" t="n">
        <f aca="false">Inputs!$B$12*IF(Inputs!$B$35="",H87,MIN(H87,Inputs!$B$7*(1+Inputs!$B$35)^(B87-1)))/12</f>
        <v>493.47441721344</v>
      </c>
      <c r="J87" s="10" t="n">
        <f aca="false">Inputs!$B$13*Inputs!$B$7*(1+Inputs!$B$22)^(B87-1)/12</f>
        <v>252.761291200928</v>
      </c>
      <c r="K87" s="10" t="n">
        <f aca="false">Inputs!$B$14*Inputs!$B$7*(1+Inputs!$B$22)^(B87-1)/12</f>
        <v>505.522582401856</v>
      </c>
      <c r="L87" s="10" t="n">
        <f aca="false">Inputs!$B$15*(1+Inputs!$B$22)^(B87-1)</f>
        <v>0</v>
      </c>
      <c r="M87" s="10" t="n">
        <f aca="false">INDEX(Annual!$N$2:$N$51,B87)/12</f>
        <v>0</v>
      </c>
      <c r="N87" s="10" t="n">
        <f aca="false">D87+E87+G87+I87+J87+K87+L87-M87</f>
        <v>3988.60741979693</v>
      </c>
      <c r="O87" s="10" t="n">
        <f aca="false">Inputs!$B$17*(1+Inputs!$B$18)^(B87-1)+Inputs!$B$19*(1+Inputs!$B$22)^(B87-1)</f>
        <v>3198.8969698829</v>
      </c>
      <c r="P87" s="10" t="n">
        <f aca="false">N87-O87</f>
        <v>789.71044991403</v>
      </c>
      <c r="Q87" s="10" t="n">
        <f aca="false">Q86*(1+Inputs!$B$42)-U87+MAX(P87,0)</f>
        <v>296402.66888015</v>
      </c>
      <c r="R87" s="10" t="n">
        <f aca="false">R86+Q86*Inputs!$B$48-U87+MAX(P87,0)</f>
        <v>215235.106304723</v>
      </c>
      <c r="S87" s="10" t="n">
        <f aca="false">S86*(1+Inputs!$B$42)-V87+MAX(-P87,0)</f>
        <v>0</v>
      </c>
      <c r="T87" s="10" t="n">
        <f aca="false">T86+S86*Inputs!$B$48-V87+MAX(-P87,0)</f>
        <v>0</v>
      </c>
      <c r="U87" s="10" t="n">
        <f aca="false">Q86*Inputs!$B$48*Inputs!$B$29</f>
        <v>40.4237781349677</v>
      </c>
      <c r="V87" s="10" t="n">
        <f aca="false">S86*Inputs!$B$48*Inputs!$B$29</f>
        <v>0</v>
      </c>
    </row>
    <row r="88" customFormat="false" ht="15" hidden="false" customHeight="false" outlineLevel="0" collapsed="false">
      <c r="A88" s="16" t="n">
        <v>87</v>
      </c>
      <c r="B88" s="16" t="n">
        <f aca="false">ROUNDUP(A88/12,0)</f>
        <v>8</v>
      </c>
      <c r="C88" s="10" t="n">
        <f aca="false">F87</f>
        <v>365115.110861478</v>
      </c>
      <c r="D88" s="10" t="n">
        <f aca="false">IF(AND(A88&lt;=Inputs!$B$9*12,C88&gt;0.000001),C88*Inputs!$B$10/12,0)</f>
        <v>2215.03167255963</v>
      </c>
      <c r="E88" s="10" t="n">
        <f aca="false">IF(AND(A88&lt;=Inputs!$B$9*12,C88&gt;0.000001),MIN(C88,Inputs!$B$41-D88),0)</f>
        <v>521.817456421073</v>
      </c>
      <c r="F88" s="10" t="n">
        <f aca="false">C88-E88</f>
        <v>364593.293405057</v>
      </c>
      <c r="G88" s="10" t="n">
        <f aca="false">IF(AND(Inputs!$B$43=1,C88&gt;0.78*Inputs!$B$7,A88&lt;=Inputs!$B$9*6),Inputs!$B$16*Inputs!$B$39/12,0)</f>
        <v>0</v>
      </c>
      <c r="H88" s="10" t="n">
        <f aca="false">IF(B88=1,Inputs!$B$7,INDEX(Annual!$AC$2:$AC$51,B88-1))</f>
        <v>657965.88961792</v>
      </c>
      <c r="I88" s="10" t="n">
        <f aca="false">Inputs!$B$12*IF(Inputs!$B$35="",H88,MIN(H88,Inputs!$B$7*(1+Inputs!$B$35)^(B88-1)))/12</f>
        <v>493.47441721344</v>
      </c>
      <c r="J88" s="10" t="n">
        <f aca="false">Inputs!$B$13*Inputs!$B$7*(1+Inputs!$B$22)^(B88-1)/12</f>
        <v>252.761291200928</v>
      </c>
      <c r="K88" s="10" t="n">
        <f aca="false">Inputs!$B$14*Inputs!$B$7*(1+Inputs!$B$22)^(B88-1)/12</f>
        <v>505.522582401856</v>
      </c>
      <c r="L88" s="10" t="n">
        <f aca="false">Inputs!$B$15*(1+Inputs!$B$22)^(B88-1)</f>
        <v>0</v>
      </c>
      <c r="M88" s="10" t="n">
        <f aca="false">INDEX(Annual!$N$2:$N$51,B88)/12</f>
        <v>0</v>
      </c>
      <c r="N88" s="10" t="n">
        <f aca="false">D88+E88+G88+I88+J88+K88+L88-M88</f>
        <v>3988.60741979693</v>
      </c>
      <c r="O88" s="10" t="n">
        <f aca="false">Inputs!$B$17*(1+Inputs!$B$18)^(B88-1)+Inputs!$B$19*(1+Inputs!$B$22)^(B88-1)</f>
        <v>3198.8969698829</v>
      </c>
      <c r="P88" s="10" t="n">
        <f aca="false">N88-O88</f>
        <v>789.71044991403</v>
      </c>
      <c r="Q88" s="10" t="n">
        <f aca="false">Q87*(1+Inputs!$B$42)-U88+MAX(P88,0)</f>
        <v>298827.527746157</v>
      </c>
      <c r="R88" s="10" t="n">
        <f aca="false">R87+Q87*Inputs!$B$48-U88+MAX(P88,0)</f>
        <v>216255.763834139</v>
      </c>
      <c r="S88" s="10" t="n">
        <f aca="false">S87*(1+Inputs!$B$42)-V88+MAX(-P88,0)</f>
        <v>0</v>
      </c>
      <c r="T88" s="10" t="n">
        <f aca="false">T87+S87*Inputs!$B$48-V88+MAX(-P88,0)</f>
        <v>0</v>
      </c>
      <c r="U88" s="10" t="n">
        <f aca="false">Q87*Inputs!$B$48*Inputs!$B$29</f>
        <v>40.7553669710207</v>
      </c>
      <c r="V88" s="10" t="n">
        <f aca="false">S87*Inputs!$B$48*Inputs!$B$29</f>
        <v>0</v>
      </c>
    </row>
    <row r="89" customFormat="false" ht="15" hidden="false" customHeight="false" outlineLevel="0" collapsed="false">
      <c r="A89" s="16" t="n">
        <v>88</v>
      </c>
      <c r="B89" s="16" t="n">
        <f aca="false">ROUNDUP(A89/12,0)</f>
        <v>8</v>
      </c>
      <c r="C89" s="10" t="n">
        <f aca="false">F88</f>
        <v>364593.293405057</v>
      </c>
      <c r="D89" s="10" t="n">
        <f aca="false">IF(AND(A89&lt;=Inputs!$B$9*12,C89&gt;0.000001),C89*Inputs!$B$10/12,0)</f>
        <v>2211.86597999068</v>
      </c>
      <c r="E89" s="10" t="n">
        <f aca="false">IF(AND(A89&lt;=Inputs!$B$9*12,C89&gt;0.000001),MIN(C89,Inputs!$B$41-D89),0)</f>
        <v>524.983148990028</v>
      </c>
      <c r="F89" s="10" t="n">
        <f aca="false">C89-E89</f>
        <v>364068.310256067</v>
      </c>
      <c r="G89" s="10" t="n">
        <f aca="false">IF(AND(Inputs!$B$43=1,C89&gt;0.78*Inputs!$B$7,A89&lt;=Inputs!$B$9*6),Inputs!$B$16*Inputs!$B$39/12,0)</f>
        <v>0</v>
      </c>
      <c r="H89" s="10" t="n">
        <f aca="false">IF(B89=1,Inputs!$B$7,INDEX(Annual!$AC$2:$AC$51,B89-1))</f>
        <v>657965.88961792</v>
      </c>
      <c r="I89" s="10" t="n">
        <f aca="false">Inputs!$B$12*IF(Inputs!$B$35="",H89,MIN(H89,Inputs!$B$7*(1+Inputs!$B$35)^(B89-1)))/12</f>
        <v>493.47441721344</v>
      </c>
      <c r="J89" s="10" t="n">
        <f aca="false">Inputs!$B$13*Inputs!$B$7*(1+Inputs!$B$22)^(B89-1)/12</f>
        <v>252.761291200928</v>
      </c>
      <c r="K89" s="10" t="n">
        <f aca="false">Inputs!$B$14*Inputs!$B$7*(1+Inputs!$B$22)^(B89-1)/12</f>
        <v>505.522582401856</v>
      </c>
      <c r="L89" s="10" t="n">
        <f aca="false">Inputs!$B$15*(1+Inputs!$B$22)^(B89-1)</f>
        <v>0</v>
      </c>
      <c r="M89" s="10" t="n">
        <f aca="false">INDEX(Annual!$N$2:$N$51,B89)/12</f>
        <v>0</v>
      </c>
      <c r="N89" s="10" t="n">
        <f aca="false">D89+E89+G89+I89+J89+K89+L89-M89</f>
        <v>3988.60741979693</v>
      </c>
      <c r="O89" s="10" t="n">
        <f aca="false">Inputs!$B$17*(1+Inputs!$B$18)^(B89-1)+Inputs!$B$19*(1+Inputs!$B$22)^(B89-1)</f>
        <v>3198.8969698829</v>
      </c>
      <c r="P89" s="10" t="n">
        <f aca="false">N89-O89</f>
        <v>789.71044991403</v>
      </c>
      <c r="Q89" s="10" t="n">
        <f aca="false">Q88*(1+Inputs!$B$42)-U89+MAX(P89,0)</f>
        <v>301265.763698641</v>
      </c>
      <c r="R89" s="10" t="n">
        <f aca="false">R88+Q88*Inputs!$B$48-U89+MAX(P89,0)</f>
        <v>217278.310732755</v>
      </c>
      <c r="S89" s="10" t="n">
        <f aca="false">S88*(1+Inputs!$B$42)-V89+MAX(-P89,0)</f>
        <v>0</v>
      </c>
      <c r="T89" s="10" t="n">
        <f aca="false">T88+S88*Inputs!$B$48-V89+MAX(-P89,0)</f>
        <v>0</v>
      </c>
      <c r="U89" s="10" t="n">
        <f aca="false">Q88*Inputs!$B$48*Inputs!$B$29</f>
        <v>41.0887850650965</v>
      </c>
      <c r="V89" s="10" t="n">
        <f aca="false">S88*Inputs!$B$48*Inputs!$B$29</f>
        <v>0</v>
      </c>
    </row>
    <row r="90" customFormat="false" ht="15" hidden="false" customHeight="false" outlineLevel="0" collapsed="false">
      <c r="A90" s="16" t="n">
        <v>89</v>
      </c>
      <c r="B90" s="16" t="n">
        <f aca="false">ROUNDUP(A90/12,0)</f>
        <v>8</v>
      </c>
      <c r="C90" s="10" t="n">
        <f aca="false">F89</f>
        <v>364068.310256067</v>
      </c>
      <c r="D90" s="10" t="n">
        <f aca="false">IF(AND(A90&lt;=Inputs!$B$9*12,C90&gt;0.000001),C90*Inputs!$B$10/12,0)</f>
        <v>2208.68108222014</v>
      </c>
      <c r="E90" s="10" t="n">
        <f aca="false">IF(AND(A90&lt;=Inputs!$B$9*12,C90&gt;0.000001),MIN(C90,Inputs!$B$41-D90),0)</f>
        <v>528.168046760567</v>
      </c>
      <c r="F90" s="10" t="n">
        <f aca="false">C90-E90</f>
        <v>363540.142209306</v>
      </c>
      <c r="G90" s="10" t="n">
        <f aca="false">IF(AND(Inputs!$B$43=1,C90&gt;0.78*Inputs!$B$7,A90&lt;=Inputs!$B$9*6),Inputs!$B$16*Inputs!$B$39/12,0)</f>
        <v>0</v>
      </c>
      <c r="H90" s="10" t="n">
        <f aca="false">IF(B90=1,Inputs!$B$7,INDEX(Annual!$AC$2:$AC$51,B90-1))</f>
        <v>657965.88961792</v>
      </c>
      <c r="I90" s="10" t="n">
        <f aca="false">Inputs!$B$12*IF(Inputs!$B$35="",H90,MIN(H90,Inputs!$B$7*(1+Inputs!$B$35)^(B90-1)))/12</f>
        <v>493.47441721344</v>
      </c>
      <c r="J90" s="10" t="n">
        <f aca="false">Inputs!$B$13*Inputs!$B$7*(1+Inputs!$B$22)^(B90-1)/12</f>
        <v>252.761291200928</v>
      </c>
      <c r="K90" s="10" t="n">
        <f aca="false">Inputs!$B$14*Inputs!$B$7*(1+Inputs!$B$22)^(B90-1)/12</f>
        <v>505.522582401856</v>
      </c>
      <c r="L90" s="10" t="n">
        <f aca="false">Inputs!$B$15*(1+Inputs!$B$22)^(B90-1)</f>
        <v>0</v>
      </c>
      <c r="M90" s="10" t="n">
        <f aca="false">INDEX(Annual!$N$2:$N$51,B90)/12</f>
        <v>0</v>
      </c>
      <c r="N90" s="10" t="n">
        <f aca="false">D90+E90+G90+I90+J90+K90+L90-M90</f>
        <v>3988.60741979693</v>
      </c>
      <c r="O90" s="10" t="n">
        <f aca="false">Inputs!$B$17*(1+Inputs!$B$18)^(B90-1)+Inputs!$B$19*(1+Inputs!$B$22)^(B90-1)</f>
        <v>3198.8969698829</v>
      </c>
      <c r="P90" s="10" t="n">
        <f aca="false">N90-O90</f>
        <v>789.71044991403</v>
      </c>
      <c r="Q90" s="10" t="n">
        <f aca="false">Q89*(1+Inputs!$B$42)-U90+MAX(P90,0)</f>
        <v>303717.450534246</v>
      </c>
      <c r="R90" s="10" t="n">
        <f aca="false">R89+Q89*Inputs!$B$48-U90+MAX(P90,0)</f>
        <v>218302.757423551</v>
      </c>
      <c r="S90" s="10" t="n">
        <f aca="false">S89*(1+Inputs!$B$42)-V90+MAX(-P90,0)</f>
        <v>0</v>
      </c>
      <c r="T90" s="10" t="n">
        <f aca="false">T89+S89*Inputs!$B$48-V90+MAX(-P90,0)</f>
        <v>0</v>
      </c>
      <c r="U90" s="10" t="n">
        <f aca="false">Q89*Inputs!$B$48*Inputs!$B$29</f>
        <v>41.4240425085632</v>
      </c>
      <c r="V90" s="10" t="n">
        <f aca="false">S89*Inputs!$B$48*Inputs!$B$29</f>
        <v>0</v>
      </c>
    </row>
    <row r="91" customFormat="false" ht="15" hidden="false" customHeight="false" outlineLevel="0" collapsed="false">
      <c r="A91" s="16" t="n">
        <v>90</v>
      </c>
      <c r="B91" s="16" t="n">
        <f aca="false">ROUNDUP(A91/12,0)</f>
        <v>8</v>
      </c>
      <c r="C91" s="10" t="n">
        <f aca="false">F90</f>
        <v>363540.142209306</v>
      </c>
      <c r="D91" s="10" t="n">
        <f aca="false">IF(AND(A91&lt;=Inputs!$B$9*12,C91&gt;0.000001),C91*Inputs!$B$10/12,0)</f>
        <v>2205.47686273646</v>
      </c>
      <c r="E91" s="10" t="n">
        <f aca="false">IF(AND(A91&lt;=Inputs!$B$9*12,C91&gt;0.000001),MIN(C91,Inputs!$B$41-D91),0)</f>
        <v>531.372266244248</v>
      </c>
      <c r="F91" s="10" t="n">
        <f aca="false">C91-E91</f>
        <v>363008.769943062</v>
      </c>
      <c r="G91" s="10" t="n">
        <f aca="false">IF(AND(Inputs!$B$43=1,C91&gt;0.78*Inputs!$B$7,A91&lt;=Inputs!$B$9*6),Inputs!$B$16*Inputs!$B$39/12,0)</f>
        <v>0</v>
      </c>
      <c r="H91" s="10" t="n">
        <f aca="false">IF(B91=1,Inputs!$B$7,INDEX(Annual!$AC$2:$AC$51,B91-1))</f>
        <v>657965.88961792</v>
      </c>
      <c r="I91" s="10" t="n">
        <f aca="false">Inputs!$B$12*IF(Inputs!$B$35="",H91,MIN(H91,Inputs!$B$7*(1+Inputs!$B$35)^(B91-1)))/12</f>
        <v>493.47441721344</v>
      </c>
      <c r="J91" s="10" t="n">
        <f aca="false">Inputs!$B$13*Inputs!$B$7*(1+Inputs!$B$22)^(B91-1)/12</f>
        <v>252.761291200928</v>
      </c>
      <c r="K91" s="10" t="n">
        <f aca="false">Inputs!$B$14*Inputs!$B$7*(1+Inputs!$B$22)^(B91-1)/12</f>
        <v>505.522582401856</v>
      </c>
      <c r="L91" s="10" t="n">
        <f aca="false">Inputs!$B$15*(1+Inputs!$B$22)^(B91-1)</f>
        <v>0</v>
      </c>
      <c r="M91" s="10" t="n">
        <f aca="false">INDEX(Annual!$N$2:$N$51,B91)/12</f>
        <v>0</v>
      </c>
      <c r="N91" s="10" t="n">
        <f aca="false">D91+E91+G91+I91+J91+K91+L91-M91</f>
        <v>3988.60741979693</v>
      </c>
      <c r="O91" s="10" t="n">
        <f aca="false">Inputs!$B$17*(1+Inputs!$B$18)^(B91-1)+Inputs!$B$19*(1+Inputs!$B$22)^(B91-1)</f>
        <v>3198.8969698829</v>
      </c>
      <c r="P91" s="10" t="n">
        <f aca="false">N91-O91</f>
        <v>789.71044991403</v>
      </c>
      <c r="Q91" s="10" t="n">
        <f aca="false">Q90*(1+Inputs!$B$42)-U91+MAX(P91,0)</f>
        <v>306182.662456725</v>
      </c>
      <c r="R91" s="10" t="n">
        <f aca="false">R90+Q90*Inputs!$B$48-U91+MAX(P91,0)</f>
        <v>219329.114387007</v>
      </c>
      <c r="S91" s="10" t="n">
        <f aca="false">S90*(1+Inputs!$B$42)-V91+MAX(-P91,0)</f>
        <v>0</v>
      </c>
      <c r="T91" s="10" t="n">
        <f aca="false">T90+S90*Inputs!$B$48-V91+MAX(-P91,0)</f>
        <v>0</v>
      </c>
      <c r="U91" s="10" t="n">
        <f aca="false">Q90*Inputs!$B$48*Inputs!$B$29</f>
        <v>41.7611494484589</v>
      </c>
      <c r="V91" s="10" t="n">
        <f aca="false">S90*Inputs!$B$48*Inputs!$B$29</f>
        <v>0</v>
      </c>
    </row>
    <row r="92" customFormat="false" ht="15" hidden="false" customHeight="false" outlineLevel="0" collapsed="false">
      <c r="A92" s="16" t="n">
        <v>91</v>
      </c>
      <c r="B92" s="16" t="n">
        <f aca="false">ROUNDUP(A92/12,0)</f>
        <v>8</v>
      </c>
      <c r="C92" s="10" t="n">
        <f aca="false">F91</f>
        <v>363008.769943062</v>
      </c>
      <c r="D92" s="10" t="n">
        <f aca="false">IF(AND(A92&lt;=Inputs!$B$9*12,C92&gt;0.000001),C92*Inputs!$B$10/12,0)</f>
        <v>2202.25320432124</v>
      </c>
      <c r="E92" s="10" t="n">
        <f aca="false">IF(AND(A92&lt;=Inputs!$B$9*12,C92&gt;0.000001),MIN(C92,Inputs!$B$41-D92),0)</f>
        <v>534.595924659463</v>
      </c>
      <c r="F92" s="10" t="n">
        <f aca="false">C92-E92</f>
        <v>362474.174018403</v>
      </c>
      <c r="G92" s="10" t="n">
        <f aca="false">IF(AND(Inputs!$B$43=1,C92&gt;0.78*Inputs!$B$7,A92&lt;=Inputs!$B$9*6),Inputs!$B$16*Inputs!$B$39/12,0)</f>
        <v>0</v>
      </c>
      <c r="H92" s="10" t="n">
        <f aca="false">IF(B92=1,Inputs!$B$7,INDEX(Annual!$AC$2:$AC$51,B92-1))</f>
        <v>657965.88961792</v>
      </c>
      <c r="I92" s="10" t="n">
        <f aca="false">Inputs!$B$12*IF(Inputs!$B$35="",H92,MIN(H92,Inputs!$B$7*(1+Inputs!$B$35)^(B92-1)))/12</f>
        <v>493.47441721344</v>
      </c>
      <c r="J92" s="10" t="n">
        <f aca="false">Inputs!$B$13*Inputs!$B$7*(1+Inputs!$B$22)^(B92-1)/12</f>
        <v>252.761291200928</v>
      </c>
      <c r="K92" s="10" t="n">
        <f aca="false">Inputs!$B$14*Inputs!$B$7*(1+Inputs!$B$22)^(B92-1)/12</f>
        <v>505.522582401856</v>
      </c>
      <c r="L92" s="10" t="n">
        <f aca="false">Inputs!$B$15*(1+Inputs!$B$22)^(B92-1)</f>
        <v>0</v>
      </c>
      <c r="M92" s="10" t="n">
        <f aca="false">INDEX(Annual!$N$2:$N$51,B92)/12</f>
        <v>0</v>
      </c>
      <c r="N92" s="10" t="n">
        <f aca="false">D92+E92+G92+I92+J92+K92+L92-M92</f>
        <v>3988.60741979693</v>
      </c>
      <c r="O92" s="10" t="n">
        <f aca="false">Inputs!$B$17*(1+Inputs!$B$18)^(B92-1)+Inputs!$B$19*(1+Inputs!$B$22)^(B92-1)</f>
        <v>3198.8969698829</v>
      </c>
      <c r="P92" s="10" t="n">
        <f aca="false">N92-O92</f>
        <v>789.71044991403</v>
      </c>
      <c r="Q92" s="10" t="n">
        <f aca="false">Q91*(1+Inputs!$B$42)-U92+MAX(P92,0)</f>
        <v>308661.474079184</v>
      </c>
      <c r="R92" s="10" t="n">
        <f aca="false">R91+Q91*Inputs!$B$48-U92+MAX(P92,0)</f>
        <v>220357.392161418</v>
      </c>
      <c r="S92" s="10" t="n">
        <f aca="false">S91*(1+Inputs!$B$42)-V92+MAX(-P92,0)</f>
        <v>0</v>
      </c>
      <c r="T92" s="10" t="n">
        <f aca="false">T91+S91*Inputs!$B$48-V92+MAX(-P92,0)</f>
        <v>0</v>
      </c>
      <c r="U92" s="10" t="n">
        <f aca="false">Q91*Inputs!$B$48*Inputs!$B$29</f>
        <v>42.1001160877996</v>
      </c>
      <c r="V92" s="10" t="n">
        <f aca="false">S91*Inputs!$B$48*Inputs!$B$29</f>
        <v>0</v>
      </c>
    </row>
    <row r="93" customFormat="false" ht="15" hidden="false" customHeight="false" outlineLevel="0" collapsed="false">
      <c r="A93" s="16" t="n">
        <v>92</v>
      </c>
      <c r="B93" s="16" t="n">
        <f aca="false">ROUNDUP(A93/12,0)</f>
        <v>8</v>
      </c>
      <c r="C93" s="10" t="n">
        <f aca="false">F92</f>
        <v>362474.174018403</v>
      </c>
      <c r="D93" s="10" t="n">
        <f aca="false">IF(AND(A93&lt;=Inputs!$B$9*12,C93&gt;0.000001),C93*Inputs!$B$10/12,0)</f>
        <v>2199.00998904498</v>
      </c>
      <c r="E93" s="10" t="n">
        <f aca="false">IF(AND(A93&lt;=Inputs!$B$9*12,C93&gt;0.000001),MIN(C93,Inputs!$B$41-D93),0)</f>
        <v>537.83913993573</v>
      </c>
      <c r="F93" s="10" t="n">
        <f aca="false">C93-E93</f>
        <v>361936.334878467</v>
      </c>
      <c r="G93" s="10" t="n">
        <f aca="false">IF(AND(Inputs!$B$43=1,C93&gt;0.78*Inputs!$B$7,A93&lt;=Inputs!$B$9*6),Inputs!$B$16*Inputs!$B$39/12,0)</f>
        <v>0</v>
      </c>
      <c r="H93" s="10" t="n">
        <f aca="false">IF(B93=1,Inputs!$B$7,INDEX(Annual!$AC$2:$AC$51,B93-1))</f>
        <v>657965.88961792</v>
      </c>
      <c r="I93" s="10" t="n">
        <f aca="false">Inputs!$B$12*IF(Inputs!$B$35="",H93,MIN(H93,Inputs!$B$7*(1+Inputs!$B$35)^(B93-1)))/12</f>
        <v>493.47441721344</v>
      </c>
      <c r="J93" s="10" t="n">
        <f aca="false">Inputs!$B$13*Inputs!$B$7*(1+Inputs!$B$22)^(B93-1)/12</f>
        <v>252.761291200928</v>
      </c>
      <c r="K93" s="10" t="n">
        <f aca="false">Inputs!$B$14*Inputs!$B$7*(1+Inputs!$B$22)^(B93-1)/12</f>
        <v>505.522582401856</v>
      </c>
      <c r="L93" s="10" t="n">
        <f aca="false">Inputs!$B$15*(1+Inputs!$B$22)^(B93-1)</f>
        <v>0</v>
      </c>
      <c r="M93" s="10" t="n">
        <f aca="false">INDEX(Annual!$N$2:$N$51,B93)/12</f>
        <v>0</v>
      </c>
      <c r="N93" s="10" t="n">
        <f aca="false">D93+E93+G93+I93+J93+K93+L93-M93</f>
        <v>3988.60741979693</v>
      </c>
      <c r="O93" s="10" t="n">
        <f aca="false">Inputs!$B$17*(1+Inputs!$B$18)^(B93-1)+Inputs!$B$19*(1+Inputs!$B$22)^(B93-1)</f>
        <v>3198.8969698829</v>
      </c>
      <c r="P93" s="10" t="n">
        <f aca="false">N93-O93</f>
        <v>789.71044991403</v>
      </c>
      <c r="Q93" s="10" t="n">
        <f aca="false">Q92*(1+Inputs!$B$42)-U93+MAX(P93,0)</f>
        <v>311153.960426347</v>
      </c>
      <c r="R93" s="10" t="n">
        <f aca="false">R92+Q92*Inputs!$B$48-U93+MAX(P93,0)</f>
        <v>221387.601343219</v>
      </c>
      <c r="S93" s="10" t="n">
        <f aca="false">S92*(1+Inputs!$B$42)-V93+MAX(-P93,0)</f>
        <v>0</v>
      </c>
      <c r="T93" s="10" t="n">
        <f aca="false">T92+S92*Inputs!$B$48-V93+MAX(-P93,0)</f>
        <v>0</v>
      </c>
      <c r="U93" s="10" t="n">
        <f aca="false">Q92*Inputs!$B$48*Inputs!$B$29</f>
        <v>42.4409526858878</v>
      </c>
      <c r="V93" s="10" t="n">
        <f aca="false">S92*Inputs!$B$48*Inputs!$B$29</f>
        <v>0</v>
      </c>
    </row>
    <row r="94" customFormat="false" ht="15" hidden="false" customHeight="false" outlineLevel="0" collapsed="false">
      <c r="A94" s="16" t="n">
        <v>93</v>
      </c>
      <c r="B94" s="16" t="n">
        <f aca="false">ROUNDUP(A94/12,0)</f>
        <v>8</v>
      </c>
      <c r="C94" s="10" t="n">
        <f aca="false">F93</f>
        <v>361936.334878467</v>
      </c>
      <c r="D94" s="10" t="n">
        <f aca="false">IF(AND(A94&lt;=Inputs!$B$9*12,C94&gt;0.000001),C94*Inputs!$B$10/12,0)</f>
        <v>2195.7470982627</v>
      </c>
      <c r="E94" s="10" t="n">
        <f aca="false">IF(AND(A94&lt;=Inputs!$B$9*12,C94&gt;0.000001),MIN(C94,Inputs!$B$41-D94),0)</f>
        <v>541.102030718007</v>
      </c>
      <c r="F94" s="10" t="n">
        <f aca="false">C94-E94</f>
        <v>361395.232847749</v>
      </c>
      <c r="G94" s="10" t="n">
        <f aca="false">IF(AND(Inputs!$B$43=1,C94&gt;0.78*Inputs!$B$7,A94&lt;=Inputs!$B$9*6),Inputs!$B$16*Inputs!$B$39/12,0)</f>
        <v>0</v>
      </c>
      <c r="H94" s="10" t="n">
        <f aca="false">IF(B94=1,Inputs!$B$7,INDEX(Annual!$AC$2:$AC$51,B94-1))</f>
        <v>657965.88961792</v>
      </c>
      <c r="I94" s="10" t="n">
        <f aca="false">Inputs!$B$12*IF(Inputs!$B$35="",H94,MIN(H94,Inputs!$B$7*(1+Inputs!$B$35)^(B94-1)))/12</f>
        <v>493.47441721344</v>
      </c>
      <c r="J94" s="10" t="n">
        <f aca="false">Inputs!$B$13*Inputs!$B$7*(1+Inputs!$B$22)^(B94-1)/12</f>
        <v>252.761291200928</v>
      </c>
      <c r="K94" s="10" t="n">
        <f aca="false">Inputs!$B$14*Inputs!$B$7*(1+Inputs!$B$22)^(B94-1)/12</f>
        <v>505.522582401856</v>
      </c>
      <c r="L94" s="10" t="n">
        <f aca="false">Inputs!$B$15*(1+Inputs!$B$22)^(B94-1)</f>
        <v>0</v>
      </c>
      <c r="M94" s="10" t="n">
        <f aca="false">INDEX(Annual!$N$2:$N$51,B94)/12</f>
        <v>0</v>
      </c>
      <c r="N94" s="10" t="n">
        <f aca="false">D94+E94+G94+I94+J94+K94+L94-M94</f>
        <v>3988.60741979693</v>
      </c>
      <c r="O94" s="10" t="n">
        <f aca="false">Inputs!$B$17*(1+Inputs!$B$18)^(B94-1)+Inputs!$B$19*(1+Inputs!$B$22)^(B94-1)</f>
        <v>3198.8969698829</v>
      </c>
      <c r="P94" s="10" t="n">
        <f aca="false">N94-O94</f>
        <v>789.71044991403</v>
      </c>
      <c r="Q94" s="10" t="n">
        <f aca="false">Q93*(1+Inputs!$B$42)-U94+MAX(P94,0)</f>
        <v>313660.19693682</v>
      </c>
      <c r="R94" s="10" t="n">
        <f aca="false">R93+Q93*Inputs!$B$48-U94+MAX(P94,0)</f>
        <v>222419.752587298</v>
      </c>
      <c r="S94" s="10" t="n">
        <f aca="false">S93*(1+Inputs!$B$42)-V94+MAX(-P94,0)</f>
        <v>0</v>
      </c>
      <c r="T94" s="10" t="n">
        <f aca="false">T93+S93*Inputs!$B$48-V94+MAX(-P94,0)</f>
        <v>0</v>
      </c>
      <c r="U94" s="10" t="n">
        <f aca="false">Q93*Inputs!$B$48*Inputs!$B$29</f>
        <v>42.7836695586227</v>
      </c>
      <c r="V94" s="10" t="n">
        <f aca="false">S93*Inputs!$B$48*Inputs!$B$29</f>
        <v>0</v>
      </c>
    </row>
    <row r="95" customFormat="false" ht="15" hidden="false" customHeight="false" outlineLevel="0" collapsed="false">
      <c r="A95" s="16" t="n">
        <v>94</v>
      </c>
      <c r="B95" s="16" t="n">
        <f aca="false">ROUNDUP(A95/12,0)</f>
        <v>8</v>
      </c>
      <c r="C95" s="10" t="n">
        <f aca="false">F94</f>
        <v>361395.232847749</v>
      </c>
      <c r="D95" s="10" t="n">
        <f aca="false">IF(AND(A95&lt;=Inputs!$B$9*12,C95&gt;0.000001),C95*Inputs!$B$10/12,0)</f>
        <v>2192.46441260968</v>
      </c>
      <c r="E95" s="10" t="n">
        <f aca="false">IF(AND(A95&lt;=Inputs!$B$9*12,C95&gt;0.000001),MIN(C95,Inputs!$B$41-D95),0)</f>
        <v>544.38471637103</v>
      </c>
      <c r="F95" s="10" t="n">
        <f aca="false">C95-E95</f>
        <v>360850.848131378</v>
      </c>
      <c r="G95" s="10" t="n">
        <f aca="false">IF(AND(Inputs!$B$43=1,C95&gt;0.78*Inputs!$B$7,A95&lt;=Inputs!$B$9*6),Inputs!$B$16*Inputs!$B$39/12,0)</f>
        <v>0</v>
      </c>
      <c r="H95" s="10" t="n">
        <f aca="false">IF(B95=1,Inputs!$B$7,INDEX(Annual!$AC$2:$AC$51,B95-1))</f>
        <v>657965.88961792</v>
      </c>
      <c r="I95" s="10" t="n">
        <f aca="false">Inputs!$B$12*IF(Inputs!$B$35="",H95,MIN(H95,Inputs!$B$7*(1+Inputs!$B$35)^(B95-1)))/12</f>
        <v>493.47441721344</v>
      </c>
      <c r="J95" s="10" t="n">
        <f aca="false">Inputs!$B$13*Inputs!$B$7*(1+Inputs!$B$22)^(B95-1)/12</f>
        <v>252.761291200928</v>
      </c>
      <c r="K95" s="10" t="n">
        <f aca="false">Inputs!$B$14*Inputs!$B$7*(1+Inputs!$B$22)^(B95-1)/12</f>
        <v>505.522582401856</v>
      </c>
      <c r="L95" s="10" t="n">
        <f aca="false">Inputs!$B$15*(1+Inputs!$B$22)^(B95-1)</f>
        <v>0</v>
      </c>
      <c r="M95" s="10" t="n">
        <f aca="false">INDEX(Annual!$N$2:$N$51,B95)/12</f>
        <v>0</v>
      </c>
      <c r="N95" s="10" t="n">
        <f aca="false">D95+E95+G95+I95+J95+K95+L95-M95</f>
        <v>3988.60741979693</v>
      </c>
      <c r="O95" s="10" t="n">
        <f aca="false">Inputs!$B$17*(1+Inputs!$B$18)^(B95-1)+Inputs!$B$19*(1+Inputs!$B$22)^(B95-1)</f>
        <v>3198.8969698829</v>
      </c>
      <c r="P95" s="10" t="n">
        <f aca="false">N95-O95</f>
        <v>789.71044991403</v>
      </c>
      <c r="Q95" s="10" t="n">
        <f aca="false">Q94*(1+Inputs!$B$42)-U95+MAX(P95,0)</f>
        <v>316180.259465378</v>
      </c>
      <c r="R95" s="10" t="n">
        <f aca="false">R94+Q94*Inputs!$B$48-U95+MAX(P95,0)</f>
        <v>223453.856607326</v>
      </c>
      <c r="S95" s="10" t="n">
        <f aca="false">S94*(1+Inputs!$B$42)-V95+MAX(-P95,0)</f>
        <v>0</v>
      </c>
      <c r="T95" s="10" t="n">
        <f aca="false">T94+S94*Inputs!$B$48-V95+MAX(-P95,0)</f>
        <v>0</v>
      </c>
      <c r="U95" s="10" t="n">
        <f aca="false">Q94*Inputs!$B$48*Inputs!$B$29</f>
        <v>43.1282770788127</v>
      </c>
      <c r="V95" s="10" t="n">
        <f aca="false">S94*Inputs!$B$48*Inputs!$B$29</f>
        <v>0</v>
      </c>
    </row>
    <row r="96" customFormat="false" ht="15" hidden="false" customHeight="false" outlineLevel="0" collapsed="false">
      <c r="A96" s="16" t="n">
        <v>95</v>
      </c>
      <c r="B96" s="16" t="n">
        <f aca="false">ROUNDUP(A96/12,0)</f>
        <v>8</v>
      </c>
      <c r="C96" s="10" t="n">
        <f aca="false">F95</f>
        <v>360850.848131378</v>
      </c>
      <c r="D96" s="10" t="n">
        <f aca="false">IF(AND(A96&lt;=Inputs!$B$9*12,C96&gt;0.000001),C96*Inputs!$B$10/12,0)</f>
        <v>2189.16181199703</v>
      </c>
      <c r="E96" s="10" t="n">
        <f aca="false">IF(AND(A96&lt;=Inputs!$B$9*12,C96&gt;0.000001),MIN(C96,Inputs!$B$41-D96),0)</f>
        <v>547.68731698368</v>
      </c>
      <c r="F96" s="10" t="n">
        <f aca="false">C96-E96</f>
        <v>360303.160814394</v>
      </c>
      <c r="G96" s="10" t="n">
        <f aca="false">IF(AND(Inputs!$B$43=1,C96&gt;0.78*Inputs!$B$7,A96&lt;=Inputs!$B$9*6),Inputs!$B$16*Inputs!$B$39/12,0)</f>
        <v>0</v>
      </c>
      <c r="H96" s="10" t="n">
        <f aca="false">IF(B96=1,Inputs!$B$7,INDEX(Annual!$AC$2:$AC$51,B96-1))</f>
        <v>657965.88961792</v>
      </c>
      <c r="I96" s="10" t="n">
        <f aca="false">Inputs!$B$12*IF(Inputs!$B$35="",H96,MIN(H96,Inputs!$B$7*(1+Inputs!$B$35)^(B96-1)))/12</f>
        <v>493.47441721344</v>
      </c>
      <c r="J96" s="10" t="n">
        <f aca="false">Inputs!$B$13*Inputs!$B$7*(1+Inputs!$B$22)^(B96-1)/12</f>
        <v>252.761291200928</v>
      </c>
      <c r="K96" s="10" t="n">
        <f aca="false">Inputs!$B$14*Inputs!$B$7*(1+Inputs!$B$22)^(B96-1)/12</f>
        <v>505.522582401856</v>
      </c>
      <c r="L96" s="10" t="n">
        <f aca="false">Inputs!$B$15*(1+Inputs!$B$22)^(B96-1)</f>
        <v>0</v>
      </c>
      <c r="M96" s="10" t="n">
        <f aca="false">INDEX(Annual!$N$2:$N$51,B96)/12</f>
        <v>0</v>
      </c>
      <c r="N96" s="10" t="n">
        <f aca="false">D96+E96+G96+I96+J96+K96+L96-M96</f>
        <v>3988.60741979693</v>
      </c>
      <c r="O96" s="10" t="n">
        <f aca="false">Inputs!$B$17*(1+Inputs!$B$18)^(B96-1)+Inputs!$B$19*(1+Inputs!$B$22)^(B96-1)</f>
        <v>3198.8969698829</v>
      </c>
      <c r="P96" s="10" t="n">
        <f aca="false">N96-O96</f>
        <v>789.71044991403</v>
      </c>
      <c r="Q96" s="10" t="n">
        <f aca="false">Q95*(1+Inputs!$B$42)-U96+MAX(P96,0)</f>
        <v>318714.22428526</v>
      </c>
      <c r="R96" s="10" t="n">
        <f aca="false">R95+Q95*Inputs!$B$48-U96+MAX(P96,0)</f>
        <v>224489.924176073</v>
      </c>
      <c r="S96" s="10" t="n">
        <f aca="false">S95*(1+Inputs!$B$42)-V96+MAX(-P96,0)</f>
        <v>0</v>
      </c>
      <c r="T96" s="10" t="n">
        <f aca="false">T95+S95*Inputs!$B$48-V96+MAX(-P96,0)</f>
        <v>0</v>
      </c>
      <c r="U96" s="10" t="n">
        <f aca="false">Q95*Inputs!$B$48*Inputs!$B$29</f>
        <v>43.4747856764895</v>
      </c>
      <c r="V96" s="10" t="n">
        <f aca="false">S95*Inputs!$B$48*Inputs!$B$29</f>
        <v>0</v>
      </c>
    </row>
    <row r="97" customFormat="false" ht="15" hidden="false" customHeight="false" outlineLevel="0" collapsed="false">
      <c r="A97" s="16" t="n">
        <v>96</v>
      </c>
      <c r="B97" s="16" t="n">
        <f aca="false">ROUNDUP(A97/12,0)</f>
        <v>8</v>
      </c>
      <c r="C97" s="10" t="n">
        <f aca="false">F96</f>
        <v>360303.160814394</v>
      </c>
      <c r="D97" s="10" t="n">
        <f aca="false">IF(AND(A97&lt;=Inputs!$B$9*12,C97&gt;0.000001),C97*Inputs!$B$10/12,0)</f>
        <v>2185.83917560732</v>
      </c>
      <c r="E97" s="10" t="n">
        <f aca="false">IF(AND(A97&lt;=Inputs!$B$9*12,C97&gt;0.000001),MIN(C97,Inputs!$B$41-D97),0)</f>
        <v>551.009953373381</v>
      </c>
      <c r="F97" s="10" t="n">
        <f aca="false">C97-E97</f>
        <v>359752.150861021</v>
      </c>
      <c r="G97" s="10" t="n">
        <f aca="false">IF(AND(Inputs!$B$43=1,C97&gt;0.78*Inputs!$B$7,A97&lt;=Inputs!$B$9*6),Inputs!$B$16*Inputs!$B$39/12,0)</f>
        <v>0</v>
      </c>
      <c r="H97" s="10" t="n">
        <f aca="false">IF(B97=1,Inputs!$B$7,INDEX(Annual!$AC$2:$AC$51,B97-1))</f>
        <v>657965.88961792</v>
      </c>
      <c r="I97" s="10" t="n">
        <f aca="false">Inputs!$B$12*IF(Inputs!$B$35="",H97,MIN(H97,Inputs!$B$7*(1+Inputs!$B$35)^(B97-1)))/12</f>
        <v>493.47441721344</v>
      </c>
      <c r="J97" s="10" t="n">
        <f aca="false">Inputs!$B$13*Inputs!$B$7*(1+Inputs!$B$22)^(B97-1)/12</f>
        <v>252.761291200928</v>
      </c>
      <c r="K97" s="10" t="n">
        <f aca="false">Inputs!$B$14*Inputs!$B$7*(1+Inputs!$B$22)^(B97-1)/12</f>
        <v>505.522582401856</v>
      </c>
      <c r="L97" s="10" t="n">
        <f aca="false">Inputs!$B$15*(1+Inputs!$B$22)^(B97-1)</f>
        <v>0</v>
      </c>
      <c r="M97" s="10" t="n">
        <f aca="false">INDEX(Annual!$N$2:$N$51,B97)/12</f>
        <v>0</v>
      </c>
      <c r="N97" s="10" t="n">
        <f aca="false">D97+E97+G97+I97+J97+K97+L97-M97</f>
        <v>3988.60741979693</v>
      </c>
      <c r="O97" s="10" t="n">
        <f aca="false">Inputs!$B$17*(1+Inputs!$B$18)^(B97-1)+Inputs!$B$19*(1+Inputs!$B$22)^(B97-1)</f>
        <v>3198.8969698829</v>
      </c>
      <c r="P97" s="10" t="n">
        <f aca="false">N97-O97</f>
        <v>789.71044991403</v>
      </c>
      <c r="Q97" s="10" t="n">
        <f aca="false">Q96*(1+Inputs!$B$42)-U97+MAX(P97,0)</f>
        <v>321262.168090478</v>
      </c>
      <c r="R97" s="10" t="n">
        <f aca="false">R96+Q96*Inputs!$B$48-U97+MAX(P97,0)</f>
        <v>225527.966125743</v>
      </c>
      <c r="S97" s="10" t="n">
        <f aca="false">S96*(1+Inputs!$B$42)-V97+MAX(-P97,0)</f>
        <v>0</v>
      </c>
      <c r="T97" s="10" t="n">
        <f aca="false">T96+S96*Inputs!$B$48-V97+MAX(-P97,0)</f>
        <v>0</v>
      </c>
      <c r="U97" s="10" t="n">
        <f aca="false">Q96*Inputs!$B$48*Inputs!$B$29</f>
        <v>43.8232058392233</v>
      </c>
      <c r="V97" s="10" t="n">
        <f aca="false">S96*Inputs!$B$48*Inputs!$B$29</f>
        <v>0</v>
      </c>
    </row>
    <row r="98" customFormat="false" ht="15" hidden="false" customHeight="false" outlineLevel="0" collapsed="false">
      <c r="A98" s="16" t="n">
        <v>97</v>
      </c>
      <c r="B98" s="16" t="n">
        <f aca="false">ROUNDUP(A98/12,0)</f>
        <v>9</v>
      </c>
      <c r="C98" s="10" t="n">
        <f aca="false">F97</f>
        <v>359752.150861021</v>
      </c>
      <c r="D98" s="10" t="n">
        <f aca="false">IF(AND(A98&lt;=Inputs!$B$9*12,C98&gt;0.000001),C98*Inputs!$B$10/12,0)</f>
        <v>2182.49638189019</v>
      </c>
      <c r="E98" s="10" t="n">
        <f aca="false">IF(AND(A98&lt;=Inputs!$B$9*12,C98&gt;0.000001),MIN(C98,Inputs!$B$41-D98),0)</f>
        <v>554.352747090514</v>
      </c>
      <c r="F98" s="10" t="n">
        <f aca="false">C98-E98</f>
        <v>359197.79811393</v>
      </c>
      <c r="G98" s="10" t="n">
        <f aca="false">IF(AND(Inputs!$B$43=1,C98&gt;0.78*Inputs!$B$7,A98&lt;=Inputs!$B$9*6),Inputs!$B$16*Inputs!$B$39/12,0)</f>
        <v>0</v>
      </c>
      <c r="H98" s="10" t="n">
        <f aca="false">IF(B98=1,Inputs!$B$7,INDEX(Annual!$AC$2:$AC$51,B98-1))</f>
        <v>684284.525202637</v>
      </c>
      <c r="I98" s="10" t="n">
        <f aca="false">Inputs!$B$12*IF(Inputs!$B$35="",H98,MIN(H98,Inputs!$B$7*(1+Inputs!$B$35)^(B98-1)))/12</f>
        <v>513.213393901978</v>
      </c>
      <c r="J98" s="10" t="n">
        <f aca="false">Inputs!$B$13*Inputs!$B$7*(1+Inputs!$B$22)^(B98-1)/12</f>
        <v>259.838607354554</v>
      </c>
      <c r="K98" s="10" t="n">
        <f aca="false">Inputs!$B$14*Inputs!$B$7*(1+Inputs!$B$22)^(B98-1)/12</f>
        <v>519.677214709108</v>
      </c>
      <c r="L98" s="10" t="n">
        <f aca="false">Inputs!$B$15*(1+Inputs!$B$22)^(B98-1)</f>
        <v>0</v>
      </c>
      <c r="M98" s="10" t="n">
        <f aca="false">INDEX(Annual!$N$2:$N$51,B98)/12</f>
        <v>0</v>
      </c>
      <c r="N98" s="10" t="n">
        <f aca="false">D98+E98+G98+I98+J98+K98+L98-M98</f>
        <v>4029.57834494634</v>
      </c>
      <c r="O98" s="10" t="n">
        <f aca="false">Inputs!$B$17*(1+Inputs!$B$18)^(B98-1)+Inputs!$B$19*(1+Inputs!$B$22)^(B98-1)</f>
        <v>3310.73097213803</v>
      </c>
      <c r="P98" s="10" t="n">
        <f aca="false">N98-O98</f>
        <v>718.84737280831</v>
      </c>
      <c r="Q98" s="10" t="n">
        <f aca="false">Q97*(1+Inputs!$B$42)-U98+MAX(P98,0)</f>
        <v>323753.30492103</v>
      </c>
      <c r="R98" s="10" t="n">
        <f aca="false">R97+Q97*Inputs!$B$48-U98+MAX(P98,0)</f>
        <v>226497.130271188</v>
      </c>
      <c r="S98" s="10" t="n">
        <f aca="false">S97*(1+Inputs!$B$42)-V98+MAX(-P98,0)</f>
        <v>0</v>
      </c>
      <c r="T98" s="10" t="n">
        <f aca="false">T97+S97*Inputs!$B$48-V98+MAX(-P98,0)</f>
        <v>0</v>
      </c>
      <c r="U98" s="10" t="n">
        <f aca="false">Q97*Inputs!$B$48*Inputs!$B$29</f>
        <v>44.1735481124407</v>
      </c>
      <c r="V98" s="10" t="n">
        <f aca="false">S97*Inputs!$B$48*Inputs!$B$29</f>
        <v>0</v>
      </c>
    </row>
    <row r="99" customFormat="false" ht="15" hidden="false" customHeight="false" outlineLevel="0" collapsed="false">
      <c r="A99" s="16" t="n">
        <v>98</v>
      </c>
      <c r="B99" s="16" t="n">
        <f aca="false">ROUNDUP(A99/12,0)</f>
        <v>9</v>
      </c>
      <c r="C99" s="10" t="n">
        <f aca="false">F98</f>
        <v>359197.79811393</v>
      </c>
      <c r="D99" s="10" t="n">
        <f aca="false">IF(AND(A99&lt;=Inputs!$B$9*12,C99&gt;0.000001),C99*Inputs!$B$10/12,0)</f>
        <v>2179.13330855784</v>
      </c>
      <c r="E99" s="10" t="n">
        <f aca="false">IF(AND(A99&lt;=Inputs!$B$9*12,C99&gt;0.000001),MIN(C99,Inputs!$B$41-D99),0)</f>
        <v>557.715820422863</v>
      </c>
      <c r="F99" s="10" t="n">
        <f aca="false">C99-E99</f>
        <v>358640.082293507</v>
      </c>
      <c r="G99" s="10" t="n">
        <f aca="false">IF(AND(Inputs!$B$43=1,C99&gt;0.78*Inputs!$B$7,A99&lt;=Inputs!$B$9*6),Inputs!$B$16*Inputs!$B$39/12,0)</f>
        <v>0</v>
      </c>
      <c r="H99" s="10" t="n">
        <f aca="false">IF(B99=1,Inputs!$B$7,INDEX(Annual!$AC$2:$AC$51,B99-1))</f>
        <v>684284.525202637</v>
      </c>
      <c r="I99" s="10" t="n">
        <f aca="false">Inputs!$B$12*IF(Inputs!$B$35="",H99,MIN(H99,Inputs!$B$7*(1+Inputs!$B$35)^(B99-1)))/12</f>
        <v>513.213393901978</v>
      </c>
      <c r="J99" s="10" t="n">
        <f aca="false">Inputs!$B$13*Inputs!$B$7*(1+Inputs!$B$22)^(B99-1)/12</f>
        <v>259.838607354554</v>
      </c>
      <c r="K99" s="10" t="n">
        <f aca="false">Inputs!$B$14*Inputs!$B$7*(1+Inputs!$B$22)^(B99-1)/12</f>
        <v>519.677214709108</v>
      </c>
      <c r="L99" s="10" t="n">
        <f aca="false">Inputs!$B$15*(1+Inputs!$B$22)^(B99-1)</f>
        <v>0</v>
      </c>
      <c r="M99" s="10" t="n">
        <f aca="false">INDEX(Annual!$N$2:$N$51,B99)/12</f>
        <v>0</v>
      </c>
      <c r="N99" s="10" t="n">
        <f aca="false">D99+E99+G99+I99+J99+K99+L99-M99</f>
        <v>4029.57834494634</v>
      </c>
      <c r="O99" s="10" t="n">
        <f aca="false">Inputs!$B$17*(1+Inputs!$B$18)^(B99-1)+Inputs!$B$19*(1+Inputs!$B$22)^(B99-1)</f>
        <v>3310.73097213803</v>
      </c>
      <c r="P99" s="10" t="n">
        <f aca="false">N99-O99</f>
        <v>718.84737280831</v>
      </c>
      <c r="Q99" s="10" t="n">
        <f aca="false">Q98*(1+Inputs!$B$42)-U99+MAX(P99,0)</f>
        <v>326258.184470089</v>
      </c>
      <c r="R99" s="10" t="n">
        <f aca="false">R98+Q98*Inputs!$B$48-U99+MAX(P99,0)</f>
        <v>227468.235427414</v>
      </c>
      <c r="S99" s="10" t="n">
        <f aca="false">S98*(1+Inputs!$B$42)-V99+MAX(-P99,0)</f>
        <v>0</v>
      </c>
      <c r="T99" s="10" t="n">
        <f aca="false">T98+S98*Inputs!$B$48-V99+MAX(-P99,0)</f>
        <v>0</v>
      </c>
      <c r="U99" s="10" t="n">
        <f aca="false">Q98*Inputs!$B$48*Inputs!$B$29</f>
        <v>44.5160794266417</v>
      </c>
      <c r="V99" s="10" t="n">
        <f aca="false">S98*Inputs!$B$48*Inputs!$B$29</f>
        <v>0</v>
      </c>
    </row>
    <row r="100" customFormat="false" ht="15" hidden="false" customHeight="false" outlineLevel="0" collapsed="false">
      <c r="A100" s="16" t="n">
        <v>99</v>
      </c>
      <c r="B100" s="16" t="n">
        <f aca="false">ROUNDUP(A100/12,0)</f>
        <v>9</v>
      </c>
      <c r="C100" s="10" t="n">
        <f aca="false">F99</f>
        <v>358640.082293507</v>
      </c>
      <c r="D100" s="10" t="n">
        <f aca="false">IF(AND(A100&lt;=Inputs!$B$9*12,C100&gt;0.000001),C100*Inputs!$B$10/12,0)</f>
        <v>2175.74983258061</v>
      </c>
      <c r="E100" s="10" t="n">
        <f aca="false">IF(AND(A100&lt;=Inputs!$B$9*12,C100&gt;0.000001),MIN(C100,Inputs!$B$41-D100),0)</f>
        <v>561.099296400095</v>
      </c>
      <c r="F100" s="10" t="n">
        <f aca="false">C100-E100</f>
        <v>358078.982997107</v>
      </c>
      <c r="G100" s="10" t="n">
        <f aca="false">IF(AND(Inputs!$B$43=1,C100&gt;0.78*Inputs!$B$7,A100&lt;=Inputs!$B$9*6),Inputs!$B$16*Inputs!$B$39/12,0)</f>
        <v>0</v>
      </c>
      <c r="H100" s="10" t="n">
        <f aca="false">IF(B100=1,Inputs!$B$7,INDEX(Annual!$AC$2:$AC$51,B100-1))</f>
        <v>684284.525202637</v>
      </c>
      <c r="I100" s="10" t="n">
        <f aca="false">Inputs!$B$12*IF(Inputs!$B$35="",H100,MIN(H100,Inputs!$B$7*(1+Inputs!$B$35)^(B100-1)))/12</f>
        <v>513.213393901978</v>
      </c>
      <c r="J100" s="10" t="n">
        <f aca="false">Inputs!$B$13*Inputs!$B$7*(1+Inputs!$B$22)^(B100-1)/12</f>
        <v>259.838607354554</v>
      </c>
      <c r="K100" s="10" t="n">
        <f aca="false">Inputs!$B$14*Inputs!$B$7*(1+Inputs!$B$22)^(B100-1)/12</f>
        <v>519.677214709108</v>
      </c>
      <c r="L100" s="10" t="n">
        <f aca="false">Inputs!$B$15*(1+Inputs!$B$22)^(B100-1)</f>
        <v>0</v>
      </c>
      <c r="M100" s="10" t="n">
        <f aca="false">INDEX(Annual!$N$2:$N$51,B100)/12</f>
        <v>0</v>
      </c>
      <c r="N100" s="10" t="n">
        <f aca="false">D100+E100+G100+I100+J100+K100+L100-M100</f>
        <v>4029.57834494634</v>
      </c>
      <c r="O100" s="10" t="n">
        <f aca="false">Inputs!$B$17*(1+Inputs!$B$18)^(B100-1)+Inputs!$B$19*(1+Inputs!$B$22)^(B100-1)</f>
        <v>3310.73097213803</v>
      </c>
      <c r="P100" s="10" t="n">
        <f aca="false">N100-O100</f>
        <v>718.84737280831</v>
      </c>
      <c r="Q100" s="10" t="n">
        <f aca="false">Q99*(1+Inputs!$B$42)-U100+MAX(P100,0)</f>
        <v>328776.882551357</v>
      </c>
      <c r="R100" s="10" t="n">
        <f aca="false">R99+Q99*Inputs!$B$48-U100+MAX(P100,0)</f>
        <v>228441.292302289</v>
      </c>
      <c r="S100" s="10" t="n">
        <f aca="false">S99*(1+Inputs!$B$42)-V100+MAX(-P100,0)</f>
        <v>0</v>
      </c>
      <c r="T100" s="10" t="n">
        <f aca="false">T99+S99*Inputs!$B$48-V100+MAX(-P100,0)</f>
        <v>0</v>
      </c>
      <c r="U100" s="10" t="n">
        <f aca="false">Q99*Inputs!$B$48*Inputs!$B$29</f>
        <v>44.8605003646372</v>
      </c>
      <c r="V100" s="10" t="n">
        <f aca="false">S99*Inputs!$B$48*Inputs!$B$29</f>
        <v>0</v>
      </c>
    </row>
    <row r="101" customFormat="false" ht="15" hidden="false" customHeight="false" outlineLevel="0" collapsed="false">
      <c r="A101" s="16" t="n">
        <v>100</v>
      </c>
      <c r="B101" s="16" t="n">
        <f aca="false">ROUNDUP(A101/12,0)</f>
        <v>9</v>
      </c>
      <c r="C101" s="10" t="n">
        <f aca="false">F100</f>
        <v>358078.982997107</v>
      </c>
      <c r="D101" s="10" t="n">
        <f aca="false">IF(AND(A101&lt;=Inputs!$B$9*12,C101&gt;0.000001),C101*Inputs!$B$10/12,0)</f>
        <v>2172.34583018245</v>
      </c>
      <c r="E101" s="10" t="n">
        <f aca="false">IF(AND(A101&lt;=Inputs!$B$9*12,C101&gt;0.000001),MIN(C101,Inputs!$B$41-D101),0)</f>
        <v>564.503298798255</v>
      </c>
      <c r="F101" s="10" t="n">
        <f aca="false">C101-E101</f>
        <v>357514.479698309</v>
      </c>
      <c r="G101" s="10" t="n">
        <f aca="false">IF(AND(Inputs!$B$43=1,C101&gt;0.78*Inputs!$B$7,A101&lt;=Inputs!$B$9*6),Inputs!$B$16*Inputs!$B$39/12,0)</f>
        <v>0</v>
      </c>
      <c r="H101" s="10" t="n">
        <f aca="false">IF(B101=1,Inputs!$B$7,INDEX(Annual!$AC$2:$AC$51,B101-1))</f>
        <v>684284.525202637</v>
      </c>
      <c r="I101" s="10" t="n">
        <f aca="false">Inputs!$B$12*IF(Inputs!$B$35="",H101,MIN(H101,Inputs!$B$7*(1+Inputs!$B$35)^(B101-1)))/12</f>
        <v>513.213393901978</v>
      </c>
      <c r="J101" s="10" t="n">
        <f aca="false">Inputs!$B$13*Inputs!$B$7*(1+Inputs!$B$22)^(B101-1)/12</f>
        <v>259.838607354554</v>
      </c>
      <c r="K101" s="10" t="n">
        <f aca="false">Inputs!$B$14*Inputs!$B$7*(1+Inputs!$B$22)^(B101-1)/12</f>
        <v>519.677214709108</v>
      </c>
      <c r="L101" s="10" t="n">
        <f aca="false">Inputs!$B$15*(1+Inputs!$B$22)^(B101-1)</f>
        <v>0</v>
      </c>
      <c r="M101" s="10" t="n">
        <f aca="false">INDEX(Annual!$N$2:$N$51,B101)/12</f>
        <v>0</v>
      </c>
      <c r="N101" s="10" t="n">
        <f aca="false">D101+E101+G101+I101+J101+K101+L101-M101</f>
        <v>4029.57834494634</v>
      </c>
      <c r="O101" s="10" t="n">
        <f aca="false">Inputs!$B$17*(1+Inputs!$B$18)^(B101-1)+Inputs!$B$19*(1+Inputs!$B$22)^(B101-1)</f>
        <v>3310.73097213803</v>
      </c>
      <c r="P101" s="10" t="n">
        <f aca="false">N101-O101</f>
        <v>718.84737280831</v>
      </c>
      <c r="Q101" s="10" t="n">
        <f aca="false">Q100*(1+Inputs!$B$42)-U101+MAX(P101,0)</f>
        <v>331309.475396778</v>
      </c>
      <c r="R101" s="10" t="n">
        <f aca="false">R100+Q100*Inputs!$B$48-U101+MAX(P101,0)</f>
        <v>229416.311662752</v>
      </c>
      <c r="S101" s="10" t="n">
        <f aca="false">S100*(1+Inputs!$B$42)-V101+MAX(-P101,0)</f>
        <v>0</v>
      </c>
      <c r="T101" s="10" t="n">
        <f aca="false">T100+S100*Inputs!$B$48-V101+MAX(-P101,0)</f>
        <v>0</v>
      </c>
      <c r="U101" s="10" t="n">
        <f aca="false">Q100*Inputs!$B$48*Inputs!$B$29</f>
        <v>45.2068213508116</v>
      </c>
      <c r="V101" s="10" t="n">
        <f aca="false">S100*Inputs!$B$48*Inputs!$B$29</f>
        <v>0</v>
      </c>
    </row>
    <row r="102" customFormat="false" ht="15" hidden="false" customHeight="false" outlineLevel="0" collapsed="false">
      <c r="A102" s="16" t="n">
        <v>101</v>
      </c>
      <c r="B102" s="16" t="n">
        <f aca="false">ROUNDUP(A102/12,0)</f>
        <v>9</v>
      </c>
      <c r="C102" s="10" t="n">
        <f aca="false">F101</f>
        <v>357514.479698309</v>
      </c>
      <c r="D102" s="10" t="n">
        <f aca="false">IF(AND(A102&lt;=Inputs!$B$9*12,C102&gt;0.000001),C102*Inputs!$B$10/12,0)</f>
        <v>2168.92117683641</v>
      </c>
      <c r="E102" s="10" t="n">
        <f aca="false">IF(AND(A102&lt;=Inputs!$B$9*12,C102&gt;0.000001),MIN(C102,Inputs!$B$41-D102),0)</f>
        <v>567.927952144298</v>
      </c>
      <c r="F102" s="10" t="n">
        <f aca="false">C102-E102</f>
        <v>356946.551746165</v>
      </c>
      <c r="G102" s="10" t="n">
        <f aca="false">IF(AND(Inputs!$B$43=1,C102&gt;0.78*Inputs!$B$7,A102&lt;=Inputs!$B$9*6),Inputs!$B$16*Inputs!$B$39/12,0)</f>
        <v>0</v>
      </c>
      <c r="H102" s="10" t="n">
        <f aca="false">IF(B102=1,Inputs!$B$7,INDEX(Annual!$AC$2:$AC$51,B102-1))</f>
        <v>684284.525202637</v>
      </c>
      <c r="I102" s="10" t="n">
        <f aca="false">Inputs!$B$12*IF(Inputs!$B$35="",H102,MIN(H102,Inputs!$B$7*(1+Inputs!$B$35)^(B102-1)))/12</f>
        <v>513.213393901978</v>
      </c>
      <c r="J102" s="10" t="n">
        <f aca="false">Inputs!$B$13*Inputs!$B$7*(1+Inputs!$B$22)^(B102-1)/12</f>
        <v>259.838607354554</v>
      </c>
      <c r="K102" s="10" t="n">
        <f aca="false">Inputs!$B$14*Inputs!$B$7*(1+Inputs!$B$22)^(B102-1)/12</f>
        <v>519.677214709108</v>
      </c>
      <c r="L102" s="10" t="n">
        <f aca="false">Inputs!$B$15*(1+Inputs!$B$22)^(B102-1)</f>
        <v>0</v>
      </c>
      <c r="M102" s="10" t="n">
        <f aca="false">INDEX(Annual!$N$2:$N$51,B102)/12</f>
        <v>0</v>
      </c>
      <c r="N102" s="10" t="n">
        <f aca="false">D102+E102+G102+I102+J102+K102+L102-M102</f>
        <v>4029.57834494634</v>
      </c>
      <c r="O102" s="10" t="n">
        <f aca="false">Inputs!$B$17*(1+Inputs!$B$18)^(B102-1)+Inputs!$B$19*(1+Inputs!$B$22)^(B102-1)</f>
        <v>3310.73097213803</v>
      </c>
      <c r="P102" s="10" t="n">
        <f aca="false">N102-O102</f>
        <v>718.84737280831</v>
      </c>
      <c r="Q102" s="10" t="n">
        <f aca="false">Q101*(1+Inputs!$B$42)-U102+MAX(P102,0)</f>
        <v>333856.039658837</v>
      </c>
      <c r="R102" s="10" t="n">
        <f aca="false">R101+Q101*Inputs!$B$48-U102+MAX(P102,0)</f>
        <v>230393.30433514</v>
      </c>
      <c r="S102" s="10" t="n">
        <f aca="false">S101*(1+Inputs!$B$42)-V102+MAX(-P102,0)</f>
        <v>0</v>
      </c>
      <c r="T102" s="10" t="n">
        <f aca="false">T101+S101*Inputs!$B$48-V102+MAX(-P102,0)</f>
        <v>0</v>
      </c>
      <c r="U102" s="10" t="n">
        <f aca="false">Q101*Inputs!$B$48*Inputs!$B$29</f>
        <v>45.555052867057</v>
      </c>
      <c r="V102" s="10" t="n">
        <f aca="false">S101*Inputs!$B$48*Inputs!$B$29</f>
        <v>0</v>
      </c>
    </row>
    <row r="103" customFormat="false" ht="15" hidden="false" customHeight="false" outlineLevel="0" collapsed="false">
      <c r="A103" s="16" t="n">
        <v>102</v>
      </c>
      <c r="B103" s="16" t="n">
        <f aca="false">ROUNDUP(A103/12,0)</f>
        <v>9</v>
      </c>
      <c r="C103" s="10" t="n">
        <f aca="false">F102</f>
        <v>356946.551746165</v>
      </c>
      <c r="D103" s="10" t="n">
        <f aca="false">IF(AND(A103&lt;=Inputs!$B$9*12,C103&gt;0.000001),C103*Inputs!$B$10/12,0)</f>
        <v>2165.47574726007</v>
      </c>
      <c r="E103" s="10" t="n">
        <f aca="false">IF(AND(A103&lt;=Inputs!$B$9*12,C103&gt;0.000001),MIN(C103,Inputs!$B$41-D103),0)</f>
        <v>571.37338172064</v>
      </c>
      <c r="F103" s="10" t="n">
        <f aca="false">C103-E103</f>
        <v>356375.178364444</v>
      </c>
      <c r="G103" s="10" t="n">
        <f aca="false">IF(AND(Inputs!$B$43=1,C103&gt;0.78*Inputs!$B$7,A103&lt;=Inputs!$B$9*6),Inputs!$B$16*Inputs!$B$39/12,0)</f>
        <v>0</v>
      </c>
      <c r="H103" s="10" t="n">
        <f aca="false">IF(B103=1,Inputs!$B$7,INDEX(Annual!$AC$2:$AC$51,B103-1))</f>
        <v>684284.525202637</v>
      </c>
      <c r="I103" s="10" t="n">
        <f aca="false">Inputs!$B$12*IF(Inputs!$B$35="",H103,MIN(H103,Inputs!$B$7*(1+Inputs!$B$35)^(B103-1)))/12</f>
        <v>513.213393901978</v>
      </c>
      <c r="J103" s="10" t="n">
        <f aca="false">Inputs!$B$13*Inputs!$B$7*(1+Inputs!$B$22)^(B103-1)/12</f>
        <v>259.838607354554</v>
      </c>
      <c r="K103" s="10" t="n">
        <f aca="false">Inputs!$B$14*Inputs!$B$7*(1+Inputs!$B$22)^(B103-1)/12</f>
        <v>519.677214709108</v>
      </c>
      <c r="L103" s="10" t="n">
        <f aca="false">Inputs!$B$15*(1+Inputs!$B$22)^(B103-1)</f>
        <v>0</v>
      </c>
      <c r="M103" s="10" t="n">
        <f aca="false">INDEX(Annual!$N$2:$N$51,B103)/12</f>
        <v>0</v>
      </c>
      <c r="N103" s="10" t="n">
        <f aca="false">D103+E103+G103+I103+J103+K103+L103-M103</f>
        <v>4029.57834494634</v>
      </c>
      <c r="O103" s="10" t="n">
        <f aca="false">Inputs!$B$17*(1+Inputs!$B$18)^(B103-1)+Inputs!$B$19*(1+Inputs!$B$22)^(B103-1)</f>
        <v>3310.73097213803</v>
      </c>
      <c r="P103" s="10" t="n">
        <f aca="false">N103-O103</f>
        <v>718.84737280831</v>
      </c>
      <c r="Q103" s="10" t="n">
        <f aca="false">Q102*(1+Inputs!$B$42)-U103+MAX(P103,0)</f>
        <v>336416.652412887</v>
      </c>
      <c r="R103" s="10" t="n">
        <f aca="false">R102+Q102*Inputs!$B$48-U103+MAX(P103,0)</f>
        <v>231372.281205516</v>
      </c>
      <c r="S103" s="10" t="n">
        <f aca="false">S102*(1+Inputs!$B$42)-V103+MAX(-P103,0)</f>
        <v>0</v>
      </c>
      <c r="T103" s="10" t="n">
        <f aca="false">T102+S102*Inputs!$B$48-V103+MAX(-P103,0)</f>
        <v>0</v>
      </c>
      <c r="U103" s="10" t="n">
        <f aca="false">Q102*Inputs!$B$48*Inputs!$B$29</f>
        <v>45.9052054530901</v>
      </c>
      <c r="V103" s="10" t="n">
        <f aca="false">S102*Inputs!$B$48*Inputs!$B$29</f>
        <v>0</v>
      </c>
    </row>
    <row r="104" customFormat="false" ht="15" hidden="false" customHeight="false" outlineLevel="0" collapsed="false">
      <c r="A104" s="16" t="n">
        <v>103</v>
      </c>
      <c r="B104" s="16" t="n">
        <f aca="false">ROUNDUP(A104/12,0)</f>
        <v>9</v>
      </c>
      <c r="C104" s="10" t="n">
        <f aca="false">F103</f>
        <v>356375.178364444</v>
      </c>
      <c r="D104" s="10" t="n">
        <f aca="false">IF(AND(A104&lt;=Inputs!$B$9*12,C104&gt;0.000001),C104*Inputs!$B$10/12,0)</f>
        <v>2162.00941541096</v>
      </c>
      <c r="E104" s="10" t="n">
        <f aca="false">IF(AND(A104&lt;=Inputs!$B$9*12,C104&gt;0.000001),MIN(C104,Inputs!$B$41-D104),0)</f>
        <v>574.839713569745</v>
      </c>
      <c r="F104" s="10" t="n">
        <f aca="false">C104-E104</f>
        <v>355800.338650874</v>
      </c>
      <c r="G104" s="10" t="n">
        <f aca="false">IF(AND(Inputs!$B$43=1,C104&gt;0.78*Inputs!$B$7,A104&lt;=Inputs!$B$9*6),Inputs!$B$16*Inputs!$B$39/12,0)</f>
        <v>0</v>
      </c>
      <c r="H104" s="10" t="n">
        <f aca="false">IF(B104=1,Inputs!$B$7,INDEX(Annual!$AC$2:$AC$51,B104-1))</f>
        <v>684284.525202637</v>
      </c>
      <c r="I104" s="10" t="n">
        <f aca="false">Inputs!$B$12*IF(Inputs!$B$35="",H104,MIN(H104,Inputs!$B$7*(1+Inputs!$B$35)^(B104-1)))/12</f>
        <v>513.213393901978</v>
      </c>
      <c r="J104" s="10" t="n">
        <f aca="false">Inputs!$B$13*Inputs!$B$7*(1+Inputs!$B$22)^(B104-1)/12</f>
        <v>259.838607354554</v>
      </c>
      <c r="K104" s="10" t="n">
        <f aca="false">Inputs!$B$14*Inputs!$B$7*(1+Inputs!$B$22)^(B104-1)/12</f>
        <v>519.677214709108</v>
      </c>
      <c r="L104" s="10" t="n">
        <f aca="false">Inputs!$B$15*(1+Inputs!$B$22)^(B104-1)</f>
        <v>0</v>
      </c>
      <c r="M104" s="10" t="n">
        <f aca="false">INDEX(Annual!$N$2:$N$51,B104)/12</f>
        <v>0</v>
      </c>
      <c r="N104" s="10" t="n">
        <f aca="false">D104+E104+G104+I104+J104+K104+L104-M104</f>
        <v>4029.57834494634</v>
      </c>
      <c r="O104" s="10" t="n">
        <f aca="false">Inputs!$B$17*(1+Inputs!$B$18)^(B104-1)+Inputs!$B$19*(1+Inputs!$B$22)^(B104-1)</f>
        <v>3310.73097213803</v>
      </c>
      <c r="P104" s="10" t="n">
        <f aca="false">N104-O104</f>
        <v>718.84737280831</v>
      </c>
      <c r="Q104" s="10" t="n">
        <f aca="false">Q103*(1+Inputs!$B$42)-U104+MAX(P104,0)</f>
        <v>338991.391159475</v>
      </c>
      <c r="R104" s="10" t="n">
        <f aca="false">R103+Q103*Inputs!$B$48-U104+MAX(P104,0)</f>
        <v>232353.253219996</v>
      </c>
      <c r="S104" s="10" t="n">
        <f aca="false">S103*(1+Inputs!$B$42)-V104+MAX(-P104,0)</f>
        <v>0</v>
      </c>
      <c r="T104" s="10" t="n">
        <f aca="false">T103+S103*Inputs!$B$48-V104+MAX(-P104,0)</f>
        <v>0</v>
      </c>
      <c r="U104" s="10" t="n">
        <f aca="false">Q103*Inputs!$B$48*Inputs!$B$29</f>
        <v>46.257289706772</v>
      </c>
      <c r="V104" s="10" t="n">
        <f aca="false">S103*Inputs!$B$48*Inputs!$B$29</f>
        <v>0</v>
      </c>
    </row>
    <row r="105" customFormat="false" ht="15" hidden="false" customHeight="false" outlineLevel="0" collapsed="false">
      <c r="A105" s="16" t="n">
        <v>104</v>
      </c>
      <c r="B105" s="16" t="n">
        <f aca="false">ROUNDUP(A105/12,0)</f>
        <v>9</v>
      </c>
      <c r="C105" s="10" t="n">
        <f aca="false">F104</f>
        <v>355800.338650874</v>
      </c>
      <c r="D105" s="10" t="n">
        <f aca="false">IF(AND(A105&lt;=Inputs!$B$9*12,C105&gt;0.000001),C105*Inputs!$B$10/12,0)</f>
        <v>2158.52205448197</v>
      </c>
      <c r="E105" s="10" t="n">
        <f aca="false">IF(AND(A105&lt;=Inputs!$B$9*12,C105&gt;0.000001),MIN(C105,Inputs!$B$41-D105),0)</f>
        <v>578.327074498735</v>
      </c>
      <c r="F105" s="10" t="n">
        <f aca="false">C105-E105</f>
        <v>355222.011576376</v>
      </c>
      <c r="G105" s="10" t="n">
        <f aca="false">IF(AND(Inputs!$B$43=1,C105&gt;0.78*Inputs!$B$7,A105&lt;=Inputs!$B$9*6),Inputs!$B$16*Inputs!$B$39/12,0)</f>
        <v>0</v>
      </c>
      <c r="H105" s="10" t="n">
        <f aca="false">IF(B105=1,Inputs!$B$7,INDEX(Annual!$AC$2:$AC$51,B105-1))</f>
        <v>684284.525202637</v>
      </c>
      <c r="I105" s="10" t="n">
        <f aca="false">Inputs!$B$12*IF(Inputs!$B$35="",H105,MIN(H105,Inputs!$B$7*(1+Inputs!$B$35)^(B105-1)))/12</f>
        <v>513.213393901978</v>
      </c>
      <c r="J105" s="10" t="n">
        <f aca="false">Inputs!$B$13*Inputs!$B$7*(1+Inputs!$B$22)^(B105-1)/12</f>
        <v>259.838607354554</v>
      </c>
      <c r="K105" s="10" t="n">
        <f aca="false">Inputs!$B$14*Inputs!$B$7*(1+Inputs!$B$22)^(B105-1)/12</f>
        <v>519.677214709108</v>
      </c>
      <c r="L105" s="10" t="n">
        <f aca="false">Inputs!$B$15*(1+Inputs!$B$22)^(B105-1)</f>
        <v>0</v>
      </c>
      <c r="M105" s="10" t="n">
        <f aca="false">INDEX(Annual!$N$2:$N$51,B105)/12</f>
        <v>0</v>
      </c>
      <c r="N105" s="10" t="n">
        <f aca="false">D105+E105+G105+I105+J105+K105+L105-M105</f>
        <v>4029.57834494634</v>
      </c>
      <c r="O105" s="10" t="n">
        <f aca="false">Inputs!$B$17*(1+Inputs!$B$18)^(B105-1)+Inputs!$B$19*(1+Inputs!$B$22)^(B105-1)</f>
        <v>3310.73097213803</v>
      </c>
      <c r="P105" s="10" t="n">
        <f aca="false">N105-O105</f>
        <v>718.84737280831</v>
      </c>
      <c r="Q105" s="10" t="n">
        <f aca="false">Q104*(1+Inputs!$B$42)-U105+MAX(P105,0)</f>
        <v>341580.333826694</v>
      </c>
      <c r="R105" s="10" t="n">
        <f aca="false">R104+Q104*Inputs!$B$48-U105+MAX(P105,0)</f>
        <v>233336.231385083</v>
      </c>
      <c r="S105" s="10" t="n">
        <f aca="false">S104*(1+Inputs!$B$42)-V105+MAX(-P105,0)</f>
        <v>0</v>
      </c>
      <c r="T105" s="10" t="n">
        <f aca="false">T104+S104*Inputs!$B$48-V105+MAX(-P105,0)</f>
        <v>0</v>
      </c>
      <c r="U105" s="10" t="n">
        <f aca="false">Q104*Inputs!$B$48*Inputs!$B$29</f>
        <v>46.6113162844278</v>
      </c>
      <c r="V105" s="10" t="n">
        <f aca="false">S104*Inputs!$B$48*Inputs!$B$29</f>
        <v>0</v>
      </c>
    </row>
    <row r="106" customFormat="false" ht="15" hidden="false" customHeight="false" outlineLevel="0" collapsed="false">
      <c r="A106" s="16" t="n">
        <v>105</v>
      </c>
      <c r="B106" s="16" t="n">
        <f aca="false">ROUNDUP(A106/12,0)</f>
        <v>9</v>
      </c>
      <c r="C106" s="10" t="n">
        <f aca="false">F105</f>
        <v>355222.011576376</v>
      </c>
      <c r="D106" s="10" t="n">
        <f aca="false">IF(AND(A106&lt;=Inputs!$B$9*12,C106&gt;0.000001),C106*Inputs!$B$10/12,0)</f>
        <v>2155.01353689668</v>
      </c>
      <c r="E106" s="10" t="n">
        <f aca="false">IF(AND(A106&lt;=Inputs!$B$9*12,C106&gt;0.000001),MIN(C106,Inputs!$B$41-D106),0)</f>
        <v>581.835592084027</v>
      </c>
      <c r="F106" s="10" t="n">
        <f aca="false">C106-E106</f>
        <v>354640.175984292</v>
      </c>
      <c r="G106" s="10" t="n">
        <f aca="false">IF(AND(Inputs!$B$43=1,C106&gt;0.78*Inputs!$B$7,A106&lt;=Inputs!$B$9*6),Inputs!$B$16*Inputs!$B$39/12,0)</f>
        <v>0</v>
      </c>
      <c r="H106" s="10" t="n">
        <f aca="false">IF(B106=1,Inputs!$B$7,INDEX(Annual!$AC$2:$AC$51,B106-1))</f>
        <v>684284.525202637</v>
      </c>
      <c r="I106" s="10" t="n">
        <f aca="false">Inputs!$B$12*IF(Inputs!$B$35="",H106,MIN(H106,Inputs!$B$7*(1+Inputs!$B$35)^(B106-1)))/12</f>
        <v>513.213393901978</v>
      </c>
      <c r="J106" s="10" t="n">
        <f aca="false">Inputs!$B$13*Inputs!$B$7*(1+Inputs!$B$22)^(B106-1)/12</f>
        <v>259.838607354554</v>
      </c>
      <c r="K106" s="10" t="n">
        <f aca="false">Inputs!$B$14*Inputs!$B$7*(1+Inputs!$B$22)^(B106-1)/12</f>
        <v>519.677214709108</v>
      </c>
      <c r="L106" s="10" t="n">
        <f aca="false">Inputs!$B$15*(1+Inputs!$B$22)^(B106-1)</f>
        <v>0</v>
      </c>
      <c r="M106" s="10" t="n">
        <f aca="false">INDEX(Annual!$N$2:$N$51,B106)/12</f>
        <v>0</v>
      </c>
      <c r="N106" s="10" t="n">
        <f aca="false">D106+E106+G106+I106+J106+K106+L106-M106</f>
        <v>4029.57834494634</v>
      </c>
      <c r="O106" s="10" t="n">
        <f aca="false">Inputs!$B$17*(1+Inputs!$B$18)^(B106-1)+Inputs!$B$19*(1+Inputs!$B$22)^(B106-1)</f>
        <v>3310.73097213803</v>
      </c>
      <c r="P106" s="10" t="n">
        <f aca="false">N106-O106</f>
        <v>718.84737280831</v>
      </c>
      <c r="Q106" s="10" t="n">
        <f aca="false">Q105*(1+Inputs!$B$42)-U106+MAX(P106,0)</f>
        <v>344183.558772535</v>
      </c>
      <c r="R106" s="10" t="n">
        <f aca="false">R105+Q105*Inputs!$B$48-U106+MAX(P106,0)</f>
        <v>234321.226767998</v>
      </c>
      <c r="S106" s="10" t="n">
        <f aca="false">S105*(1+Inputs!$B$42)-V106+MAX(-P106,0)</f>
        <v>0</v>
      </c>
      <c r="T106" s="10" t="n">
        <f aca="false">T105+S105*Inputs!$B$48-V106+MAX(-P106,0)</f>
        <v>0</v>
      </c>
      <c r="U106" s="10" t="n">
        <f aca="false">Q105*Inputs!$B$48*Inputs!$B$29</f>
        <v>46.9672959011704</v>
      </c>
      <c r="V106" s="10" t="n">
        <f aca="false">S105*Inputs!$B$48*Inputs!$B$29</f>
        <v>0</v>
      </c>
    </row>
    <row r="107" customFormat="false" ht="15" hidden="false" customHeight="false" outlineLevel="0" collapsed="false">
      <c r="A107" s="16" t="n">
        <v>106</v>
      </c>
      <c r="B107" s="16" t="n">
        <f aca="false">ROUNDUP(A107/12,0)</f>
        <v>9</v>
      </c>
      <c r="C107" s="10" t="n">
        <f aca="false">F106</f>
        <v>354640.175984292</v>
      </c>
      <c r="D107" s="10" t="n">
        <f aca="false">IF(AND(A107&lt;=Inputs!$B$9*12,C107&gt;0.000001),C107*Inputs!$B$10/12,0)</f>
        <v>2151.4837343047</v>
      </c>
      <c r="E107" s="10" t="n">
        <f aca="false">IF(AND(A107&lt;=Inputs!$B$9*12,C107&gt;0.000001),MIN(C107,Inputs!$B$41-D107),0)</f>
        <v>585.365394676004</v>
      </c>
      <c r="F107" s="10" t="n">
        <f aca="false">C107-E107</f>
        <v>354054.810589616</v>
      </c>
      <c r="G107" s="10" t="n">
        <f aca="false">IF(AND(Inputs!$B$43=1,C107&gt;0.78*Inputs!$B$7,A107&lt;=Inputs!$B$9*6),Inputs!$B$16*Inputs!$B$39/12,0)</f>
        <v>0</v>
      </c>
      <c r="H107" s="10" t="n">
        <f aca="false">IF(B107=1,Inputs!$B$7,INDEX(Annual!$AC$2:$AC$51,B107-1))</f>
        <v>684284.525202637</v>
      </c>
      <c r="I107" s="10" t="n">
        <f aca="false">Inputs!$B$12*IF(Inputs!$B$35="",H107,MIN(H107,Inputs!$B$7*(1+Inputs!$B$35)^(B107-1)))/12</f>
        <v>513.213393901978</v>
      </c>
      <c r="J107" s="10" t="n">
        <f aca="false">Inputs!$B$13*Inputs!$B$7*(1+Inputs!$B$22)^(B107-1)/12</f>
        <v>259.838607354554</v>
      </c>
      <c r="K107" s="10" t="n">
        <f aca="false">Inputs!$B$14*Inputs!$B$7*(1+Inputs!$B$22)^(B107-1)/12</f>
        <v>519.677214709108</v>
      </c>
      <c r="L107" s="10" t="n">
        <f aca="false">Inputs!$B$15*(1+Inputs!$B$22)^(B107-1)</f>
        <v>0</v>
      </c>
      <c r="M107" s="10" t="n">
        <f aca="false">INDEX(Annual!$N$2:$N$51,B107)/12</f>
        <v>0</v>
      </c>
      <c r="N107" s="10" t="n">
        <f aca="false">D107+E107+G107+I107+J107+K107+L107-M107</f>
        <v>4029.57834494634</v>
      </c>
      <c r="O107" s="10" t="n">
        <f aca="false">Inputs!$B$17*(1+Inputs!$B$18)^(B107-1)+Inputs!$B$19*(1+Inputs!$B$22)^(B107-1)</f>
        <v>3310.73097213803</v>
      </c>
      <c r="P107" s="10" t="n">
        <f aca="false">N107-O107</f>
        <v>718.84737280831</v>
      </c>
      <c r="Q107" s="10" t="n">
        <f aca="false">Q106*(1+Inputs!$B$42)-U107+MAX(P107,0)</f>
        <v>346801.144787267</v>
      </c>
      <c r="R107" s="10" t="n">
        <f aca="false">R106+Q106*Inputs!$B$48-U107+MAX(P107,0)</f>
        <v>235308.250497016</v>
      </c>
      <c r="S107" s="10" t="n">
        <f aca="false">S106*(1+Inputs!$B$42)-V107+MAX(-P107,0)</f>
        <v>0</v>
      </c>
      <c r="T107" s="10" t="n">
        <f aca="false">T106+S106*Inputs!$B$48-V107+MAX(-P107,0)</f>
        <v>0</v>
      </c>
      <c r="U107" s="10" t="n">
        <f aca="false">Q106*Inputs!$B$48*Inputs!$B$29</f>
        <v>47.3252393312236</v>
      </c>
      <c r="V107" s="10" t="n">
        <f aca="false">S106*Inputs!$B$48*Inputs!$B$29</f>
        <v>0</v>
      </c>
    </row>
    <row r="108" customFormat="false" ht="15" hidden="false" customHeight="false" outlineLevel="0" collapsed="false">
      <c r="A108" s="16" t="n">
        <v>107</v>
      </c>
      <c r="B108" s="16" t="n">
        <f aca="false">ROUNDUP(A108/12,0)</f>
        <v>9</v>
      </c>
      <c r="C108" s="10" t="n">
        <f aca="false">F107</f>
        <v>354054.810589616</v>
      </c>
      <c r="D108" s="10" t="n">
        <f aca="false">IF(AND(A108&lt;=Inputs!$B$9*12,C108&gt;0.000001),C108*Inputs!$B$10/12,0)</f>
        <v>2147.932517577</v>
      </c>
      <c r="E108" s="10" t="n">
        <f aca="false">IF(AND(A108&lt;=Inputs!$B$9*12,C108&gt;0.000001),MIN(C108,Inputs!$B$41-D108),0)</f>
        <v>588.916611403704</v>
      </c>
      <c r="F108" s="10" t="n">
        <f aca="false">C108-E108</f>
        <v>353465.893978212</v>
      </c>
      <c r="G108" s="10" t="n">
        <f aca="false">IF(AND(Inputs!$B$43=1,C108&gt;0.78*Inputs!$B$7,A108&lt;=Inputs!$B$9*6),Inputs!$B$16*Inputs!$B$39/12,0)</f>
        <v>0</v>
      </c>
      <c r="H108" s="10" t="n">
        <f aca="false">IF(B108=1,Inputs!$B$7,INDEX(Annual!$AC$2:$AC$51,B108-1))</f>
        <v>684284.525202637</v>
      </c>
      <c r="I108" s="10" t="n">
        <f aca="false">Inputs!$B$12*IF(Inputs!$B$35="",H108,MIN(H108,Inputs!$B$7*(1+Inputs!$B$35)^(B108-1)))/12</f>
        <v>513.213393901978</v>
      </c>
      <c r="J108" s="10" t="n">
        <f aca="false">Inputs!$B$13*Inputs!$B$7*(1+Inputs!$B$22)^(B108-1)/12</f>
        <v>259.838607354554</v>
      </c>
      <c r="K108" s="10" t="n">
        <f aca="false">Inputs!$B$14*Inputs!$B$7*(1+Inputs!$B$22)^(B108-1)/12</f>
        <v>519.677214709108</v>
      </c>
      <c r="L108" s="10" t="n">
        <f aca="false">Inputs!$B$15*(1+Inputs!$B$22)^(B108-1)</f>
        <v>0</v>
      </c>
      <c r="M108" s="10" t="n">
        <f aca="false">INDEX(Annual!$N$2:$N$51,B108)/12</f>
        <v>0</v>
      </c>
      <c r="N108" s="10" t="n">
        <f aca="false">D108+E108+G108+I108+J108+K108+L108-M108</f>
        <v>4029.57834494634</v>
      </c>
      <c r="O108" s="10" t="n">
        <f aca="false">Inputs!$B$17*(1+Inputs!$B$18)^(B108-1)+Inputs!$B$19*(1+Inputs!$B$22)^(B108-1)</f>
        <v>3310.73097213803</v>
      </c>
      <c r="P108" s="10" t="n">
        <f aca="false">N108-O108</f>
        <v>718.84737280831</v>
      </c>
      <c r="Q108" s="10" t="n">
        <f aca="false">Q107*(1+Inputs!$B$42)-U108+MAX(P108,0)</f>
        <v>349433.171095813</v>
      </c>
      <c r="R108" s="10" t="n">
        <f aca="false">R107+Q107*Inputs!$B$48-U108+MAX(P108,0)</f>
        <v>236297.313761805</v>
      </c>
      <c r="S108" s="10" t="n">
        <f aca="false">S107*(1+Inputs!$B$42)-V108+MAX(-P108,0)</f>
        <v>0</v>
      </c>
      <c r="T108" s="10" t="n">
        <f aca="false">T107+S107*Inputs!$B$48-V108+MAX(-P108,0)</f>
        <v>0</v>
      </c>
      <c r="U108" s="10" t="n">
        <f aca="false">Q107*Inputs!$B$48*Inputs!$B$29</f>
        <v>47.6851574082492</v>
      </c>
      <c r="V108" s="10" t="n">
        <f aca="false">S107*Inputs!$B$48*Inputs!$B$29</f>
        <v>0</v>
      </c>
    </row>
    <row r="109" customFormat="false" ht="15" hidden="false" customHeight="false" outlineLevel="0" collapsed="false">
      <c r="A109" s="16" t="n">
        <v>108</v>
      </c>
      <c r="B109" s="16" t="n">
        <f aca="false">ROUNDUP(A109/12,0)</f>
        <v>9</v>
      </c>
      <c r="C109" s="10" t="n">
        <f aca="false">F108</f>
        <v>353465.893978212</v>
      </c>
      <c r="D109" s="10" t="n">
        <f aca="false">IF(AND(A109&lt;=Inputs!$B$9*12,C109&gt;0.000001),C109*Inputs!$B$10/12,0)</f>
        <v>2144.35975680115</v>
      </c>
      <c r="E109" s="10" t="n">
        <f aca="false">IF(AND(A109&lt;=Inputs!$B$9*12,C109&gt;0.000001),MIN(C109,Inputs!$B$41-D109),0)</f>
        <v>592.489372179554</v>
      </c>
      <c r="F109" s="10" t="n">
        <f aca="false">C109-E109</f>
        <v>352873.404606032</v>
      </c>
      <c r="G109" s="10" t="n">
        <f aca="false">IF(AND(Inputs!$B$43=1,C109&gt;0.78*Inputs!$B$7,A109&lt;=Inputs!$B$9*6),Inputs!$B$16*Inputs!$B$39/12,0)</f>
        <v>0</v>
      </c>
      <c r="H109" s="10" t="n">
        <f aca="false">IF(B109=1,Inputs!$B$7,INDEX(Annual!$AC$2:$AC$51,B109-1))</f>
        <v>684284.525202637</v>
      </c>
      <c r="I109" s="10" t="n">
        <f aca="false">Inputs!$B$12*IF(Inputs!$B$35="",H109,MIN(H109,Inputs!$B$7*(1+Inputs!$B$35)^(B109-1)))/12</f>
        <v>513.213393901978</v>
      </c>
      <c r="J109" s="10" t="n">
        <f aca="false">Inputs!$B$13*Inputs!$B$7*(1+Inputs!$B$22)^(B109-1)/12</f>
        <v>259.838607354554</v>
      </c>
      <c r="K109" s="10" t="n">
        <f aca="false">Inputs!$B$14*Inputs!$B$7*(1+Inputs!$B$22)^(B109-1)/12</f>
        <v>519.677214709108</v>
      </c>
      <c r="L109" s="10" t="n">
        <f aca="false">Inputs!$B$15*(1+Inputs!$B$22)^(B109-1)</f>
        <v>0</v>
      </c>
      <c r="M109" s="10" t="n">
        <f aca="false">INDEX(Annual!$N$2:$N$51,B109)/12</f>
        <v>0</v>
      </c>
      <c r="N109" s="10" t="n">
        <f aca="false">D109+E109+G109+I109+J109+K109+L109-M109</f>
        <v>4029.57834494634</v>
      </c>
      <c r="O109" s="10" t="n">
        <f aca="false">Inputs!$B$17*(1+Inputs!$B$18)^(B109-1)+Inputs!$B$19*(1+Inputs!$B$22)^(B109-1)</f>
        <v>3310.73097213803</v>
      </c>
      <c r="P109" s="10" t="n">
        <f aca="false">N109-O109</f>
        <v>718.84737280831</v>
      </c>
      <c r="Q109" s="10" t="n">
        <f aca="false">Q108*(1+Inputs!$B$42)-U109+MAX(P109,0)</f>
        <v>352079.717360153</v>
      </c>
      <c r="R109" s="10" t="n">
        <f aca="false">R108+Q108*Inputs!$B$48-U109+MAX(P109,0)</f>
        <v>237288.427813758</v>
      </c>
      <c r="S109" s="10" t="n">
        <f aca="false">S108*(1+Inputs!$B$42)-V109+MAX(-P109,0)</f>
        <v>0</v>
      </c>
      <c r="T109" s="10" t="n">
        <f aca="false">T108+S108*Inputs!$B$48-V109+MAX(-P109,0)</f>
        <v>0</v>
      </c>
      <c r="U109" s="10" t="n">
        <f aca="false">Q108*Inputs!$B$48*Inputs!$B$29</f>
        <v>48.0470610256742</v>
      </c>
      <c r="V109" s="10" t="n">
        <f aca="false">S108*Inputs!$B$48*Inputs!$B$29</f>
        <v>0</v>
      </c>
    </row>
    <row r="110" customFormat="false" ht="15" hidden="false" customHeight="false" outlineLevel="0" collapsed="false">
      <c r="A110" s="16" t="n">
        <v>109</v>
      </c>
      <c r="B110" s="16" t="n">
        <f aca="false">ROUNDUP(A110/12,0)</f>
        <v>10</v>
      </c>
      <c r="C110" s="10" t="n">
        <f aca="false">F109</f>
        <v>352873.404606032</v>
      </c>
      <c r="D110" s="10" t="n">
        <f aca="false">IF(AND(A110&lt;=Inputs!$B$9*12,C110&gt;0.000001),C110*Inputs!$B$10/12,0)</f>
        <v>2140.7653212766</v>
      </c>
      <c r="E110" s="10" t="n">
        <f aca="false">IF(AND(A110&lt;=Inputs!$B$9*12,C110&gt;0.000001),MIN(C110,Inputs!$B$41-D110),0)</f>
        <v>596.08380770411</v>
      </c>
      <c r="F110" s="10" t="n">
        <f aca="false">C110-E110</f>
        <v>352277.320798328</v>
      </c>
      <c r="G110" s="10" t="n">
        <f aca="false">IF(AND(Inputs!$B$43=1,C110&gt;0.78*Inputs!$B$7,A110&lt;=Inputs!$B$9*6),Inputs!$B$16*Inputs!$B$39/12,0)</f>
        <v>0</v>
      </c>
      <c r="H110" s="10" t="n">
        <f aca="false">IF(B110=1,Inputs!$B$7,INDEX(Annual!$AC$2:$AC$51,B110-1))</f>
        <v>711655.906210742</v>
      </c>
      <c r="I110" s="10" t="n">
        <f aca="false">Inputs!$B$12*IF(Inputs!$B$35="",H110,MIN(H110,Inputs!$B$7*(1+Inputs!$B$35)^(B110-1)))/12</f>
        <v>533.741929658057</v>
      </c>
      <c r="J110" s="10" t="n">
        <f aca="false">Inputs!$B$13*Inputs!$B$7*(1+Inputs!$B$22)^(B110-1)/12</f>
        <v>267.114088360481</v>
      </c>
      <c r="K110" s="10" t="n">
        <f aca="false">Inputs!$B$14*Inputs!$B$7*(1+Inputs!$B$22)^(B110-1)/12</f>
        <v>534.228176720963</v>
      </c>
      <c r="L110" s="10" t="n">
        <f aca="false">Inputs!$B$15*(1+Inputs!$B$22)^(B110-1)</f>
        <v>0</v>
      </c>
      <c r="M110" s="10" t="n">
        <f aca="false">INDEX(Annual!$N$2:$N$51,B110)/12</f>
        <v>0</v>
      </c>
      <c r="N110" s="10" t="n">
        <f aca="false">D110+E110+G110+I110+J110+K110+L110-M110</f>
        <v>4071.93332372021</v>
      </c>
      <c r="O110" s="10" t="n">
        <f aca="false">Inputs!$B$17*(1+Inputs!$B$18)^(B110-1)+Inputs!$B$19*(1+Inputs!$B$22)^(B110-1)</f>
        <v>3426.47559750476</v>
      </c>
      <c r="P110" s="10" t="n">
        <f aca="false">N110-O110</f>
        <v>645.457726215446</v>
      </c>
      <c r="Q110" s="10" t="n">
        <f aca="false">Q109*(1+Inputs!$B$42)-U110+MAX(P110,0)</f>
        <v>354667.474035142</v>
      </c>
      <c r="R110" s="10" t="n">
        <f aca="false">R109+Q109*Inputs!$B$48-U110+MAX(P110,0)</f>
        <v>238208.21431975</v>
      </c>
      <c r="S110" s="10" t="n">
        <f aca="false">S109*(1+Inputs!$B$42)-V110+MAX(-P110,0)</f>
        <v>0</v>
      </c>
      <c r="T110" s="10" t="n">
        <f aca="false">T109+S109*Inputs!$B$48-V110+MAX(-P110,0)</f>
        <v>0</v>
      </c>
      <c r="U110" s="10" t="n">
        <f aca="false">Q109*Inputs!$B$48*Inputs!$B$29</f>
        <v>48.4109611370211</v>
      </c>
      <c r="V110" s="10" t="n">
        <f aca="false">S109*Inputs!$B$48*Inputs!$B$29</f>
        <v>0</v>
      </c>
    </row>
    <row r="111" customFormat="false" ht="15" hidden="false" customHeight="false" outlineLevel="0" collapsed="false">
      <c r="A111" s="16" t="n">
        <v>110</v>
      </c>
      <c r="B111" s="16" t="n">
        <f aca="false">ROUNDUP(A111/12,0)</f>
        <v>10</v>
      </c>
      <c r="C111" s="10" t="n">
        <f aca="false">F110</f>
        <v>352277.320798328</v>
      </c>
      <c r="D111" s="10" t="n">
        <f aca="false">IF(AND(A111&lt;=Inputs!$B$9*12,C111&gt;0.000001),C111*Inputs!$B$10/12,0)</f>
        <v>2137.14907950986</v>
      </c>
      <c r="E111" s="10" t="n">
        <f aca="false">IF(AND(A111&lt;=Inputs!$B$9*12,C111&gt;0.000001),MIN(C111,Inputs!$B$41-D111),0)</f>
        <v>599.700049470848</v>
      </c>
      <c r="F111" s="10" t="n">
        <f aca="false">C111-E111</f>
        <v>351677.620748857</v>
      </c>
      <c r="G111" s="10" t="n">
        <f aca="false">IF(AND(Inputs!$B$43=1,C111&gt;0.78*Inputs!$B$7,A111&lt;=Inputs!$B$9*6),Inputs!$B$16*Inputs!$B$39/12,0)</f>
        <v>0</v>
      </c>
      <c r="H111" s="10" t="n">
        <f aca="false">IF(B111=1,Inputs!$B$7,INDEX(Annual!$AC$2:$AC$51,B111-1))</f>
        <v>711655.906210742</v>
      </c>
      <c r="I111" s="10" t="n">
        <f aca="false">Inputs!$B$12*IF(Inputs!$B$35="",H111,MIN(H111,Inputs!$B$7*(1+Inputs!$B$35)^(B111-1)))/12</f>
        <v>533.741929658057</v>
      </c>
      <c r="J111" s="10" t="n">
        <f aca="false">Inputs!$B$13*Inputs!$B$7*(1+Inputs!$B$22)^(B111-1)/12</f>
        <v>267.114088360481</v>
      </c>
      <c r="K111" s="10" t="n">
        <f aca="false">Inputs!$B$14*Inputs!$B$7*(1+Inputs!$B$22)^(B111-1)/12</f>
        <v>534.228176720963</v>
      </c>
      <c r="L111" s="10" t="n">
        <f aca="false">Inputs!$B$15*(1+Inputs!$B$22)^(B111-1)</f>
        <v>0</v>
      </c>
      <c r="M111" s="10" t="n">
        <f aca="false">INDEX(Annual!$N$2:$N$51,B111)/12</f>
        <v>0</v>
      </c>
      <c r="N111" s="10" t="n">
        <f aca="false">D111+E111+G111+I111+J111+K111+L111-M111</f>
        <v>4071.93332372021</v>
      </c>
      <c r="O111" s="10" t="n">
        <f aca="false">Inputs!$B$17*(1+Inputs!$B$18)^(B111-1)+Inputs!$B$19*(1+Inputs!$B$22)^(B111-1)</f>
        <v>3426.47559750476</v>
      </c>
      <c r="P111" s="10" t="n">
        <f aca="false">N111-O111</f>
        <v>645.457726215446</v>
      </c>
      <c r="Q111" s="10" t="n">
        <f aca="false">Q110*(1+Inputs!$B$42)-U111+MAX(P111,0)</f>
        <v>357269.506446056</v>
      </c>
      <c r="R111" s="10" t="n">
        <f aca="false">R110+Q110*Inputs!$B$48-U111+MAX(P111,0)</f>
        <v>239130.017119485</v>
      </c>
      <c r="S111" s="10" t="n">
        <f aca="false">S110*(1+Inputs!$B$42)-V111+MAX(-P111,0)</f>
        <v>0</v>
      </c>
      <c r="T111" s="10" t="n">
        <f aca="false">T110+S110*Inputs!$B$48-V111+MAX(-P111,0)</f>
        <v>0</v>
      </c>
      <c r="U111" s="10" t="n">
        <f aca="false">Q110*Inputs!$B$48*Inputs!$B$29</f>
        <v>48.7667776798321</v>
      </c>
      <c r="V111" s="10" t="n">
        <f aca="false">S110*Inputs!$B$48*Inputs!$B$29</f>
        <v>0</v>
      </c>
    </row>
    <row r="112" customFormat="false" ht="15" hidden="false" customHeight="false" outlineLevel="0" collapsed="false">
      <c r="A112" s="16" t="n">
        <v>111</v>
      </c>
      <c r="B112" s="16" t="n">
        <f aca="false">ROUNDUP(A112/12,0)</f>
        <v>10</v>
      </c>
      <c r="C112" s="10" t="n">
        <f aca="false">F111</f>
        <v>351677.620748857</v>
      </c>
      <c r="D112" s="10" t="n">
        <f aca="false">IF(AND(A112&lt;=Inputs!$B$9*12,C112&gt;0.000001),C112*Inputs!$B$10/12,0)</f>
        <v>2133.51089920974</v>
      </c>
      <c r="E112" s="10" t="n">
        <f aca="false">IF(AND(A112&lt;=Inputs!$B$9*12,C112&gt;0.000001),MIN(C112,Inputs!$B$41-D112),0)</f>
        <v>603.338229770971</v>
      </c>
      <c r="F112" s="10" t="n">
        <f aca="false">C112-E112</f>
        <v>351074.282519086</v>
      </c>
      <c r="G112" s="10" t="n">
        <f aca="false">IF(AND(Inputs!$B$43=1,C112&gt;0.78*Inputs!$B$7,A112&lt;=Inputs!$B$9*6),Inputs!$B$16*Inputs!$B$39/12,0)</f>
        <v>0</v>
      </c>
      <c r="H112" s="10" t="n">
        <f aca="false">IF(B112=1,Inputs!$B$7,INDEX(Annual!$AC$2:$AC$51,B112-1))</f>
        <v>711655.906210742</v>
      </c>
      <c r="I112" s="10" t="n">
        <f aca="false">Inputs!$B$12*IF(Inputs!$B$35="",H112,MIN(H112,Inputs!$B$7*(1+Inputs!$B$35)^(B112-1)))/12</f>
        <v>533.741929658057</v>
      </c>
      <c r="J112" s="10" t="n">
        <f aca="false">Inputs!$B$13*Inputs!$B$7*(1+Inputs!$B$22)^(B112-1)/12</f>
        <v>267.114088360481</v>
      </c>
      <c r="K112" s="10" t="n">
        <f aca="false">Inputs!$B$14*Inputs!$B$7*(1+Inputs!$B$22)^(B112-1)/12</f>
        <v>534.228176720963</v>
      </c>
      <c r="L112" s="10" t="n">
        <f aca="false">Inputs!$B$15*(1+Inputs!$B$22)^(B112-1)</f>
        <v>0</v>
      </c>
      <c r="M112" s="10" t="n">
        <f aca="false">INDEX(Annual!$N$2:$N$51,B112)/12</f>
        <v>0</v>
      </c>
      <c r="N112" s="10" t="n">
        <f aca="false">D112+E112+G112+I112+J112+K112+L112-M112</f>
        <v>4071.93332372021</v>
      </c>
      <c r="O112" s="10" t="n">
        <f aca="false">Inputs!$B$17*(1+Inputs!$B$18)^(B112-1)+Inputs!$B$19*(1+Inputs!$B$22)^(B112-1)</f>
        <v>3426.47559750476</v>
      </c>
      <c r="P112" s="10" t="n">
        <f aca="false">N112-O112</f>
        <v>645.457726215446</v>
      </c>
      <c r="Q112" s="10" t="n">
        <f aca="false">Q111*(1+Inputs!$B$42)-U112+MAX(P112,0)</f>
        <v>359885.893347068</v>
      </c>
      <c r="R112" s="10" t="n">
        <f aca="false">R111+Q111*Inputs!$B$48-U112+MAX(P112,0)</f>
        <v>240053.84733614</v>
      </c>
      <c r="S112" s="10" t="n">
        <f aca="false">S111*(1+Inputs!$B$42)-V112+MAX(-P112,0)</f>
        <v>0</v>
      </c>
      <c r="T112" s="10" t="n">
        <f aca="false">T111+S111*Inputs!$B$48-V112+MAX(-P112,0)</f>
        <v>0</v>
      </c>
      <c r="U112" s="10" t="n">
        <f aca="false">Q111*Inputs!$B$48*Inputs!$B$29</f>
        <v>49.1245571363328</v>
      </c>
      <c r="V112" s="10" t="n">
        <f aca="false">S111*Inputs!$B$48*Inputs!$B$29</f>
        <v>0</v>
      </c>
    </row>
    <row r="113" customFormat="false" ht="15" hidden="false" customHeight="false" outlineLevel="0" collapsed="false">
      <c r="A113" s="16" t="n">
        <v>112</v>
      </c>
      <c r="B113" s="16" t="n">
        <f aca="false">ROUNDUP(A113/12,0)</f>
        <v>10</v>
      </c>
      <c r="C113" s="10" t="n">
        <f aca="false">F112</f>
        <v>351074.282519086</v>
      </c>
      <c r="D113" s="10" t="n">
        <f aca="false">IF(AND(A113&lt;=Inputs!$B$9*12,C113&gt;0.000001),C113*Inputs!$B$10/12,0)</f>
        <v>2129.85064728246</v>
      </c>
      <c r="E113" s="10" t="n">
        <f aca="false">IF(AND(A113&lt;=Inputs!$B$9*12,C113&gt;0.000001),MIN(C113,Inputs!$B$41-D113),0)</f>
        <v>606.998481698248</v>
      </c>
      <c r="F113" s="10" t="n">
        <f aca="false">C113-E113</f>
        <v>350467.284037388</v>
      </c>
      <c r="G113" s="10" t="n">
        <f aca="false">IF(AND(Inputs!$B$43=1,C113&gt;0.78*Inputs!$B$7,A113&lt;=Inputs!$B$9*6),Inputs!$B$16*Inputs!$B$39/12,0)</f>
        <v>0</v>
      </c>
      <c r="H113" s="10" t="n">
        <f aca="false">IF(B113=1,Inputs!$B$7,INDEX(Annual!$AC$2:$AC$51,B113-1))</f>
        <v>711655.906210742</v>
      </c>
      <c r="I113" s="10" t="n">
        <f aca="false">Inputs!$B$12*IF(Inputs!$B$35="",H113,MIN(H113,Inputs!$B$7*(1+Inputs!$B$35)^(B113-1)))/12</f>
        <v>533.741929658057</v>
      </c>
      <c r="J113" s="10" t="n">
        <f aca="false">Inputs!$B$13*Inputs!$B$7*(1+Inputs!$B$22)^(B113-1)/12</f>
        <v>267.114088360481</v>
      </c>
      <c r="K113" s="10" t="n">
        <f aca="false">Inputs!$B$14*Inputs!$B$7*(1+Inputs!$B$22)^(B113-1)/12</f>
        <v>534.228176720963</v>
      </c>
      <c r="L113" s="10" t="n">
        <f aca="false">Inputs!$B$15*(1+Inputs!$B$22)^(B113-1)</f>
        <v>0</v>
      </c>
      <c r="M113" s="10" t="n">
        <f aca="false">INDEX(Annual!$N$2:$N$51,B113)/12</f>
        <v>0</v>
      </c>
      <c r="N113" s="10" t="n">
        <f aca="false">D113+E113+G113+I113+J113+K113+L113-M113</f>
        <v>4071.93332372021</v>
      </c>
      <c r="O113" s="10" t="n">
        <f aca="false">Inputs!$B$17*(1+Inputs!$B$18)^(B113-1)+Inputs!$B$19*(1+Inputs!$B$22)^(B113-1)</f>
        <v>3426.47559750476</v>
      </c>
      <c r="P113" s="10" t="n">
        <f aca="false">N113-O113</f>
        <v>645.457726215446</v>
      </c>
      <c r="Q113" s="10" t="n">
        <f aca="false">Q112*(1+Inputs!$B$42)-U113+MAX(P113,0)</f>
        <v>362516.713926809</v>
      </c>
      <c r="R113" s="10" t="n">
        <f aca="false">R112+Q112*Inputs!$B$48-U113+MAX(P113,0)</f>
        <v>240979.716154255</v>
      </c>
      <c r="S113" s="10" t="n">
        <f aca="false">S112*(1+Inputs!$B$42)-V113+MAX(-P113,0)</f>
        <v>0</v>
      </c>
      <c r="T113" s="10" t="n">
        <f aca="false">T112+S112*Inputs!$B$48-V113+MAX(-P113,0)</f>
        <v>0</v>
      </c>
      <c r="U113" s="10" t="n">
        <f aca="false">Q112*Inputs!$B$48*Inputs!$B$29</f>
        <v>49.4843103352219</v>
      </c>
      <c r="V113" s="10" t="n">
        <f aca="false">S112*Inputs!$B$48*Inputs!$B$29</f>
        <v>0</v>
      </c>
    </row>
    <row r="114" customFormat="false" ht="15" hidden="false" customHeight="false" outlineLevel="0" collapsed="false">
      <c r="A114" s="16" t="n">
        <v>113</v>
      </c>
      <c r="B114" s="16" t="n">
        <f aca="false">ROUNDUP(A114/12,0)</f>
        <v>10</v>
      </c>
      <c r="C114" s="10" t="n">
        <f aca="false">F113</f>
        <v>350467.284037388</v>
      </c>
      <c r="D114" s="10" t="n">
        <f aca="false">IF(AND(A114&lt;=Inputs!$B$9*12,C114&gt;0.000001),C114*Inputs!$B$10/12,0)</f>
        <v>2126.16818982682</v>
      </c>
      <c r="E114" s="10" t="n">
        <f aca="false">IF(AND(A114&lt;=Inputs!$B$9*12,C114&gt;0.000001),MIN(C114,Inputs!$B$41-D114),0)</f>
        <v>610.680939153884</v>
      </c>
      <c r="F114" s="10" t="n">
        <f aca="false">C114-E114</f>
        <v>349856.603098234</v>
      </c>
      <c r="G114" s="10" t="n">
        <f aca="false">IF(AND(Inputs!$B$43=1,C114&gt;0.78*Inputs!$B$7,A114&lt;=Inputs!$B$9*6),Inputs!$B$16*Inputs!$B$39/12,0)</f>
        <v>0</v>
      </c>
      <c r="H114" s="10" t="n">
        <f aca="false">IF(B114=1,Inputs!$B$7,INDEX(Annual!$AC$2:$AC$51,B114-1))</f>
        <v>711655.906210742</v>
      </c>
      <c r="I114" s="10" t="n">
        <f aca="false">Inputs!$B$12*IF(Inputs!$B$35="",H114,MIN(H114,Inputs!$B$7*(1+Inputs!$B$35)^(B114-1)))/12</f>
        <v>533.741929658057</v>
      </c>
      <c r="J114" s="10" t="n">
        <f aca="false">Inputs!$B$13*Inputs!$B$7*(1+Inputs!$B$22)^(B114-1)/12</f>
        <v>267.114088360481</v>
      </c>
      <c r="K114" s="10" t="n">
        <f aca="false">Inputs!$B$14*Inputs!$B$7*(1+Inputs!$B$22)^(B114-1)/12</f>
        <v>534.228176720963</v>
      </c>
      <c r="L114" s="10" t="n">
        <f aca="false">Inputs!$B$15*(1+Inputs!$B$22)^(B114-1)</f>
        <v>0</v>
      </c>
      <c r="M114" s="10" t="n">
        <f aca="false">INDEX(Annual!$N$2:$N$51,B114)/12</f>
        <v>0</v>
      </c>
      <c r="N114" s="10" t="n">
        <f aca="false">D114+E114+G114+I114+J114+K114+L114-M114</f>
        <v>4071.93332372021</v>
      </c>
      <c r="O114" s="10" t="n">
        <f aca="false">Inputs!$B$17*(1+Inputs!$B$18)^(B114-1)+Inputs!$B$19*(1+Inputs!$B$22)^(B114-1)</f>
        <v>3426.47559750476</v>
      </c>
      <c r="P114" s="10" t="n">
        <f aca="false">N114-O114</f>
        <v>645.457726215446</v>
      </c>
      <c r="Q114" s="10" t="n">
        <f aca="false">Q113*(1+Inputs!$B$42)-U114+MAX(P114,0)</f>
        <v>365162.047810766</v>
      </c>
      <c r="R114" s="10" t="n">
        <f aca="false">R113+Q113*Inputs!$B$48-U114+MAX(P114,0)</f>
        <v>241907.634820071</v>
      </c>
      <c r="S114" s="10" t="n">
        <f aca="false">S113*(1+Inputs!$B$42)-V114+MAX(-P114,0)</f>
        <v>0</v>
      </c>
      <c r="T114" s="10" t="n">
        <f aca="false">T113+S113*Inputs!$B$48-V114+MAX(-P114,0)</f>
        <v>0</v>
      </c>
      <c r="U114" s="10" t="n">
        <f aca="false">Q113*Inputs!$B$48*Inputs!$B$29</f>
        <v>49.8460481649362</v>
      </c>
      <c r="V114" s="10" t="n">
        <f aca="false">S113*Inputs!$B$48*Inputs!$B$29</f>
        <v>0</v>
      </c>
    </row>
    <row r="115" customFormat="false" ht="15" hidden="false" customHeight="false" outlineLevel="0" collapsed="false">
      <c r="A115" s="16" t="n">
        <v>114</v>
      </c>
      <c r="B115" s="16" t="n">
        <f aca="false">ROUNDUP(A115/12,0)</f>
        <v>10</v>
      </c>
      <c r="C115" s="10" t="n">
        <f aca="false">F114</f>
        <v>349856.603098234</v>
      </c>
      <c r="D115" s="10" t="n">
        <f aca="false">IF(AND(A115&lt;=Inputs!$B$9*12,C115&gt;0.000001),C115*Inputs!$B$10/12,0)</f>
        <v>2122.46339212929</v>
      </c>
      <c r="E115" s="10" t="n">
        <f aca="false">IF(AND(A115&lt;=Inputs!$B$9*12,C115&gt;0.000001),MIN(C115,Inputs!$B$41-D115),0)</f>
        <v>614.385736851418</v>
      </c>
      <c r="F115" s="10" t="n">
        <f aca="false">C115-E115</f>
        <v>349242.217361383</v>
      </c>
      <c r="G115" s="10" t="n">
        <f aca="false">IF(AND(Inputs!$B$43=1,C115&gt;0.78*Inputs!$B$7,A115&lt;=Inputs!$B$9*6),Inputs!$B$16*Inputs!$B$39/12,0)</f>
        <v>0</v>
      </c>
      <c r="H115" s="10" t="n">
        <f aca="false">IF(B115=1,Inputs!$B$7,INDEX(Annual!$AC$2:$AC$51,B115-1))</f>
        <v>711655.906210742</v>
      </c>
      <c r="I115" s="10" t="n">
        <f aca="false">Inputs!$B$12*IF(Inputs!$B$35="",H115,MIN(H115,Inputs!$B$7*(1+Inputs!$B$35)^(B115-1)))/12</f>
        <v>533.741929658057</v>
      </c>
      <c r="J115" s="10" t="n">
        <f aca="false">Inputs!$B$13*Inputs!$B$7*(1+Inputs!$B$22)^(B115-1)/12</f>
        <v>267.114088360481</v>
      </c>
      <c r="K115" s="10" t="n">
        <f aca="false">Inputs!$B$14*Inputs!$B$7*(1+Inputs!$B$22)^(B115-1)/12</f>
        <v>534.228176720963</v>
      </c>
      <c r="L115" s="10" t="n">
        <f aca="false">Inputs!$B$15*(1+Inputs!$B$22)^(B115-1)</f>
        <v>0</v>
      </c>
      <c r="M115" s="10" t="n">
        <f aca="false">INDEX(Annual!$N$2:$N$51,B115)/12</f>
        <v>0</v>
      </c>
      <c r="N115" s="10" t="n">
        <f aca="false">D115+E115+G115+I115+J115+K115+L115-M115</f>
        <v>4071.93332372021</v>
      </c>
      <c r="O115" s="10" t="n">
        <f aca="false">Inputs!$B$17*(1+Inputs!$B$18)^(B115-1)+Inputs!$B$19*(1+Inputs!$B$22)^(B115-1)</f>
        <v>3426.47559750476</v>
      </c>
      <c r="P115" s="10" t="n">
        <f aca="false">N115-O115</f>
        <v>645.457726215446</v>
      </c>
      <c r="Q115" s="10" t="n">
        <f aca="false">Q114*(1+Inputs!$B$42)-U115+MAX(P115,0)</f>
        <v>367821.975063692</v>
      </c>
      <c r="R115" s="10" t="n">
        <f aca="false">R114+Q114*Inputs!$B$48-U115+MAX(P115,0)</f>
        <v>242837.614641873</v>
      </c>
      <c r="S115" s="10" t="n">
        <f aca="false">S114*(1+Inputs!$B$42)-V115+MAX(-P115,0)</f>
        <v>0</v>
      </c>
      <c r="T115" s="10" t="n">
        <f aca="false">T114+S114*Inputs!$B$48-V115+MAX(-P115,0)</f>
        <v>0</v>
      </c>
      <c r="U115" s="10" t="n">
        <f aca="false">Q114*Inputs!$B$48*Inputs!$B$29</f>
        <v>50.2097815739803</v>
      </c>
      <c r="V115" s="10" t="n">
        <f aca="false">S114*Inputs!$B$48*Inputs!$B$29</f>
        <v>0</v>
      </c>
    </row>
    <row r="116" customFormat="false" ht="15" hidden="false" customHeight="false" outlineLevel="0" collapsed="false">
      <c r="A116" s="16" t="n">
        <v>115</v>
      </c>
      <c r="B116" s="16" t="n">
        <f aca="false">ROUNDUP(A116/12,0)</f>
        <v>10</v>
      </c>
      <c r="C116" s="10" t="n">
        <f aca="false">F115</f>
        <v>349242.217361383</v>
      </c>
      <c r="D116" s="10" t="n">
        <f aca="false">IF(AND(A116&lt;=Inputs!$B$9*12,C116&gt;0.000001),C116*Inputs!$B$10/12,0)</f>
        <v>2118.73611865906</v>
      </c>
      <c r="E116" s="10" t="n">
        <f aca="false">IF(AND(A116&lt;=Inputs!$B$9*12,C116&gt;0.000001),MIN(C116,Inputs!$B$41-D116),0)</f>
        <v>618.11301032165</v>
      </c>
      <c r="F116" s="10" t="n">
        <f aca="false">C116-E116</f>
        <v>348624.104351061</v>
      </c>
      <c r="G116" s="10" t="n">
        <f aca="false">IF(AND(Inputs!$B$43=1,C116&gt;0.78*Inputs!$B$7,A116&lt;=Inputs!$B$9*6),Inputs!$B$16*Inputs!$B$39/12,0)</f>
        <v>0</v>
      </c>
      <c r="H116" s="10" t="n">
        <f aca="false">IF(B116=1,Inputs!$B$7,INDEX(Annual!$AC$2:$AC$51,B116-1))</f>
        <v>711655.906210742</v>
      </c>
      <c r="I116" s="10" t="n">
        <f aca="false">Inputs!$B$12*IF(Inputs!$B$35="",H116,MIN(H116,Inputs!$B$7*(1+Inputs!$B$35)^(B116-1)))/12</f>
        <v>533.741929658057</v>
      </c>
      <c r="J116" s="10" t="n">
        <f aca="false">Inputs!$B$13*Inputs!$B$7*(1+Inputs!$B$22)^(B116-1)/12</f>
        <v>267.114088360481</v>
      </c>
      <c r="K116" s="10" t="n">
        <f aca="false">Inputs!$B$14*Inputs!$B$7*(1+Inputs!$B$22)^(B116-1)/12</f>
        <v>534.228176720963</v>
      </c>
      <c r="L116" s="10" t="n">
        <f aca="false">Inputs!$B$15*(1+Inputs!$B$22)^(B116-1)</f>
        <v>0</v>
      </c>
      <c r="M116" s="10" t="n">
        <f aca="false">INDEX(Annual!$N$2:$N$51,B116)/12</f>
        <v>0</v>
      </c>
      <c r="N116" s="10" t="n">
        <f aca="false">D116+E116+G116+I116+J116+K116+L116-M116</f>
        <v>4071.93332372021</v>
      </c>
      <c r="O116" s="10" t="n">
        <f aca="false">Inputs!$B$17*(1+Inputs!$B$18)^(B116-1)+Inputs!$B$19*(1+Inputs!$B$22)^(B116-1)</f>
        <v>3426.47559750476</v>
      </c>
      <c r="P116" s="10" t="n">
        <f aca="false">N116-O116</f>
        <v>645.457726215446</v>
      </c>
      <c r="Q116" s="10" t="n">
        <f aca="false">Q115*(1+Inputs!$B$42)-U116+MAX(P116,0)</f>
        <v>370496.576192029</v>
      </c>
      <c r="R116" s="10" t="n">
        <f aca="false">R115+Q115*Inputs!$B$48-U116+MAX(P116,0)</f>
        <v>243769.666990325</v>
      </c>
      <c r="S116" s="10" t="n">
        <f aca="false">S115*(1+Inputs!$B$42)-V116+MAX(-P116,0)</f>
        <v>0</v>
      </c>
      <c r="T116" s="10" t="n">
        <f aca="false">T115+S115*Inputs!$B$48-V116+MAX(-P116,0)</f>
        <v>0</v>
      </c>
      <c r="U116" s="10" t="n">
        <f aca="false">Q115*Inputs!$B$48*Inputs!$B$29</f>
        <v>50.5755215712577</v>
      </c>
      <c r="V116" s="10" t="n">
        <f aca="false">S115*Inputs!$B$48*Inputs!$B$29</f>
        <v>0</v>
      </c>
    </row>
    <row r="117" customFormat="false" ht="15" hidden="false" customHeight="false" outlineLevel="0" collapsed="false">
      <c r="A117" s="16" t="n">
        <v>116</v>
      </c>
      <c r="B117" s="16" t="n">
        <f aca="false">ROUNDUP(A117/12,0)</f>
        <v>10</v>
      </c>
      <c r="C117" s="10" t="n">
        <f aca="false">F116</f>
        <v>348624.104351061</v>
      </c>
      <c r="D117" s="10" t="n">
        <f aca="false">IF(AND(A117&lt;=Inputs!$B$9*12,C117&gt;0.000001),C117*Inputs!$B$10/12,0)</f>
        <v>2114.98623306311</v>
      </c>
      <c r="E117" s="10" t="n">
        <f aca="false">IF(AND(A117&lt;=Inputs!$B$9*12,C117&gt;0.000001),MIN(C117,Inputs!$B$41-D117),0)</f>
        <v>621.862895917601</v>
      </c>
      <c r="F117" s="10" t="n">
        <f aca="false">C117-E117</f>
        <v>348002.241455144</v>
      </c>
      <c r="G117" s="10" t="n">
        <f aca="false">IF(AND(Inputs!$B$43=1,C117&gt;0.78*Inputs!$B$7,A117&lt;=Inputs!$B$9*6),Inputs!$B$16*Inputs!$B$39/12,0)</f>
        <v>0</v>
      </c>
      <c r="H117" s="10" t="n">
        <f aca="false">IF(B117=1,Inputs!$B$7,INDEX(Annual!$AC$2:$AC$51,B117-1))</f>
        <v>711655.906210742</v>
      </c>
      <c r="I117" s="10" t="n">
        <f aca="false">Inputs!$B$12*IF(Inputs!$B$35="",H117,MIN(H117,Inputs!$B$7*(1+Inputs!$B$35)^(B117-1)))/12</f>
        <v>533.741929658057</v>
      </c>
      <c r="J117" s="10" t="n">
        <f aca="false">Inputs!$B$13*Inputs!$B$7*(1+Inputs!$B$22)^(B117-1)/12</f>
        <v>267.114088360481</v>
      </c>
      <c r="K117" s="10" t="n">
        <f aca="false">Inputs!$B$14*Inputs!$B$7*(1+Inputs!$B$22)^(B117-1)/12</f>
        <v>534.228176720963</v>
      </c>
      <c r="L117" s="10" t="n">
        <f aca="false">Inputs!$B$15*(1+Inputs!$B$22)^(B117-1)</f>
        <v>0</v>
      </c>
      <c r="M117" s="10" t="n">
        <f aca="false">INDEX(Annual!$N$2:$N$51,B117)/12</f>
        <v>0</v>
      </c>
      <c r="N117" s="10" t="n">
        <f aca="false">D117+E117+G117+I117+J117+K117+L117-M117</f>
        <v>4071.93332372021</v>
      </c>
      <c r="O117" s="10" t="n">
        <f aca="false">Inputs!$B$17*(1+Inputs!$B$18)^(B117-1)+Inputs!$B$19*(1+Inputs!$B$22)^(B117-1)</f>
        <v>3426.47559750476</v>
      </c>
      <c r="P117" s="10" t="n">
        <f aca="false">N117-O117</f>
        <v>645.457726215446</v>
      </c>
      <c r="Q117" s="10" t="n">
        <f aca="false">Q116*(1+Inputs!$B$42)-U117+MAX(P117,0)</f>
        <v>373185.932146343</v>
      </c>
      <c r="R117" s="10" t="n">
        <f aca="false">R116+Q116*Inputs!$B$48-U117+MAX(P117,0)</f>
        <v>244703.803298824</v>
      </c>
      <c r="S117" s="10" t="n">
        <f aca="false">S116*(1+Inputs!$B$42)-V117+MAX(-P117,0)</f>
        <v>0</v>
      </c>
      <c r="T117" s="10" t="n">
        <f aca="false">T116+S116*Inputs!$B$48-V117+MAX(-P117,0)</f>
        <v>0</v>
      </c>
      <c r="U117" s="10" t="n">
        <f aca="false">Q116*Inputs!$B$48*Inputs!$B$29</f>
        <v>50.943279226404</v>
      </c>
      <c r="V117" s="10" t="n">
        <f aca="false">S116*Inputs!$B$48*Inputs!$B$29</f>
        <v>0</v>
      </c>
    </row>
    <row r="118" customFormat="false" ht="15" hidden="false" customHeight="false" outlineLevel="0" collapsed="false">
      <c r="A118" s="16" t="n">
        <v>117</v>
      </c>
      <c r="B118" s="16" t="n">
        <f aca="false">ROUNDUP(A118/12,0)</f>
        <v>10</v>
      </c>
      <c r="C118" s="10" t="n">
        <f aca="false">F117</f>
        <v>348002.241455144</v>
      </c>
      <c r="D118" s="10" t="n">
        <f aca="false">IF(AND(A118&lt;=Inputs!$B$9*12,C118&gt;0.000001),C118*Inputs!$B$10/12,0)</f>
        <v>2111.2135981612</v>
      </c>
      <c r="E118" s="10" t="n">
        <f aca="false">IF(AND(A118&lt;=Inputs!$B$9*12,C118&gt;0.000001),MIN(C118,Inputs!$B$41-D118),0)</f>
        <v>625.635530819501</v>
      </c>
      <c r="F118" s="10" t="n">
        <f aca="false">C118-E118</f>
        <v>347376.605924324</v>
      </c>
      <c r="G118" s="10" t="n">
        <f aca="false">IF(AND(Inputs!$B$43=1,C118&gt;0.78*Inputs!$B$7,A118&lt;=Inputs!$B$9*6),Inputs!$B$16*Inputs!$B$39/12,0)</f>
        <v>0</v>
      </c>
      <c r="H118" s="10" t="n">
        <f aca="false">IF(B118=1,Inputs!$B$7,INDEX(Annual!$AC$2:$AC$51,B118-1))</f>
        <v>711655.906210742</v>
      </c>
      <c r="I118" s="10" t="n">
        <f aca="false">Inputs!$B$12*IF(Inputs!$B$35="",H118,MIN(H118,Inputs!$B$7*(1+Inputs!$B$35)^(B118-1)))/12</f>
        <v>533.741929658057</v>
      </c>
      <c r="J118" s="10" t="n">
        <f aca="false">Inputs!$B$13*Inputs!$B$7*(1+Inputs!$B$22)^(B118-1)/12</f>
        <v>267.114088360481</v>
      </c>
      <c r="K118" s="10" t="n">
        <f aca="false">Inputs!$B$14*Inputs!$B$7*(1+Inputs!$B$22)^(B118-1)/12</f>
        <v>534.228176720963</v>
      </c>
      <c r="L118" s="10" t="n">
        <f aca="false">Inputs!$B$15*(1+Inputs!$B$22)^(B118-1)</f>
        <v>0</v>
      </c>
      <c r="M118" s="10" t="n">
        <f aca="false">INDEX(Annual!$N$2:$N$51,B118)/12</f>
        <v>0</v>
      </c>
      <c r="N118" s="10" t="n">
        <f aca="false">D118+E118+G118+I118+J118+K118+L118-M118</f>
        <v>4071.93332372021</v>
      </c>
      <c r="O118" s="10" t="n">
        <f aca="false">Inputs!$B$17*(1+Inputs!$B$18)^(B118-1)+Inputs!$B$19*(1+Inputs!$B$22)^(B118-1)</f>
        <v>3426.47559750476</v>
      </c>
      <c r="P118" s="10" t="n">
        <f aca="false">N118-O118</f>
        <v>645.457726215446</v>
      </c>
      <c r="Q118" s="10" t="n">
        <f aca="false">Q117*(1+Inputs!$B$42)-U118+MAX(P118,0)</f>
        <v>375890.124323779</v>
      </c>
      <c r="R118" s="10" t="n">
        <f aca="false">R117+Q117*Inputs!$B$48-U118+MAX(P118,0)</f>
        <v>245640.035063837</v>
      </c>
      <c r="S118" s="10" t="n">
        <f aca="false">S117*(1+Inputs!$B$42)-V118+MAX(-P118,0)</f>
        <v>0</v>
      </c>
      <c r="T118" s="10" t="n">
        <f aca="false">T117+S117*Inputs!$B$48-V118+MAX(-P118,0)</f>
        <v>0</v>
      </c>
      <c r="U118" s="10" t="n">
        <f aca="false">Q117*Inputs!$B$48*Inputs!$B$29</f>
        <v>51.3130656701222</v>
      </c>
      <c r="V118" s="10" t="n">
        <f aca="false">S117*Inputs!$B$48*Inputs!$B$29</f>
        <v>0</v>
      </c>
    </row>
    <row r="119" customFormat="false" ht="15" hidden="false" customHeight="false" outlineLevel="0" collapsed="false">
      <c r="A119" s="16" t="n">
        <v>118</v>
      </c>
      <c r="B119" s="16" t="n">
        <f aca="false">ROUNDUP(A119/12,0)</f>
        <v>10</v>
      </c>
      <c r="C119" s="10" t="n">
        <f aca="false">F118</f>
        <v>347376.605924324</v>
      </c>
      <c r="D119" s="10" t="n">
        <f aca="false">IF(AND(A119&lt;=Inputs!$B$9*12,C119&gt;0.000001),C119*Inputs!$B$10/12,0)</f>
        <v>2107.4180759409</v>
      </c>
      <c r="E119" s="10" t="n">
        <f aca="false">IF(AND(A119&lt;=Inputs!$B$9*12,C119&gt;0.000001),MIN(C119,Inputs!$B$41-D119),0)</f>
        <v>629.431053039806</v>
      </c>
      <c r="F119" s="10" t="n">
        <f aca="false">C119-E119</f>
        <v>346747.174871284</v>
      </c>
      <c r="G119" s="10" t="n">
        <f aca="false">IF(AND(Inputs!$B$43=1,C119&gt;0.78*Inputs!$B$7,A119&lt;=Inputs!$B$9*6),Inputs!$B$16*Inputs!$B$39/12,0)</f>
        <v>0</v>
      </c>
      <c r="H119" s="10" t="n">
        <f aca="false">IF(B119=1,Inputs!$B$7,INDEX(Annual!$AC$2:$AC$51,B119-1))</f>
        <v>711655.906210742</v>
      </c>
      <c r="I119" s="10" t="n">
        <f aca="false">Inputs!$B$12*IF(Inputs!$B$35="",H119,MIN(H119,Inputs!$B$7*(1+Inputs!$B$35)^(B119-1)))/12</f>
        <v>533.741929658057</v>
      </c>
      <c r="J119" s="10" t="n">
        <f aca="false">Inputs!$B$13*Inputs!$B$7*(1+Inputs!$B$22)^(B119-1)/12</f>
        <v>267.114088360481</v>
      </c>
      <c r="K119" s="10" t="n">
        <f aca="false">Inputs!$B$14*Inputs!$B$7*(1+Inputs!$B$22)^(B119-1)/12</f>
        <v>534.228176720963</v>
      </c>
      <c r="L119" s="10" t="n">
        <f aca="false">Inputs!$B$15*(1+Inputs!$B$22)^(B119-1)</f>
        <v>0</v>
      </c>
      <c r="M119" s="10" t="n">
        <f aca="false">INDEX(Annual!$N$2:$N$51,B119)/12</f>
        <v>0</v>
      </c>
      <c r="N119" s="10" t="n">
        <f aca="false">D119+E119+G119+I119+J119+K119+L119-M119</f>
        <v>4071.93332372021</v>
      </c>
      <c r="O119" s="10" t="n">
        <f aca="false">Inputs!$B$17*(1+Inputs!$B$18)^(B119-1)+Inputs!$B$19*(1+Inputs!$B$22)^(B119-1)</f>
        <v>3426.47559750476</v>
      </c>
      <c r="P119" s="10" t="n">
        <f aca="false">N119-O119</f>
        <v>645.457726215446</v>
      </c>
      <c r="Q119" s="10" t="n">
        <f aca="false">Q118*(1+Inputs!$B$42)-U119+MAX(P119,0)</f>
        <v>378609.234570516</v>
      </c>
      <c r="R119" s="10" t="n">
        <f aca="false">R118+Q118*Inputs!$B$48-U119+MAX(P119,0)</f>
        <v>246578.373845254</v>
      </c>
      <c r="S119" s="10" t="n">
        <f aca="false">S118*(1+Inputs!$B$42)-V119+MAX(-P119,0)</f>
        <v>0</v>
      </c>
      <c r="T119" s="10" t="n">
        <f aca="false">T118+S118*Inputs!$B$48-V119+MAX(-P119,0)</f>
        <v>0</v>
      </c>
      <c r="U119" s="10" t="n">
        <f aca="false">Q118*Inputs!$B$48*Inputs!$B$29</f>
        <v>51.6848920945195</v>
      </c>
      <c r="V119" s="10" t="n">
        <f aca="false">S118*Inputs!$B$48*Inputs!$B$29</f>
        <v>0</v>
      </c>
    </row>
    <row r="120" customFormat="false" ht="15" hidden="false" customHeight="false" outlineLevel="0" collapsed="false">
      <c r="A120" s="16" t="n">
        <v>119</v>
      </c>
      <c r="B120" s="16" t="n">
        <f aca="false">ROUNDUP(A120/12,0)</f>
        <v>10</v>
      </c>
      <c r="C120" s="10" t="n">
        <f aca="false">F119</f>
        <v>346747.174871284</v>
      </c>
      <c r="D120" s="10" t="n">
        <f aca="false">IF(AND(A120&lt;=Inputs!$B$9*12,C120&gt;0.000001),C120*Inputs!$B$10/12,0)</f>
        <v>2103.59952755246</v>
      </c>
      <c r="E120" s="10" t="n">
        <f aca="false">IF(AND(A120&lt;=Inputs!$B$9*12,C120&gt;0.000001),MIN(C120,Inputs!$B$41-D120),0)</f>
        <v>633.249601428247</v>
      </c>
      <c r="F120" s="10" t="n">
        <f aca="false">C120-E120</f>
        <v>346113.925269856</v>
      </c>
      <c r="G120" s="10" t="n">
        <f aca="false">IF(AND(Inputs!$B$43=1,C120&gt;0.78*Inputs!$B$7,A120&lt;=Inputs!$B$9*6),Inputs!$B$16*Inputs!$B$39/12,0)</f>
        <v>0</v>
      </c>
      <c r="H120" s="10" t="n">
        <f aca="false">IF(B120=1,Inputs!$B$7,INDEX(Annual!$AC$2:$AC$51,B120-1))</f>
        <v>711655.906210742</v>
      </c>
      <c r="I120" s="10" t="n">
        <f aca="false">Inputs!$B$12*IF(Inputs!$B$35="",H120,MIN(H120,Inputs!$B$7*(1+Inputs!$B$35)^(B120-1)))/12</f>
        <v>533.741929658057</v>
      </c>
      <c r="J120" s="10" t="n">
        <f aca="false">Inputs!$B$13*Inputs!$B$7*(1+Inputs!$B$22)^(B120-1)/12</f>
        <v>267.114088360481</v>
      </c>
      <c r="K120" s="10" t="n">
        <f aca="false">Inputs!$B$14*Inputs!$B$7*(1+Inputs!$B$22)^(B120-1)/12</f>
        <v>534.228176720963</v>
      </c>
      <c r="L120" s="10" t="n">
        <f aca="false">Inputs!$B$15*(1+Inputs!$B$22)^(B120-1)</f>
        <v>0</v>
      </c>
      <c r="M120" s="10" t="n">
        <f aca="false">INDEX(Annual!$N$2:$N$51,B120)/12</f>
        <v>0</v>
      </c>
      <c r="N120" s="10" t="n">
        <f aca="false">D120+E120+G120+I120+J120+K120+L120-M120</f>
        <v>4071.93332372021</v>
      </c>
      <c r="O120" s="10" t="n">
        <f aca="false">Inputs!$B$17*(1+Inputs!$B$18)^(B120-1)+Inputs!$B$19*(1+Inputs!$B$22)^(B120-1)</f>
        <v>3426.47559750476</v>
      </c>
      <c r="P120" s="10" t="n">
        <f aca="false">N120-O120</f>
        <v>645.457726215446</v>
      </c>
      <c r="Q120" s="10" t="n">
        <f aca="false">Q119*(1+Inputs!$B$42)-U120+MAX(P120,0)</f>
        <v>381343.345184254</v>
      </c>
      <c r="R120" s="10" t="n">
        <f aca="false">R119+Q119*Inputs!$B$48-U120+MAX(P120,0)</f>
        <v>247518.831266739</v>
      </c>
      <c r="S120" s="10" t="n">
        <f aca="false">S119*(1+Inputs!$B$42)-V120+MAX(-P120,0)</f>
        <v>0</v>
      </c>
      <c r="T120" s="10" t="n">
        <f aca="false">T119+S119*Inputs!$B$48-V120+MAX(-P120,0)</f>
        <v>0</v>
      </c>
      <c r="U120" s="10" t="n">
        <f aca="false">Q119*Inputs!$B$48*Inputs!$B$29</f>
        <v>52.0587697534459</v>
      </c>
      <c r="V120" s="10" t="n">
        <f aca="false">S119*Inputs!$B$48*Inputs!$B$29</f>
        <v>0</v>
      </c>
    </row>
    <row r="121" customFormat="false" ht="15" hidden="false" customHeight="false" outlineLevel="0" collapsed="false">
      <c r="A121" s="16" t="n">
        <v>120</v>
      </c>
      <c r="B121" s="16" t="n">
        <f aca="false">ROUNDUP(A121/12,0)</f>
        <v>10</v>
      </c>
      <c r="C121" s="10" t="n">
        <f aca="false">F120</f>
        <v>346113.925269856</v>
      </c>
      <c r="D121" s="10" t="n">
        <f aca="false">IF(AND(A121&lt;=Inputs!$B$9*12,C121&gt;0.000001),C121*Inputs!$B$10/12,0)</f>
        <v>2099.75781330379</v>
      </c>
      <c r="E121" s="10" t="n">
        <f aca="false">IF(AND(A121&lt;=Inputs!$B$9*12,C121&gt;0.000001),MIN(C121,Inputs!$B$41-D121),0)</f>
        <v>637.091315676912</v>
      </c>
      <c r="F121" s="10" t="n">
        <f aca="false">C121-E121</f>
        <v>345476.833954179</v>
      </c>
      <c r="G121" s="10" t="n">
        <f aca="false">IF(AND(Inputs!$B$43=1,C121&gt;0.78*Inputs!$B$7,A121&lt;=Inputs!$B$9*6),Inputs!$B$16*Inputs!$B$39/12,0)</f>
        <v>0</v>
      </c>
      <c r="H121" s="10" t="n">
        <f aca="false">IF(B121=1,Inputs!$B$7,INDEX(Annual!$AC$2:$AC$51,B121-1))</f>
        <v>711655.906210742</v>
      </c>
      <c r="I121" s="10" t="n">
        <f aca="false">Inputs!$B$12*IF(Inputs!$B$35="",H121,MIN(H121,Inputs!$B$7*(1+Inputs!$B$35)^(B121-1)))/12</f>
        <v>533.741929658057</v>
      </c>
      <c r="J121" s="10" t="n">
        <f aca="false">Inputs!$B$13*Inputs!$B$7*(1+Inputs!$B$22)^(B121-1)/12</f>
        <v>267.114088360481</v>
      </c>
      <c r="K121" s="10" t="n">
        <f aca="false">Inputs!$B$14*Inputs!$B$7*(1+Inputs!$B$22)^(B121-1)/12</f>
        <v>534.228176720963</v>
      </c>
      <c r="L121" s="10" t="n">
        <f aca="false">Inputs!$B$15*(1+Inputs!$B$22)^(B121-1)</f>
        <v>0</v>
      </c>
      <c r="M121" s="10" t="n">
        <f aca="false">INDEX(Annual!$N$2:$N$51,B121)/12</f>
        <v>0</v>
      </c>
      <c r="N121" s="10" t="n">
        <f aca="false">D121+E121+G121+I121+J121+K121+L121-M121</f>
        <v>4071.93332372021</v>
      </c>
      <c r="O121" s="10" t="n">
        <f aca="false">Inputs!$B$17*(1+Inputs!$B$18)^(B121-1)+Inputs!$B$19*(1+Inputs!$B$22)^(B121-1)</f>
        <v>3426.47559750476</v>
      </c>
      <c r="P121" s="10" t="n">
        <f aca="false">N121-O121</f>
        <v>645.457726215446</v>
      </c>
      <c r="Q121" s="10" t="n">
        <f aca="false">Q120*(1+Inputs!$B$42)-U121+MAX(P121,0)</f>
        <v>384092.538916698</v>
      </c>
      <c r="R121" s="10" t="n">
        <f aca="false">R120+Q120*Inputs!$B$48-U121+MAX(P121,0)</f>
        <v>248461.419016077</v>
      </c>
      <c r="S121" s="10" t="n">
        <f aca="false">S120*(1+Inputs!$B$42)-V121+MAX(-P121,0)</f>
        <v>0</v>
      </c>
      <c r="T121" s="10" t="n">
        <f aca="false">T120+S120*Inputs!$B$48-V121+MAX(-P121,0)</f>
        <v>0</v>
      </c>
      <c r="U121" s="10" t="n">
        <f aca="false">Q120*Inputs!$B$48*Inputs!$B$29</f>
        <v>52.4347099628349</v>
      </c>
      <c r="V121" s="10" t="n">
        <f aca="false">S120*Inputs!$B$48*Inputs!$B$29</f>
        <v>0</v>
      </c>
    </row>
    <row r="122" customFormat="false" ht="15" hidden="false" customHeight="false" outlineLevel="0" collapsed="false">
      <c r="A122" s="16" t="n">
        <v>121</v>
      </c>
      <c r="B122" s="16" t="n">
        <f aca="false">ROUNDUP(A122/12,0)</f>
        <v>11</v>
      </c>
      <c r="C122" s="10" t="n">
        <f aca="false">F121</f>
        <v>345476.833954179</v>
      </c>
      <c r="D122" s="10" t="n">
        <f aca="false">IF(AND(A122&lt;=Inputs!$B$9*12,C122&gt;0.000001),C122*Inputs!$B$10/12,0)</f>
        <v>2095.89279265535</v>
      </c>
      <c r="E122" s="10" t="n">
        <f aca="false">IF(AND(A122&lt;=Inputs!$B$9*12,C122&gt;0.000001),MIN(C122,Inputs!$B$41-D122),0)</f>
        <v>640.956336325352</v>
      </c>
      <c r="F122" s="10" t="n">
        <f aca="false">C122-E122</f>
        <v>344835.877617854</v>
      </c>
      <c r="G122" s="10" t="n">
        <f aca="false">IF(AND(Inputs!$B$43=1,C122&gt;0.78*Inputs!$B$7,A122&lt;=Inputs!$B$9*6),Inputs!$B$16*Inputs!$B$39/12,0)</f>
        <v>0</v>
      </c>
      <c r="H122" s="10" t="n">
        <f aca="false">IF(B122=1,Inputs!$B$7,INDEX(Annual!$AC$2:$AC$51,B122-1))</f>
        <v>740122.142459172</v>
      </c>
      <c r="I122" s="10" t="n">
        <f aca="false">Inputs!$B$12*IF(Inputs!$B$35="",H122,MIN(H122,Inputs!$B$7*(1+Inputs!$B$35)^(B122-1)))/12</f>
        <v>555.091606844379</v>
      </c>
      <c r="J122" s="10" t="n">
        <f aca="false">Inputs!$B$13*Inputs!$B$7*(1+Inputs!$B$22)^(B122-1)/12</f>
        <v>274.593282834575</v>
      </c>
      <c r="K122" s="10" t="n">
        <f aca="false">Inputs!$B$14*Inputs!$B$7*(1+Inputs!$B$22)^(B122-1)/12</f>
        <v>549.186565669149</v>
      </c>
      <c r="L122" s="10" t="n">
        <f aca="false">Inputs!$B$15*(1+Inputs!$B$22)^(B122-1)</f>
        <v>0</v>
      </c>
      <c r="M122" s="10" t="n">
        <f aca="false">INDEX(Annual!$N$2:$N$51,B122)/12</f>
        <v>0</v>
      </c>
      <c r="N122" s="10" t="n">
        <f aca="false">D122+E122+G122+I122+J122+K122+L122-M122</f>
        <v>4115.72058432881</v>
      </c>
      <c r="O122" s="10" t="n">
        <f aca="false">Inputs!$B$17*(1+Inputs!$B$18)^(B122-1)+Inputs!$B$19*(1+Inputs!$B$22)^(B122-1)</f>
        <v>3546.26761791689</v>
      </c>
      <c r="P122" s="10" t="n">
        <f aca="false">N122-O122</f>
        <v>569.452966411917</v>
      </c>
      <c r="Q122" s="10" t="n">
        <f aca="false">Q121*(1+Inputs!$B$42)-U122+MAX(P122,0)</f>
        <v>386780.894216261</v>
      </c>
      <c r="R122" s="10" t="n">
        <f aca="false">R121+Q121*Inputs!$B$48-U122+MAX(P122,0)</f>
        <v>249330.144085729</v>
      </c>
      <c r="S122" s="10" t="n">
        <f aca="false">S121*(1+Inputs!$B$42)-V122+MAX(-P122,0)</f>
        <v>0</v>
      </c>
      <c r="T122" s="10" t="n">
        <f aca="false">T121+S121*Inputs!$B$48-V122+MAX(-P122,0)</f>
        <v>0</v>
      </c>
      <c r="U122" s="10" t="n">
        <f aca="false">Q121*Inputs!$B$48*Inputs!$B$29</f>
        <v>52.8127241010459</v>
      </c>
      <c r="V122" s="10" t="n">
        <f aca="false">S121*Inputs!$B$48*Inputs!$B$29</f>
        <v>0</v>
      </c>
    </row>
    <row r="123" customFormat="false" ht="15" hidden="false" customHeight="false" outlineLevel="0" collapsed="false">
      <c r="A123" s="16" t="n">
        <v>122</v>
      </c>
      <c r="B123" s="16" t="n">
        <f aca="false">ROUNDUP(A123/12,0)</f>
        <v>11</v>
      </c>
      <c r="C123" s="10" t="n">
        <f aca="false">F122</f>
        <v>344835.877617854</v>
      </c>
      <c r="D123" s="10" t="n">
        <f aca="false">IF(AND(A123&lt;=Inputs!$B$9*12,C123&gt;0.000001),C123*Inputs!$B$10/12,0)</f>
        <v>2092.00432421498</v>
      </c>
      <c r="E123" s="10" t="n">
        <f aca="false">IF(AND(A123&lt;=Inputs!$B$9*12,C123&gt;0.000001),MIN(C123,Inputs!$B$41-D123),0)</f>
        <v>644.844804765726</v>
      </c>
      <c r="F123" s="10" t="n">
        <f aca="false">C123-E123</f>
        <v>344191.032813088</v>
      </c>
      <c r="G123" s="10" t="n">
        <f aca="false">IF(AND(Inputs!$B$43=1,C123&gt;0.78*Inputs!$B$7,A123&lt;=Inputs!$B$9*6),Inputs!$B$16*Inputs!$B$39/12,0)</f>
        <v>0</v>
      </c>
      <c r="H123" s="10" t="n">
        <f aca="false">IF(B123=1,Inputs!$B$7,INDEX(Annual!$AC$2:$AC$51,B123-1))</f>
        <v>740122.142459172</v>
      </c>
      <c r="I123" s="10" t="n">
        <f aca="false">Inputs!$B$12*IF(Inputs!$B$35="",H123,MIN(H123,Inputs!$B$7*(1+Inputs!$B$35)^(B123-1)))/12</f>
        <v>555.091606844379</v>
      </c>
      <c r="J123" s="10" t="n">
        <f aca="false">Inputs!$B$13*Inputs!$B$7*(1+Inputs!$B$22)^(B123-1)/12</f>
        <v>274.593282834575</v>
      </c>
      <c r="K123" s="10" t="n">
        <f aca="false">Inputs!$B$14*Inputs!$B$7*(1+Inputs!$B$22)^(B123-1)/12</f>
        <v>549.186565669149</v>
      </c>
      <c r="L123" s="10" t="n">
        <f aca="false">Inputs!$B$15*(1+Inputs!$B$22)^(B123-1)</f>
        <v>0</v>
      </c>
      <c r="M123" s="10" t="n">
        <f aca="false">INDEX(Annual!$N$2:$N$51,B123)/12</f>
        <v>0</v>
      </c>
      <c r="N123" s="10" t="n">
        <f aca="false">D123+E123+G123+I123+J123+K123+L123-M123</f>
        <v>4115.72058432881</v>
      </c>
      <c r="O123" s="10" t="n">
        <f aca="false">Inputs!$B$17*(1+Inputs!$B$18)^(B123-1)+Inputs!$B$19*(1+Inputs!$B$22)^(B123-1)</f>
        <v>3546.26761791689</v>
      </c>
      <c r="P123" s="10" t="n">
        <f aca="false">N123-O123</f>
        <v>569.452966411917</v>
      </c>
      <c r="Q123" s="10" t="n">
        <f aca="false">Q122*(1+Inputs!$B$42)-U123+MAX(P123,0)</f>
        <v>389484.080218688</v>
      </c>
      <c r="R123" s="10" t="n">
        <f aca="false">R122+Q122*Inputs!$B$48-U123+MAX(P123,0)</f>
        <v>250200.963832217</v>
      </c>
      <c r="S123" s="10" t="n">
        <f aca="false">S122*(1+Inputs!$B$42)-V123+MAX(-P123,0)</f>
        <v>0</v>
      </c>
      <c r="T123" s="10" t="n">
        <f aca="false">T122+S122*Inputs!$B$48-V123+MAX(-P123,0)</f>
        <v>0</v>
      </c>
      <c r="U123" s="10" t="n">
        <f aca="false">Q122*Inputs!$B$48*Inputs!$B$29</f>
        <v>53.1823729547359</v>
      </c>
      <c r="V123" s="10" t="n">
        <f aca="false">S122*Inputs!$B$48*Inputs!$B$29</f>
        <v>0</v>
      </c>
    </row>
    <row r="124" customFormat="false" ht="15" hidden="false" customHeight="false" outlineLevel="0" collapsed="false">
      <c r="A124" s="16" t="n">
        <v>123</v>
      </c>
      <c r="B124" s="16" t="n">
        <f aca="false">ROUNDUP(A124/12,0)</f>
        <v>11</v>
      </c>
      <c r="C124" s="10" t="n">
        <f aca="false">F123</f>
        <v>344191.032813088</v>
      </c>
      <c r="D124" s="10" t="n">
        <f aca="false">IF(AND(A124&lt;=Inputs!$B$9*12,C124&gt;0.000001),C124*Inputs!$B$10/12,0)</f>
        <v>2088.09226573274</v>
      </c>
      <c r="E124" s="10" t="n">
        <f aca="false">IF(AND(A124&lt;=Inputs!$B$9*12,C124&gt;0.000001),MIN(C124,Inputs!$B$41-D124),0)</f>
        <v>648.756863247971</v>
      </c>
      <c r="F124" s="10" t="n">
        <f aca="false">C124-E124</f>
        <v>343542.27594984</v>
      </c>
      <c r="G124" s="10" t="n">
        <f aca="false">IF(AND(Inputs!$B$43=1,C124&gt;0.78*Inputs!$B$7,A124&lt;=Inputs!$B$9*6),Inputs!$B$16*Inputs!$B$39/12,0)</f>
        <v>0</v>
      </c>
      <c r="H124" s="10" t="n">
        <f aca="false">IF(B124=1,Inputs!$B$7,INDEX(Annual!$AC$2:$AC$51,B124-1))</f>
        <v>740122.142459172</v>
      </c>
      <c r="I124" s="10" t="n">
        <f aca="false">Inputs!$B$12*IF(Inputs!$B$35="",H124,MIN(H124,Inputs!$B$7*(1+Inputs!$B$35)^(B124-1)))/12</f>
        <v>555.091606844379</v>
      </c>
      <c r="J124" s="10" t="n">
        <f aca="false">Inputs!$B$13*Inputs!$B$7*(1+Inputs!$B$22)^(B124-1)/12</f>
        <v>274.593282834575</v>
      </c>
      <c r="K124" s="10" t="n">
        <f aca="false">Inputs!$B$14*Inputs!$B$7*(1+Inputs!$B$22)^(B124-1)/12</f>
        <v>549.186565669149</v>
      </c>
      <c r="L124" s="10" t="n">
        <f aca="false">Inputs!$B$15*(1+Inputs!$B$22)^(B124-1)</f>
        <v>0</v>
      </c>
      <c r="M124" s="10" t="n">
        <f aca="false">INDEX(Annual!$N$2:$N$51,B124)/12</f>
        <v>0</v>
      </c>
      <c r="N124" s="10" t="n">
        <f aca="false">D124+E124+G124+I124+J124+K124+L124-M124</f>
        <v>4115.72058432881</v>
      </c>
      <c r="O124" s="10" t="n">
        <f aca="false">Inputs!$B$17*(1+Inputs!$B$18)^(B124-1)+Inputs!$B$19*(1+Inputs!$B$22)^(B124-1)</f>
        <v>3546.26761791689</v>
      </c>
      <c r="P124" s="10" t="n">
        <f aca="false">N124-O124</f>
        <v>569.452966411917</v>
      </c>
      <c r="Q124" s="10" t="n">
        <f aca="false">Q123*(1+Inputs!$B$42)-U124+MAX(P124,0)</f>
        <v>392202.178739706</v>
      </c>
      <c r="R124" s="10" t="n">
        <f aca="false">R123+Q123*Inputs!$B$48-U124+MAX(P124,0)</f>
        <v>251073.889811133</v>
      </c>
      <c r="S124" s="10" t="n">
        <f aca="false">S123*(1+Inputs!$B$42)-V124+MAX(-P124,0)</f>
        <v>0</v>
      </c>
      <c r="T124" s="10" t="n">
        <f aca="false">T123+S123*Inputs!$B$48-V124+MAX(-P124,0)</f>
        <v>0</v>
      </c>
      <c r="U124" s="10" t="n">
        <f aca="false">Q123*Inputs!$B$48*Inputs!$B$29</f>
        <v>53.5540610300695</v>
      </c>
      <c r="V124" s="10" t="n">
        <f aca="false">S123*Inputs!$B$48*Inputs!$B$29</f>
        <v>0</v>
      </c>
    </row>
    <row r="125" customFormat="false" ht="15" hidden="false" customHeight="false" outlineLevel="0" collapsed="false">
      <c r="A125" s="16" t="n">
        <v>124</v>
      </c>
      <c r="B125" s="16" t="n">
        <f aca="false">ROUNDUP(A125/12,0)</f>
        <v>11</v>
      </c>
      <c r="C125" s="10" t="n">
        <f aca="false">F124</f>
        <v>343542.27594984</v>
      </c>
      <c r="D125" s="10" t="n">
        <f aca="false">IF(AND(A125&lt;=Inputs!$B$9*12,C125&gt;0.000001),C125*Inputs!$B$10/12,0)</f>
        <v>2084.1564740957</v>
      </c>
      <c r="E125" s="10" t="n">
        <f aca="false">IF(AND(A125&lt;=Inputs!$B$9*12,C125&gt;0.000001),MIN(C125,Inputs!$B$41-D125),0)</f>
        <v>652.692654885008</v>
      </c>
      <c r="F125" s="10" t="n">
        <f aca="false">C125-E125</f>
        <v>342889.583294955</v>
      </c>
      <c r="G125" s="10" t="n">
        <f aca="false">IF(AND(Inputs!$B$43=1,C125&gt;0.78*Inputs!$B$7,A125&lt;=Inputs!$B$9*6),Inputs!$B$16*Inputs!$B$39/12,0)</f>
        <v>0</v>
      </c>
      <c r="H125" s="10" t="n">
        <f aca="false">IF(B125=1,Inputs!$B$7,INDEX(Annual!$AC$2:$AC$51,B125-1))</f>
        <v>740122.142459172</v>
      </c>
      <c r="I125" s="10" t="n">
        <f aca="false">Inputs!$B$12*IF(Inputs!$B$35="",H125,MIN(H125,Inputs!$B$7*(1+Inputs!$B$35)^(B125-1)))/12</f>
        <v>555.091606844379</v>
      </c>
      <c r="J125" s="10" t="n">
        <f aca="false">Inputs!$B$13*Inputs!$B$7*(1+Inputs!$B$22)^(B125-1)/12</f>
        <v>274.593282834575</v>
      </c>
      <c r="K125" s="10" t="n">
        <f aca="false">Inputs!$B$14*Inputs!$B$7*(1+Inputs!$B$22)^(B125-1)/12</f>
        <v>549.186565669149</v>
      </c>
      <c r="L125" s="10" t="n">
        <f aca="false">Inputs!$B$15*(1+Inputs!$B$22)^(B125-1)</f>
        <v>0</v>
      </c>
      <c r="M125" s="10" t="n">
        <f aca="false">INDEX(Annual!$N$2:$N$51,B125)/12</f>
        <v>0</v>
      </c>
      <c r="N125" s="10" t="n">
        <f aca="false">D125+E125+G125+I125+J125+K125+L125-M125</f>
        <v>4115.72058432881</v>
      </c>
      <c r="O125" s="10" t="n">
        <f aca="false">Inputs!$B$17*(1+Inputs!$B$18)^(B125-1)+Inputs!$B$19*(1+Inputs!$B$22)^(B125-1)</f>
        <v>3546.26761791689</v>
      </c>
      <c r="P125" s="10" t="n">
        <f aca="false">N125-O125</f>
        <v>569.452966411917</v>
      </c>
      <c r="Q125" s="10" t="n">
        <f aca="false">Q124*(1+Inputs!$B$42)-U125+MAX(P125,0)</f>
        <v>394935.272046392</v>
      </c>
      <c r="R125" s="10" t="n">
        <f aca="false">R124+Q124*Inputs!$B$48-U125+MAX(P125,0)</f>
        <v>251948.933641813</v>
      </c>
      <c r="S125" s="10" t="n">
        <f aca="false">S124*(1+Inputs!$B$42)-V125+MAX(-P125,0)</f>
        <v>0</v>
      </c>
      <c r="T125" s="10" t="n">
        <f aca="false">T124+S124*Inputs!$B$48-V125+MAX(-P125,0)</f>
        <v>0</v>
      </c>
      <c r="U125" s="10" t="n">
        <f aca="false">Q124*Inputs!$B$48*Inputs!$B$29</f>
        <v>53.9277995767095</v>
      </c>
      <c r="V125" s="10" t="n">
        <f aca="false">S124*Inputs!$B$48*Inputs!$B$29</f>
        <v>0</v>
      </c>
    </row>
    <row r="126" customFormat="false" ht="15" hidden="false" customHeight="false" outlineLevel="0" collapsed="false">
      <c r="A126" s="16" t="n">
        <v>125</v>
      </c>
      <c r="B126" s="16" t="n">
        <f aca="false">ROUNDUP(A126/12,0)</f>
        <v>11</v>
      </c>
      <c r="C126" s="10" t="n">
        <f aca="false">F125</f>
        <v>342889.583294955</v>
      </c>
      <c r="D126" s="10" t="n">
        <f aca="false">IF(AND(A126&lt;=Inputs!$B$9*12,C126&gt;0.000001),C126*Inputs!$B$10/12,0)</f>
        <v>2080.19680532273</v>
      </c>
      <c r="E126" s="10" t="n">
        <f aca="false">IF(AND(A126&lt;=Inputs!$B$9*12,C126&gt;0.000001),MIN(C126,Inputs!$B$41-D126),0)</f>
        <v>656.652323657977</v>
      </c>
      <c r="F126" s="10" t="n">
        <f aca="false">C126-E126</f>
        <v>342232.930971297</v>
      </c>
      <c r="G126" s="10" t="n">
        <f aca="false">IF(AND(Inputs!$B$43=1,C126&gt;0.78*Inputs!$B$7,A126&lt;=Inputs!$B$9*6),Inputs!$B$16*Inputs!$B$39/12,0)</f>
        <v>0</v>
      </c>
      <c r="H126" s="10" t="n">
        <f aca="false">IF(B126=1,Inputs!$B$7,INDEX(Annual!$AC$2:$AC$51,B126-1))</f>
        <v>740122.142459172</v>
      </c>
      <c r="I126" s="10" t="n">
        <f aca="false">Inputs!$B$12*IF(Inputs!$B$35="",H126,MIN(H126,Inputs!$B$7*(1+Inputs!$B$35)^(B126-1)))/12</f>
        <v>555.091606844379</v>
      </c>
      <c r="J126" s="10" t="n">
        <f aca="false">Inputs!$B$13*Inputs!$B$7*(1+Inputs!$B$22)^(B126-1)/12</f>
        <v>274.593282834575</v>
      </c>
      <c r="K126" s="10" t="n">
        <f aca="false">Inputs!$B$14*Inputs!$B$7*(1+Inputs!$B$22)^(B126-1)/12</f>
        <v>549.186565669149</v>
      </c>
      <c r="L126" s="10" t="n">
        <f aca="false">Inputs!$B$15*(1+Inputs!$B$22)^(B126-1)</f>
        <v>0</v>
      </c>
      <c r="M126" s="10" t="n">
        <f aca="false">INDEX(Annual!$N$2:$N$51,B126)/12</f>
        <v>0</v>
      </c>
      <c r="N126" s="10" t="n">
        <f aca="false">D126+E126+G126+I126+J126+K126+L126-M126</f>
        <v>4115.72058432881</v>
      </c>
      <c r="O126" s="10" t="n">
        <f aca="false">Inputs!$B$17*(1+Inputs!$B$18)^(B126-1)+Inputs!$B$19*(1+Inputs!$B$22)^(B126-1)</f>
        <v>3546.26761791689</v>
      </c>
      <c r="P126" s="10" t="n">
        <f aca="false">N126-O126</f>
        <v>569.452966411917</v>
      </c>
      <c r="Q126" s="10" t="n">
        <f aca="false">Q125*(1+Inputs!$B$42)-U126+MAX(P126,0)</f>
        <v>397683.442859662</v>
      </c>
      <c r="R126" s="10" t="n">
        <f aca="false">R125+Q125*Inputs!$B$48-U126+MAX(P126,0)</f>
        <v>252826.107007694</v>
      </c>
      <c r="S126" s="10" t="n">
        <f aca="false">S125*(1+Inputs!$B$42)-V126+MAX(-P126,0)</f>
        <v>0</v>
      </c>
      <c r="T126" s="10" t="n">
        <f aca="false">T125+S125*Inputs!$B$48-V126+MAX(-P126,0)</f>
        <v>0</v>
      </c>
      <c r="U126" s="10" t="n">
        <f aca="false">Q125*Inputs!$B$48*Inputs!$B$29</f>
        <v>54.3035999063789</v>
      </c>
      <c r="V126" s="10" t="n">
        <f aca="false">S125*Inputs!$B$48*Inputs!$B$29</f>
        <v>0</v>
      </c>
    </row>
    <row r="127" customFormat="false" ht="15" hidden="false" customHeight="false" outlineLevel="0" collapsed="false">
      <c r="A127" s="16" t="n">
        <v>126</v>
      </c>
      <c r="B127" s="16" t="n">
        <f aca="false">ROUNDUP(A127/12,0)</f>
        <v>11</v>
      </c>
      <c r="C127" s="10" t="n">
        <f aca="false">F126</f>
        <v>342232.930971297</v>
      </c>
      <c r="D127" s="10" t="n">
        <f aca="false">IF(AND(A127&lt;=Inputs!$B$9*12,C127&gt;0.000001),C127*Inputs!$B$10/12,0)</f>
        <v>2076.2131145592</v>
      </c>
      <c r="E127" s="10" t="n">
        <f aca="false">IF(AND(A127&lt;=Inputs!$B$9*12,C127&gt;0.000001),MIN(C127,Inputs!$B$41-D127),0)</f>
        <v>660.636014421502</v>
      </c>
      <c r="F127" s="10" t="n">
        <f aca="false">C127-E127</f>
        <v>341572.294956876</v>
      </c>
      <c r="G127" s="10" t="n">
        <f aca="false">IF(AND(Inputs!$B$43=1,C127&gt;0.78*Inputs!$B$7,A127&lt;=Inputs!$B$9*6),Inputs!$B$16*Inputs!$B$39/12,0)</f>
        <v>0</v>
      </c>
      <c r="H127" s="10" t="n">
        <f aca="false">IF(B127=1,Inputs!$B$7,INDEX(Annual!$AC$2:$AC$51,B127-1))</f>
        <v>740122.142459172</v>
      </c>
      <c r="I127" s="10" t="n">
        <f aca="false">Inputs!$B$12*IF(Inputs!$B$35="",H127,MIN(H127,Inputs!$B$7*(1+Inputs!$B$35)^(B127-1)))/12</f>
        <v>555.091606844379</v>
      </c>
      <c r="J127" s="10" t="n">
        <f aca="false">Inputs!$B$13*Inputs!$B$7*(1+Inputs!$B$22)^(B127-1)/12</f>
        <v>274.593282834575</v>
      </c>
      <c r="K127" s="10" t="n">
        <f aca="false">Inputs!$B$14*Inputs!$B$7*(1+Inputs!$B$22)^(B127-1)/12</f>
        <v>549.186565669149</v>
      </c>
      <c r="L127" s="10" t="n">
        <f aca="false">Inputs!$B$15*(1+Inputs!$B$22)^(B127-1)</f>
        <v>0</v>
      </c>
      <c r="M127" s="10" t="n">
        <f aca="false">INDEX(Annual!$N$2:$N$51,B127)/12</f>
        <v>0</v>
      </c>
      <c r="N127" s="10" t="n">
        <f aca="false">D127+E127+G127+I127+J127+K127+L127-M127</f>
        <v>4115.72058432881</v>
      </c>
      <c r="O127" s="10" t="n">
        <f aca="false">Inputs!$B$17*(1+Inputs!$B$18)^(B127-1)+Inputs!$B$19*(1+Inputs!$B$22)^(B127-1)</f>
        <v>3546.26761791689</v>
      </c>
      <c r="P127" s="10" t="n">
        <f aca="false">N127-O127</f>
        <v>569.452966411917</v>
      </c>
      <c r="Q127" s="10" t="n">
        <f aca="false">Q126*(1+Inputs!$B$42)-U127+MAX(P127,0)</f>
        <v>400446.774356774</v>
      </c>
      <c r="R127" s="10" t="n">
        <f aca="false">R126+Q126*Inputs!$B$48-U127+MAX(P127,0)</f>
        <v>253705.421656668</v>
      </c>
      <c r="S127" s="10" t="n">
        <f aca="false">S126*(1+Inputs!$B$42)-V127+MAX(-P127,0)</f>
        <v>0</v>
      </c>
      <c r="T127" s="10" t="n">
        <f aca="false">T126+S126*Inputs!$B$48-V127+MAX(-P127,0)</f>
        <v>0</v>
      </c>
      <c r="U127" s="10" t="n">
        <f aca="false">Q126*Inputs!$B$48*Inputs!$B$29</f>
        <v>54.6814733932036</v>
      </c>
      <c r="V127" s="10" t="n">
        <f aca="false">S126*Inputs!$B$48*Inputs!$B$29</f>
        <v>0</v>
      </c>
    </row>
    <row r="128" customFormat="false" ht="15" hidden="false" customHeight="false" outlineLevel="0" collapsed="false">
      <c r="A128" s="16" t="n">
        <v>127</v>
      </c>
      <c r="B128" s="16" t="n">
        <f aca="false">ROUNDUP(A128/12,0)</f>
        <v>11</v>
      </c>
      <c r="C128" s="10" t="n">
        <f aca="false">F127</f>
        <v>341572.294956876</v>
      </c>
      <c r="D128" s="10" t="n">
        <f aca="false">IF(AND(A128&lt;=Inputs!$B$9*12,C128&gt;0.000001),C128*Inputs!$B$10/12,0)</f>
        <v>2072.20525607171</v>
      </c>
      <c r="E128" s="10" t="n">
        <f aca="false">IF(AND(A128&lt;=Inputs!$B$9*12,C128&gt;0.000001),MIN(C128,Inputs!$B$41-D128),0)</f>
        <v>664.643872908993</v>
      </c>
      <c r="F128" s="10" t="n">
        <f aca="false">C128-E128</f>
        <v>340907.651083967</v>
      </c>
      <c r="G128" s="10" t="n">
        <f aca="false">IF(AND(Inputs!$B$43=1,C128&gt;0.78*Inputs!$B$7,A128&lt;=Inputs!$B$9*6),Inputs!$B$16*Inputs!$B$39/12,0)</f>
        <v>0</v>
      </c>
      <c r="H128" s="10" t="n">
        <f aca="false">IF(B128=1,Inputs!$B$7,INDEX(Annual!$AC$2:$AC$51,B128-1))</f>
        <v>740122.142459172</v>
      </c>
      <c r="I128" s="10" t="n">
        <f aca="false">Inputs!$B$12*IF(Inputs!$B$35="",H128,MIN(H128,Inputs!$B$7*(1+Inputs!$B$35)^(B128-1)))/12</f>
        <v>555.091606844379</v>
      </c>
      <c r="J128" s="10" t="n">
        <f aca="false">Inputs!$B$13*Inputs!$B$7*(1+Inputs!$B$22)^(B128-1)/12</f>
        <v>274.593282834575</v>
      </c>
      <c r="K128" s="10" t="n">
        <f aca="false">Inputs!$B$14*Inputs!$B$7*(1+Inputs!$B$22)^(B128-1)/12</f>
        <v>549.186565669149</v>
      </c>
      <c r="L128" s="10" t="n">
        <f aca="false">Inputs!$B$15*(1+Inputs!$B$22)^(B128-1)</f>
        <v>0</v>
      </c>
      <c r="M128" s="10" t="n">
        <f aca="false">INDEX(Annual!$N$2:$N$51,B128)/12</f>
        <v>0</v>
      </c>
      <c r="N128" s="10" t="n">
        <f aca="false">D128+E128+G128+I128+J128+K128+L128-M128</f>
        <v>4115.72058432881</v>
      </c>
      <c r="O128" s="10" t="n">
        <f aca="false">Inputs!$B$17*(1+Inputs!$B$18)^(B128-1)+Inputs!$B$19*(1+Inputs!$B$22)^(B128-1)</f>
        <v>3546.26761791689</v>
      </c>
      <c r="P128" s="10" t="n">
        <f aca="false">N128-O128</f>
        <v>569.452966411917</v>
      </c>
      <c r="Q128" s="10" t="n">
        <f aca="false">Q127*(1+Inputs!$B$42)-U128+MAX(P128,0)</f>
        <v>403225.350173842</v>
      </c>
      <c r="R128" s="10" t="n">
        <f aca="false">R127+Q127*Inputs!$B$48-U128+MAX(P128,0)</f>
        <v>254586.889401433</v>
      </c>
      <c r="S128" s="10" t="n">
        <f aca="false">S127*(1+Inputs!$B$42)-V128+MAX(-P128,0)</f>
        <v>0</v>
      </c>
      <c r="T128" s="10" t="n">
        <f aca="false">T127+S127*Inputs!$B$48-V128+MAX(-P128,0)</f>
        <v>0</v>
      </c>
      <c r="U128" s="10" t="n">
        <f aca="false">Q127*Inputs!$B$48*Inputs!$B$29</f>
        <v>55.0614314740564</v>
      </c>
      <c r="V128" s="10" t="n">
        <f aca="false">S127*Inputs!$B$48*Inputs!$B$29</f>
        <v>0</v>
      </c>
    </row>
    <row r="129" customFormat="false" ht="15" hidden="false" customHeight="false" outlineLevel="0" collapsed="false">
      <c r="A129" s="16" t="n">
        <v>128</v>
      </c>
      <c r="B129" s="16" t="n">
        <f aca="false">ROUNDUP(A129/12,0)</f>
        <v>11</v>
      </c>
      <c r="C129" s="10" t="n">
        <f aca="false">F128</f>
        <v>340907.651083967</v>
      </c>
      <c r="D129" s="10" t="n">
        <f aca="false">IF(AND(A129&lt;=Inputs!$B$9*12,C129&gt;0.000001),C129*Inputs!$B$10/12,0)</f>
        <v>2068.17308324273</v>
      </c>
      <c r="E129" s="10" t="n">
        <f aca="false">IF(AND(A129&lt;=Inputs!$B$9*12,C129&gt;0.000001),MIN(C129,Inputs!$B$41-D129),0)</f>
        <v>668.676045737975</v>
      </c>
      <c r="F129" s="10" t="n">
        <f aca="false">C129-E129</f>
        <v>340238.975038229</v>
      </c>
      <c r="G129" s="10" t="n">
        <f aca="false">IF(AND(Inputs!$B$43=1,C129&gt;0.78*Inputs!$B$7,A129&lt;=Inputs!$B$9*6),Inputs!$B$16*Inputs!$B$39/12,0)</f>
        <v>0</v>
      </c>
      <c r="H129" s="10" t="n">
        <f aca="false">IF(B129=1,Inputs!$B$7,INDEX(Annual!$AC$2:$AC$51,B129-1))</f>
        <v>740122.142459172</v>
      </c>
      <c r="I129" s="10" t="n">
        <f aca="false">Inputs!$B$12*IF(Inputs!$B$35="",H129,MIN(H129,Inputs!$B$7*(1+Inputs!$B$35)^(B129-1)))/12</f>
        <v>555.091606844379</v>
      </c>
      <c r="J129" s="10" t="n">
        <f aca="false">Inputs!$B$13*Inputs!$B$7*(1+Inputs!$B$22)^(B129-1)/12</f>
        <v>274.593282834575</v>
      </c>
      <c r="K129" s="10" t="n">
        <f aca="false">Inputs!$B$14*Inputs!$B$7*(1+Inputs!$B$22)^(B129-1)/12</f>
        <v>549.186565669149</v>
      </c>
      <c r="L129" s="10" t="n">
        <f aca="false">Inputs!$B$15*(1+Inputs!$B$22)^(B129-1)</f>
        <v>0</v>
      </c>
      <c r="M129" s="10" t="n">
        <f aca="false">INDEX(Annual!$N$2:$N$51,B129)/12</f>
        <v>0</v>
      </c>
      <c r="N129" s="10" t="n">
        <f aca="false">D129+E129+G129+I129+J129+K129+L129-M129</f>
        <v>4115.72058432881</v>
      </c>
      <c r="O129" s="10" t="n">
        <f aca="false">Inputs!$B$17*(1+Inputs!$B$18)^(B129-1)+Inputs!$B$19*(1+Inputs!$B$22)^(B129-1)</f>
        <v>3546.26761791689</v>
      </c>
      <c r="P129" s="10" t="n">
        <f aca="false">N129-O129</f>
        <v>569.452966411917</v>
      </c>
      <c r="Q129" s="10" t="n">
        <f aca="false">Q128*(1+Inputs!$B$42)-U129+MAX(P129,0)</f>
        <v>406019.254408375</v>
      </c>
      <c r="R129" s="10" t="n">
        <f aca="false">R128+Q128*Inputs!$B$48-U129+MAX(P129,0)</f>
        <v>255470.522119855</v>
      </c>
      <c r="S129" s="10" t="n">
        <f aca="false">S128*(1+Inputs!$B$42)-V129+MAX(-P129,0)</f>
        <v>0</v>
      </c>
      <c r="T129" s="10" t="n">
        <f aca="false">T128+S128*Inputs!$B$48-V129+MAX(-P129,0)</f>
        <v>0</v>
      </c>
      <c r="U129" s="10" t="n">
        <f aca="false">Q128*Inputs!$B$48*Inputs!$B$29</f>
        <v>55.4434856489033</v>
      </c>
      <c r="V129" s="10" t="n">
        <f aca="false">S128*Inputs!$B$48*Inputs!$B$29</f>
        <v>0</v>
      </c>
    </row>
    <row r="130" customFormat="false" ht="15" hidden="false" customHeight="false" outlineLevel="0" collapsed="false">
      <c r="A130" s="16" t="n">
        <v>129</v>
      </c>
      <c r="B130" s="16" t="n">
        <f aca="false">ROUNDUP(A130/12,0)</f>
        <v>11</v>
      </c>
      <c r="C130" s="10" t="n">
        <f aca="false">F129</f>
        <v>340238.975038229</v>
      </c>
      <c r="D130" s="10" t="n">
        <f aca="false">IF(AND(A130&lt;=Inputs!$B$9*12,C130&gt;0.000001),C130*Inputs!$B$10/12,0)</f>
        <v>2064.11644856525</v>
      </c>
      <c r="E130" s="10" t="n">
        <f aca="false">IF(AND(A130&lt;=Inputs!$B$9*12,C130&gt;0.000001),MIN(C130,Inputs!$B$41-D130),0)</f>
        <v>672.732680415452</v>
      </c>
      <c r="F130" s="10" t="n">
        <f aca="false">C130-E130</f>
        <v>339566.242357813</v>
      </c>
      <c r="G130" s="10" t="n">
        <f aca="false">IF(AND(Inputs!$B$43=1,C130&gt;0.78*Inputs!$B$7,A130&lt;=Inputs!$B$9*6),Inputs!$B$16*Inputs!$B$39/12,0)</f>
        <v>0</v>
      </c>
      <c r="H130" s="10" t="n">
        <f aca="false">IF(B130=1,Inputs!$B$7,INDEX(Annual!$AC$2:$AC$51,B130-1))</f>
        <v>740122.142459172</v>
      </c>
      <c r="I130" s="10" t="n">
        <f aca="false">Inputs!$B$12*IF(Inputs!$B$35="",H130,MIN(H130,Inputs!$B$7*(1+Inputs!$B$35)^(B130-1)))/12</f>
        <v>555.091606844379</v>
      </c>
      <c r="J130" s="10" t="n">
        <f aca="false">Inputs!$B$13*Inputs!$B$7*(1+Inputs!$B$22)^(B130-1)/12</f>
        <v>274.593282834575</v>
      </c>
      <c r="K130" s="10" t="n">
        <f aca="false">Inputs!$B$14*Inputs!$B$7*(1+Inputs!$B$22)^(B130-1)/12</f>
        <v>549.186565669149</v>
      </c>
      <c r="L130" s="10" t="n">
        <f aca="false">Inputs!$B$15*(1+Inputs!$B$22)^(B130-1)</f>
        <v>0</v>
      </c>
      <c r="M130" s="10" t="n">
        <f aca="false">INDEX(Annual!$N$2:$N$51,B130)/12</f>
        <v>0</v>
      </c>
      <c r="N130" s="10" t="n">
        <f aca="false">D130+E130+G130+I130+J130+K130+L130-M130</f>
        <v>4115.72058432881</v>
      </c>
      <c r="O130" s="10" t="n">
        <f aca="false">Inputs!$B$17*(1+Inputs!$B$18)^(B130-1)+Inputs!$B$19*(1+Inputs!$B$22)^(B130-1)</f>
        <v>3546.26761791689</v>
      </c>
      <c r="P130" s="10" t="n">
        <f aca="false">N130-O130</f>
        <v>569.452966411917</v>
      </c>
      <c r="Q130" s="10" t="n">
        <f aca="false">Q129*(1+Inputs!$B$42)-U130+MAX(P130,0)</f>
        <v>408828.571621817</v>
      </c>
      <c r="R130" s="10" t="n">
        <f aca="false">R129+Q129*Inputs!$B$48-U130+MAX(P130,0)</f>
        <v>256356.331755327</v>
      </c>
      <c r="S130" s="10" t="n">
        <f aca="false">S129*(1+Inputs!$B$42)-V130+MAX(-P130,0)</f>
        <v>0</v>
      </c>
      <c r="T130" s="10" t="n">
        <f aca="false">T129+S129*Inputs!$B$48-V130+MAX(-P130,0)</f>
        <v>0</v>
      </c>
      <c r="U130" s="10" t="n">
        <f aca="false">Q129*Inputs!$B$48*Inputs!$B$29</f>
        <v>55.8276474811516</v>
      </c>
      <c r="V130" s="10" t="n">
        <f aca="false">S129*Inputs!$B$48*Inputs!$B$29</f>
        <v>0</v>
      </c>
    </row>
    <row r="131" customFormat="false" ht="15" hidden="false" customHeight="false" outlineLevel="0" collapsed="false">
      <c r="A131" s="16" t="n">
        <v>130</v>
      </c>
      <c r="B131" s="16" t="n">
        <f aca="false">ROUNDUP(A131/12,0)</f>
        <v>11</v>
      </c>
      <c r="C131" s="10" t="n">
        <f aca="false">F130</f>
        <v>339566.242357813</v>
      </c>
      <c r="D131" s="10" t="n">
        <f aca="false">IF(AND(A131&lt;=Inputs!$B$9*12,C131&gt;0.000001),C131*Inputs!$B$10/12,0)</f>
        <v>2060.0352036374</v>
      </c>
      <c r="E131" s="10" t="n">
        <f aca="false">IF(AND(A131&lt;=Inputs!$B$9*12,C131&gt;0.000001),MIN(C131,Inputs!$B$41-D131),0)</f>
        <v>676.813925343306</v>
      </c>
      <c r="F131" s="10" t="n">
        <f aca="false">C131-E131</f>
        <v>338889.42843247</v>
      </c>
      <c r="G131" s="10" t="n">
        <f aca="false">IF(AND(Inputs!$B$43=1,C131&gt;0.78*Inputs!$B$7,A131&lt;=Inputs!$B$9*6),Inputs!$B$16*Inputs!$B$39/12,0)</f>
        <v>0</v>
      </c>
      <c r="H131" s="10" t="n">
        <f aca="false">IF(B131=1,Inputs!$B$7,INDEX(Annual!$AC$2:$AC$51,B131-1))</f>
        <v>740122.142459172</v>
      </c>
      <c r="I131" s="10" t="n">
        <f aca="false">Inputs!$B$12*IF(Inputs!$B$35="",H131,MIN(H131,Inputs!$B$7*(1+Inputs!$B$35)^(B131-1)))/12</f>
        <v>555.091606844379</v>
      </c>
      <c r="J131" s="10" t="n">
        <f aca="false">Inputs!$B$13*Inputs!$B$7*(1+Inputs!$B$22)^(B131-1)/12</f>
        <v>274.593282834575</v>
      </c>
      <c r="K131" s="10" t="n">
        <f aca="false">Inputs!$B$14*Inputs!$B$7*(1+Inputs!$B$22)^(B131-1)/12</f>
        <v>549.186565669149</v>
      </c>
      <c r="L131" s="10" t="n">
        <f aca="false">Inputs!$B$15*(1+Inputs!$B$22)^(B131-1)</f>
        <v>0</v>
      </c>
      <c r="M131" s="10" t="n">
        <f aca="false">INDEX(Annual!$N$2:$N$51,B131)/12</f>
        <v>0</v>
      </c>
      <c r="N131" s="10" t="n">
        <f aca="false">D131+E131+G131+I131+J131+K131+L131-M131</f>
        <v>4115.72058432881</v>
      </c>
      <c r="O131" s="10" t="n">
        <f aca="false">Inputs!$B$17*(1+Inputs!$B$18)^(B131-1)+Inputs!$B$19*(1+Inputs!$B$22)^(B131-1)</f>
        <v>3546.26761791689</v>
      </c>
      <c r="P131" s="10" t="n">
        <f aca="false">N131-O131</f>
        <v>569.452966411917</v>
      </c>
      <c r="Q131" s="10" t="n">
        <f aca="false">Q130*(1+Inputs!$B$42)-U131+MAX(P131,0)</f>
        <v>411653.386842106</v>
      </c>
      <c r="R131" s="10" t="n">
        <f aca="false">R130+Q130*Inputs!$B$48-U131+MAX(P131,0)</f>
        <v>257244.330317127</v>
      </c>
      <c r="S131" s="10" t="n">
        <f aca="false">S130*(1+Inputs!$B$42)-V131+MAX(-P131,0)</f>
        <v>0</v>
      </c>
      <c r="T131" s="10" t="n">
        <f aca="false">T130+S130*Inputs!$B$48-V131+MAX(-P131,0)</f>
        <v>0</v>
      </c>
      <c r="U131" s="10" t="n">
        <f aca="false">Q130*Inputs!$B$48*Inputs!$B$29</f>
        <v>56.2139285979998</v>
      </c>
      <c r="V131" s="10" t="n">
        <f aca="false">S130*Inputs!$B$48*Inputs!$B$29</f>
        <v>0</v>
      </c>
    </row>
    <row r="132" customFormat="false" ht="15" hidden="false" customHeight="false" outlineLevel="0" collapsed="false">
      <c r="A132" s="16" t="n">
        <v>131</v>
      </c>
      <c r="B132" s="16" t="n">
        <f aca="false">ROUNDUP(A132/12,0)</f>
        <v>11</v>
      </c>
      <c r="C132" s="10" t="n">
        <f aca="false">F131</f>
        <v>338889.42843247</v>
      </c>
      <c r="D132" s="10" t="n">
        <f aca="false">IF(AND(A132&lt;=Inputs!$B$9*12,C132&gt;0.000001),C132*Inputs!$B$10/12,0)</f>
        <v>2055.92919915698</v>
      </c>
      <c r="E132" s="10" t="n">
        <f aca="false">IF(AND(A132&lt;=Inputs!$B$9*12,C132&gt;0.000001),MIN(C132,Inputs!$B$41-D132),0)</f>
        <v>680.919929823722</v>
      </c>
      <c r="F132" s="10" t="n">
        <f aca="false">C132-E132</f>
        <v>338208.508502646</v>
      </c>
      <c r="G132" s="10" t="n">
        <f aca="false">IF(AND(Inputs!$B$43=1,C132&gt;0.78*Inputs!$B$7,A132&lt;=Inputs!$B$9*6),Inputs!$B$16*Inputs!$B$39/12,0)</f>
        <v>0</v>
      </c>
      <c r="H132" s="10" t="n">
        <f aca="false">IF(B132=1,Inputs!$B$7,INDEX(Annual!$AC$2:$AC$51,B132-1))</f>
        <v>740122.142459172</v>
      </c>
      <c r="I132" s="10" t="n">
        <f aca="false">Inputs!$B$12*IF(Inputs!$B$35="",H132,MIN(H132,Inputs!$B$7*(1+Inputs!$B$35)^(B132-1)))/12</f>
        <v>555.091606844379</v>
      </c>
      <c r="J132" s="10" t="n">
        <f aca="false">Inputs!$B$13*Inputs!$B$7*(1+Inputs!$B$22)^(B132-1)/12</f>
        <v>274.593282834575</v>
      </c>
      <c r="K132" s="10" t="n">
        <f aca="false">Inputs!$B$14*Inputs!$B$7*(1+Inputs!$B$22)^(B132-1)/12</f>
        <v>549.186565669149</v>
      </c>
      <c r="L132" s="10" t="n">
        <f aca="false">Inputs!$B$15*(1+Inputs!$B$22)^(B132-1)</f>
        <v>0</v>
      </c>
      <c r="M132" s="10" t="n">
        <f aca="false">INDEX(Annual!$N$2:$N$51,B132)/12</f>
        <v>0</v>
      </c>
      <c r="N132" s="10" t="n">
        <f aca="false">D132+E132+G132+I132+J132+K132+L132-M132</f>
        <v>4115.72058432881</v>
      </c>
      <c r="O132" s="10" t="n">
        <f aca="false">Inputs!$B$17*(1+Inputs!$B$18)^(B132-1)+Inputs!$B$19*(1+Inputs!$B$22)^(B132-1)</f>
        <v>3546.26761791689</v>
      </c>
      <c r="P132" s="10" t="n">
        <f aca="false">N132-O132</f>
        <v>569.452966411917</v>
      </c>
      <c r="Q132" s="10" t="n">
        <f aca="false">Q131*(1+Inputs!$B$42)-U132+MAX(P132,0)</f>
        <v>414493.78556625</v>
      </c>
      <c r="R132" s="10" t="n">
        <f aca="false">R131+Q131*Inputs!$B$48-U132+MAX(P132,0)</f>
        <v>258134.529880787</v>
      </c>
      <c r="S132" s="10" t="n">
        <f aca="false">S131*(1+Inputs!$B$42)-V132+MAX(-P132,0)</f>
        <v>0</v>
      </c>
      <c r="T132" s="10" t="n">
        <f aca="false">T131+S131*Inputs!$B$48-V132+MAX(-P132,0)</f>
        <v>0</v>
      </c>
      <c r="U132" s="10" t="n">
        <f aca="false">Q131*Inputs!$B$48*Inputs!$B$29</f>
        <v>56.6023406907895</v>
      </c>
      <c r="V132" s="10" t="n">
        <f aca="false">S131*Inputs!$B$48*Inputs!$B$29</f>
        <v>0</v>
      </c>
    </row>
    <row r="133" customFormat="false" ht="15" hidden="false" customHeight="false" outlineLevel="0" collapsed="false">
      <c r="A133" s="16" t="n">
        <v>132</v>
      </c>
      <c r="B133" s="16" t="n">
        <f aca="false">ROUNDUP(A133/12,0)</f>
        <v>11</v>
      </c>
      <c r="C133" s="10" t="n">
        <f aca="false">F132</f>
        <v>338208.508502646</v>
      </c>
      <c r="D133" s="10" t="n">
        <f aca="false">IF(AND(A133&lt;=Inputs!$B$9*12,C133&gt;0.000001),C133*Inputs!$B$10/12,0)</f>
        <v>2051.79828491605</v>
      </c>
      <c r="E133" s="10" t="n">
        <f aca="false">IF(AND(A133&lt;=Inputs!$B$9*12,C133&gt;0.000001),MIN(C133,Inputs!$B$41-D133),0)</f>
        <v>685.050844064652</v>
      </c>
      <c r="F133" s="10" t="n">
        <f aca="false">C133-E133</f>
        <v>337523.457658582</v>
      </c>
      <c r="G133" s="10" t="n">
        <f aca="false">IF(AND(Inputs!$B$43=1,C133&gt;0.78*Inputs!$B$7,A133&lt;=Inputs!$B$9*6),Inputs!$B$16*Inputs!$B$39/12,0)</f>
        <v>0</v>
      </c>
      <c r="H133" s="10" t="n">
        <f aca="false">IF(B133=1,Inputs!$B$7,INDEX(Annual!$AC$2:$AC$51,B133-1))</f>
        <v>740122.142459172</v>
      </c>
      <c r="I133" s="10" t="n">
        <f aca="false">Inputs!$B$12*IF(Inputs!$B$35="",H133,MIN(H133,Inputs!$B$7*(1+Inputs!$B$35)^(B133-1)))/12</f>
        <v>555.091606844379</v>
      </c>
      <c r="J133" s="10" t="n">
        <f aca="false">Inputs!$B$13*Inputs!$B$7*(1+Inputs!$B$22)^(B133-1)/12</f>
        <v>274.593282834575</v>
      </c>
      <c r="K133" s="10" t="n">
        <f aca="false">Inputs!$B$14*Inputs!$B$7*(1+Inputs!$B$22)^(B133-1)/12</f>
        <v>549.186565669149</v>
      </c>
      <c r="L133" s="10" t="n">
        <f aca="false">Inputs!$B$15*(1+Inputs!$B$22)^(B133-1)</f>
        <v>0</v>
      </c>
      <c r="M133" s="10" t="n">
        <f aca="false">INDEX(Annual!$N$2:$N$51,B133)/12</f>
        <v>0</v>
      </c>
      <c r="N133" s="10" t="n">
        <f aca="false">D133+E133+G133+I133+J133+K133+L133-M133</f>
        <v>4115.72058432881</v>
      </c>
      <c r="O133" s="10" t="n">
        <f aca="false">Inputs!$B$17*(1+Inputs!$B$18)^(B133-1)+Inputs!$B$19*(1+Inputs!$B$22)^(B133-1)</f>
        <v>3546.26761791689</v>
      </c>
      <c r="P133" s="10" t="n">
        <f aca="false">N133-O133</f>
        <v>569.452966411917</v>
      </c>
      <c r="Q133" s="10" t="n">
        <f aca="false">Q132*(1+Inputs!$B$42)-U133+MAX(P133,0)</f>
        <v>417349.853762914</v>
      </c>
      <c r="R133" s="10" t="n">
        <f aca="false">R132+Q132*Inputs!$B$48-U133+MAX(P133,0)</f>
        <v>259026.942588453</v>
      </c>
      <c r="S133" s="10" t="n">
        <f aca="false">S132*(1+Inputs!$B$42)-V133+MAX(-P133,0)</f>
        <v>0</v>
      </c>
      <c r="T133" s="10" t="n">
        <f aca="false">T132+S132*Inputs!$B$48-V133+MAX(-P133,0)</f>
        <v>0</v>
      </c>
      <c r="U133" s="10" t="n">
        <f aca="false">Q132*Inputs!$B$48*Inputs!$B$29</f>
        <v>56.9928955153594</v>
      </c>
      <c r="V133" s="10" t="n">
        <f aca="false">S132*Inputs!$B$48*Inputs!$B$29</f>
        <v>0</v>
      </c>
    </row>
    <row r="134" customFormat="false" ht="15" hidden="false" customHeight="false" outlineLevel="0" collapsed="false">
      <c r="A134" s="16" t="n">
        <v>133</v>
      </c>
      <c r="B134" s="16" t="n">
        <f aca="false">ROUNDUP(A134/12,0)</f>
        <v>12</v>
      </c>
      <c r="C134" s="10" t="n">
        <f aca="false">F133</f>
        <v>337523.457658582</v>
      </c>
      <c r="D134" s="10" t="n">
        <f aca="false">IF(AND(A134&lt;=Inputs!$B$9*12,C134&gt;0.000001),C134*Inputs!$B$10/12,0)</f>
        <v>2047.64230979539</v>
      </c>
      <c r="E134" s="10" t="n">
        <f aca="false">IF(AND(A134&lt;=Inputs!$B$9*12,C134&gt;0.000001),MIN(C134,Inputs!$B$41-D134),0)</f>
        <v>689.206819185311</v>
      </c>
      <c r="F134" s="10" t="n">
        <f aca="false">C134-E134</f>
        <v>336834.250839396</v>
      </c>
      <c r="G134" s="10" t="n">
        <f aca="false">IF(AND(Inputs!$B$43=1,C134&gt;0.78*Inputs!$B$7,A134&lt;=Inputs!$B$9*6),Inputs!$B$16*Inputs!$B$39/12,0)</f>
        <v>0</v>
      </c>
      <c r="H134" s="10" t="n">
        <f aca="false">IF(B134=1,Inputs!$B$7,INDEX(Annual!$AC$2:$AC$51,B134-1))</f>
        <v>769727.028157539</v>
      </c>
      <c r="I134" s="10" t="n">
        <f aca="false">Inputs!$B$12*IF(Inputs!$B$35="",H134,MIN(H134,Inputs!$B$7*(1+Inputs!$B$35)^(B134-1)))/12</f>
        <v>577.295271118154</v>
      </c>
      <c r="J134" s="10" t="n">
        <f aca="false">Inputs!$B$13*Inputs!$B$7*(1+Inputs!$B$22)^(B134-1)/12</f>
        <v>282.281894753943</v>
      </c>
      <c r="K134" s="10" t="n">
        <f aca="false">Inputs!$B$14*Inputs!$B$7*(1+Inputs!$B$22)^(B134-1)/12</f>
        <v>564.563789507886</v>
      </c>
      <c r="L134" s="10" t="n">
        <f aca="false">Inputs!$B$15*(1+Inputs!$B$22)^(B134-1)</f>
        <v>0</v>
      </c>
      <c r="M134" s="10" t="n">
        <f aca="false">INDEX(Annual!$N$2:$N$51,B134)/12</f>
        <v>0</v>
      </c>
      <c r="N134" s="10" t="n">
        <f aca="false">D134+E134+G134+I134+J134+K134+L134-M134</f>
        <v>4160.99008436069</v>
      </c>
      <c r="O134" s="10" t="n">
        <f aca="false">Inputs!$B$17*(1+Inputs!$B$18)^(B134-1)+Inputs!$B$19*(1+Inputs!$B$22)^(B134-1)</f>
        <v>3670.24858952944</v>
      </c>
      <c r="P134" s="10" t="n">
        <f aca="false">N134-O134</f>
        <v>490.741494831254</v>
      </c>
      <c r="Q134" s="10" t="n">
        <f aca="false">Q133*(1+Inputs!$B$42)-U134+MAX(P134,0)</f>
        <v>420142.966403441</v>
      </c>
      <c r="R134" s="10" t="n">
        <f aca="false">R133+Q133*Inputs!$B$48-U134+MAX(P134,0)</f>
        <v>259842.869177674</v>
      </c>
      <c r="S134" s="10" t="n">
        <f aca="false">S133*(1+Inputs!$B$42)-V134+MAX(-P134,0)</f>
        <v>0</v>
      </c>
      <c r="T134" s="10" t="n">
        <f aca="false">T133+S133*Inputs!$B$48-V134+MAX(-P134,0)</f>
        <v>0</v>
      </c>
      <c r="U134" s="10" t="n">
        <f aca="false">Q133*Inputs!$B$48*Inputs!$B$29</f>
        <v>57.3856048924007</v>
      </c>
      <c r="V134" s="10" t="n">
        <f aca="false">S133*Inputs!$B$48*Inputs!$B$29</f>
        <v>0</v>
      </c>
    </row>
    <row r="135" customFormat="false" ht="15" hidden="false" customHeight="false" outlineLevel="0" collapsed="false">
      <c r="A135" s="16" t="n">
        <v>134</v>
      </c>
      <c r="B135" s="16" t="n">
        <f aca="false">ROUNDUP(A135/12,0)</f>
        <v>12</v>
      </c>
      <c r="C135" s="10" t="n">
        <f aca="false">F134</f>
        <v>336834.250839396</v>
      </c>
      <c r="D135" s="10" t="n">
        <f aca="false">IF(AND(A135&lt;=Inputs!$B$9*12,C135&gt;0.000001),C135*Inputs!$B$10/12,0)</f>
        <v>2043.461121759</v>
      </c>
      <c r="E135" s="10" t="n">
        <f aca="false">IF(AND(A135&lt;=Inputs!$B$9*12,C135&gt;0.000001),MIN(C135,Inputs!$B$41-D135),0)</f>
        <v>693.388007221702</v>
      </c>
      <c r="F135" s="10" t="n">
        <f aca="false">C135-E135</f>
        <v>336140.862832175</v>
      </c>
      <c r="G135" s="10" t="n">
        <f aca="false">IF(AND(Inputs!$B$43=1,C135&gt;0.78*Inputs!$B$7,A135&lt;=Inputs!$B$9*6),Inputs!$B$16*Inputs!$B$39/12,0)</f>
        <v>0</v>
      </c>
      <c r="H135" s="10" t="n">
        <f aca="false">IF(B135=1,Inputs!$B$7,INDEX(Annual!$AC$2:$AC$51,B135-1))</f>
        <v>769727.028157539</v>
      </c>
      <c r="I135" s="10" t="n">
        <f aca="false">Inputs!$B$12*IF(Inputs!$B$35="",H135,MIN(H135,Inputs!$B$7*(1+Inputs!$B$35)^(B135-1)))/12</f>
        <v>577.295271118154</v>
      </c>
      <c r="J135" s="10" t="n">
        <f aca="false">Inputs!$B$13*Inputs!$B$7*(1+Inputs!$B$22)^(B135-1)/12</f>
        <v>282.281894753943</v>
      </c>
      <c r="K135" s="10" t="n">
        <f aca="false">Inputs!$B$14*Inputs!$B$7*(1+Inputs!$B$22)^(B135-1)/12</f>
        <v>564.563789507886</v>
      </c>
      <c r="L135" s="10" t="n">
        <f aca="false">Inputs!$B$15*(1+Inputs!$B$22)^(B135-1)</f>
        <v>0</v>
      </c>
      <c r="M135" s="10" t="n">
        <f aca="false">INDEX(Annual!$N$2:$N$51,B135)/12</f>
        <v>0</v>
      </c>
      <c r="N135" s="10" t="n">
        <f aca="false">D135+E135+G135+I135+J135+K135+L135-M135</f>
        <v>4160.99008436069</v>
      </c>
      <c r="O135" s="10" t="n">
        <f aca="false">Inputs!$B$17*(1+Inputs!$B$18)^(B135-1)+Inputs!$B$19*(1+Inputs!$B$22)^(B135-1)</f>
        <v>3670.24858952944</v>
      </c>
      <c r="P135" s="10" t="n">
        <f aca="false">N135-O135</f>
        <v>490.741494831254</v>
      </c>
      <c r="Q135" s="10" t="n">
        <f aca="false">Q134*(1+Inputs!$B$42)-U135+MAX(P135,0)</f>
        <v>422951.487655932</v>
      </c>
      <c r="R135" s="10" t="n">
        <f aca="false">R134+Q134*Inputs!$B$48-U135+MAX(P135,0)</f>
        <v>260660.972067162</v>
      </c>
      <c r="S135" s="10" t="n">
        <f aca="false">S134*(1+Inputs!$B$42)-V135+MAX(-P135,0)</f>
        <v>0</v>
      </c>
      <c r="T135" s="10" t="n">
        <f aca="false">T134+S134*Inputs!$B$48-V135+MAX(-P135,0)</f>
        <v>0</v>
      </c>
      <c r="U135" s="10" t="n">
        <f aca="false">Q134*Inputs!$B$48*Inputs!$B$29</f>
        <v>57.7696578804731</v>
      </c>
      <c r="V135" s="10" t="n">
        <f aca="false">S134*Inputs!$B$48*Inputs!$B$29</f>
        <v>0</v>
      </c>
    </row>
    <row r="136" customFormat="false" ht="15" hidden="false" customHeight="false" outlineLevel="0" collapsed="false">
      <c r="A136" s="16" t="n">
        <v>135</v>
      </c>
      <c r="B136" s="16" t="n">
        <f aca="false">ROUNDUP(A136/12,0)</f>
        <v>12</v>
      </c>
      <c r="C136" s="10" t="n">
        <f aca="false">F135</f>
        <v>336140.862832175</v>
      </c>
      <c r="D136" s="10" t="n">
        <f aca="false">IF(AND(A136&lt;=Inputs!$B$9*12,C136&gt;0.000001),C136*Inputs!$B$10/12,0)</f>
        <v>2039.25456784853</v>
      </c>
      <c r="E136" s="10" t="n">
        <f aca="false">IF(AND(A136&lt;=Inputs!$B$9*12,C136&gt;0.000001),MIN(C136,Inputs!$B$41-D136),0)</f>
        <v>697.59456113218</v>
      </c>
      <c r="F136" s="10" t="n">
        <f aca="false">C136-E136</f>
        <v>335443.268271042</v>
      </c>
      <c r="G136" s="10" t="n">
        <f aca="false">IF(AND(Inputs!$B$43=1,C136&gt;0.78*Inputs!$B$7,A136&lt;=Inputs!$B$9*6),Inputs!$B$16*Inputs!$B$39/12,0)</f>
        <v>0</v>
      </c>
      <c r="H136" s="10" t="n">
        <f aca="false">IF(B136=1,Inputs!$B$7,INDEX(Annual!$AC$2:$AC$51,B136-1))</f>
        <v>769727.028157539</v>
      </c>
      <c r="I136" s="10" t="n">
        <f aca="false">Inputs!$B$12*IF(Inputs!$B$35="",H136,MIN(H136,Inputs!$B$7*(1+Inputs!$B$35)^(B136-1)))/12</f>
        <v>577.295271118154</v>
      </c>
      <c r="J136" s="10" t="n">
        <f aca="false">Inputs!$B$13*Inputs!$B$7*(1+Inputs!$B$22)^(B136-1)/12</f>
        <v>282.281894753943</v>
      </c>
      <c r="K136" s="10" t="n">
        <f aca="false">Inputs!$B$14*Inputs!$B$7*(1+Inputs!$B$22)^(B136-1)/12</f>
        <v>564.563789507886</v>
      </c>
      <c r="L136" s="10" t="n">
        <f aca="false">Inputs!$B$15*(1+Inputs!$B$22)^(B136-1)</f>
        <v>0</v>
      </c>
      <c r="M136" s="10" t="n">
        <f aca="false">INDEX(Annual!$N$2:$N$51,B136)/12</f>
        <v>0</v>
      </c>
      <c r="N136" s="10" t="n">
        <f aca="false">D136+E136+G136+I136+J136+K136+L136-M136</f>
        <v>4160.99008436069</v>
      </c>
      <c r="O136" s="10" t="n">
        <f aca="false">Inputs!$B$17*(1+Inputs!$B$18)^(B136-1)+Inputs!$B$19*(1+Inputs!$B$22)^(B136-1)</f>
        <v>3670.24858952944</v>
      </c>
      <c r="P136" s="10" t="n">
        <f aca="false">N136-O136</f>
        <v>490.741494831254</v>
      </c>
      <c r="Q136" s="10" t="n">
        <f aca="false">Q135*(1+Inputs!$B$42)-U136+MAX(P136,0)</f>
        <v>425775.502524237</v>
      </c>
      <c r="R136" s="10" t="n">
        <f aca="false">R135+Q135*Inputs!$B$48-U136+MAX(P136,0)</f>
        <v>261481.263262791</v>
      </c>
      <c r="S136" s="10" t="n">
        <f aca="false">S135*(1+Inputs!$B$42)-V136+MAX(-P136,0)</f>
        <v>0</v>
      </c>
      <c r="T136" s="10" t="n">
        <f aca="false">T135+S135*Inputs!$B$48-V136+MAX(-P136,0)</f>
        <v>0</v>
      </c>
      <c r="U136" s="10" t="n">
        <f aca="false">Q135*Inputs!$B$48*Inputs!$B$29</f>
        <v>58.1558295526907</v>
      </c>
      <c r="V136" s="10" t="n">
        <f aca="false">S135*Inputs!$B$48*Inputs!$B$29</f>
        <v>0</v>
      </c>
    </row>
    <row r="137" customFormat="false" ht="15" hidden="false" customHeight="false" outlineLevel="0" collapsed="false">
      <c r="A137" s="16" t="n">
        <v>136</v>
      </c>
      <c r="B137" s="16" t="n">
        <f aca="false">ROUNDUP(A137/12,0)</f>
        <v>12</v>
      </c>
      <c r="C137" s="10" t="n">
        <f aca="false">F136</f>
        <v>335443.268271042</v>
      </c>
      <c r="D137" s="10" t="n">
        <f aca="false">IF(AND(A137&lt;=Inputs!$B$9*12,C137&gt;0.000001),C137*Inputs!$B$10/12,0)</f>
        <v>2035.02249417766</v>
      </c>
      <c r="E137" s="10" t="n">
        <f aca="false">IF(AND(A137&lt;=Inputs!$B$9*12,C137&gt;0.000001),MIN(C137,Inputs!$B$41-D137),0)</f>
        <v>701.826634803049</v>
      </c>
      <c r="F137" s="10" t="n">
        <f aca="false">C137-E137</f>
        <v>334741.441636239</v>
      </c>
      <c r="G137" s="10" t="n">
        <f aca="false">IF(AND(Inputs!$B$43=1,C137&gt;0.78*Inputs!$B$7,A137&lt;=Inputs!$B$9*6),Inputs!$B$16*Inputs!$B$39/12,0)</f>
        <v>0</v>
      </c>
      <c r="H137" s="10" t="n">
        <f aca="false">IF(B137=1,Inputs!$B$7,INDEX(Annual!$AC$2:$AC$51,B137-1))</f>
        <v>769727.028157539</v>
      </c>
      <c r="I137" s="10" t="n">
        <f aca="false">Inputs!$B$12*IF(Inputs!$B$35="",H137,MIN(H137,Inputs!$B$7*(1+Inputs!$B$35)^(B137-1)))/12</f>
        <v>577.295271118154</v>
      </c>
      <c r="J137" s="10" t="n">
        <f aca="false">Inputs!$B$13*Inputs!$B$7*(1+Inputs!$B$22)^(B137-1)/12</f>
        <v>282.281894753943</v>
      </c>
      <c r="K137" s="10" t="n">
        <f aca="false">Inputs!$B$14*Inputs!$B$7*(1+Inputs!$B$22)^(B137-1)/12</f>
        <v>564.563789507886</v>
      </c>
      <c r="L137" s="10" t="n">
        <f aca="false">Inputs!$B$15*(1+Inputs!$B$22)^(B137-1)</f>
        <v>0</v>
      </c>
      <c r="M137" s="10" t="n">
        <f aca="false">INDEX(Annual!$N$2:$N$51,B137)/12</f>
        <v>0</v>
      </c>
      <c r="N137" s="10" t="n">
        <f aca="false">D137+E137+G137+I137+J137+K137+L137-M137</f>
        <v>4160.99008436069</v>
      </c>
      <c r="O137" s="10" t="n">
        <f aca="false">Inputs!$B$17*(1+Inputs!$B$18)^(B137-1)+Inputs!$B$19*(1+Inputs!$B$22)^(B137-1)</f>
        <v>3670.24858952944</v>
      </c>
      <c r="P137" s="10" t="n">
        <f aca="false">N137-O137</f>
        <v>490.741494831254</v>
      </c>
      <c r="Q137" s="10" t="n">
        <f aca="false">Q136*(1+Inputs!$B$42)-U137+MAX(P137,0)</f>
        <v>428615.096481139</v>
      </c>
      <c r="R137" s="10" t="n">
        <f aca="false">R136+Q136*Inputs!$B$48-U137+MAX(P137,0)</f>
        <v>262303.754836673</v>
      </c>
      <c r="S137" s="10" t="n">
        <f aca="false">S136*(1+Inputs!$B$42)-V137+MAX(-P137,0)</f>
        <v>0</v>
      </c>
      <c r="T137" s="10" t="n">
        <f aca="false">T136+S136*Inputs!$B$48-V137+MAX(-P137,0)</f>
        <v>0</v>
      </c>
      <c r="U137" s="10" t="n">
        <f aca="false">Q136*Inputs!$B$48*Inputs!$B$29</f>
        <v>58.5441315970826</v>
      </c>
      <c r="V137" s="10" t="n">
        <f aca="false">S136*Inputs!$B$48*Inputs!$B$29</f>
        <v>0</v>
      </c>
    </row>
    <row r="138" customFormat="false" ht="15" hidden="false" customHeight="false" outlineLevel="0" collapsed="false">
      <c r="A138" s="16" t="n">
        <v>137</v>
      </c>
      <c r="B138" s="16" t="n">
        <f aca="false">ROUNDUP(A138/12,0)</f>
        <v>12</v>
      </c>
      <c r="C138" s="10" t="n">
        <f aca="false">F137</f>
        <v>334741.441636239</v>
      </c>
      <c r="D138" s="10" t="n">
        <f aca="false">IF(AND(A138&lt;=Inputs!$B$9*12,C138&gt;0.000001),C138*Inputs!$B$10/12,0)</f>
        <v>2030.76474592652</v>
      </c>
      <c r="E138" s="10" t="n">
        <f aca="false">IF(AND(A138&lt;=Inputs!$B$9*12,C138&gt;0.000001),MIN(C138,Inputs!$B$41-D138),0)</f>
        <v>706.084383054187</v>
      </c>
      <c r="F138" s="10" t="n">
        <f aca="false">C138-E138</f>
        <v>334035.357253185</v>
      </c>
      <c r="G138" s="10" t="n">
        <f aca="false">IF(AND(Inputs!$B$43=1,C138&gt;0.78*Inputs!$B$7,A138&lt;=Inputs!$B$9*6),Inputs!$B$16*Inputs!$B$39/12,0)</f>
        <v>0</v>
      </c>
      <c r="H138" s="10" t="n">
        <f aca="false">IF(B138=1,Inputs!$B$7,INDEX(Annual!$AC$2:$AC$51,B138-1))</f>
        <v>769727.028157539</v>
      </c>
      <c r="I138" s="10" t="n">
        <f aca="false">Inputs!$B$12*IF(Inputs!$B$35="",H138,MIN(H138,Inputs!$B$7*(1+Inputs!$B$35)^(B138-1)))/12</f>
        <v>577.295271118154</v>
      </c>
      <c r="J138" s="10" t="n">
        <f aca="false">Inputs!$B$13*Inputs!$B$7*(1+Inputs!$B$22)^(B138-1)/12</f>
        <v>282.281894753943</v>
      </c>
      <c r="K138" s="10" t="n">
        <f aca="false">Inputs!$B$14*Inputs!$B$7*(1+Inputs!$B$22)^(B138-1)/12</f>
        <v>564.563789507886</v>
      </c>
      <c r="L138" s="10" t="n">
        <f aca="false">Inputs!$B$15*(1+Inputs!$B$22)^(B138-1)</f>
        <v>0</v>
      </c>
      <c r="M138" s="10" t="n">
        <f aca="false">INDEX(Annual!$N$2:$N$51,B138)/12</f>
        <v>0</v>
      </c>
      <c r="N138" s="10" t="n">
        <f aca="false">D138+E138+G138+I138+J138+K138+L138-M138</f>
        <v>4160.99008436069</v>
      </c>
      <c r="O138" s="10" t="n">
        <f aca="false">Inputs!$B$17*(1+Inputs!$B$18)^(B138-1)+Inputs!$B$19*(1+Inputs!$B$22)^(B138-1)</f>
        <v>3670.24858952944</v>
      </c>
      <c r="P138" s="10" t="n">
        <f aca="false">N138-O138</f>
        <v>490.741494831254</v>
      </c>
      <c r="Q138" s="10" t="n">
        <f aca="false">Q137*(1+Inputs!$B$42)-U138+MAX(P138,0)</f>
        <v>431470.355470945</v>
      </c>
      <c r="R138" s="10" t="n">
        <f aca="false">R137+Q137*Inputs!$B$48-U138+MAX(P138,0)</f>
        <v>263128.458927512</v>
      </c>
      <c r="S138" s="10" t="n">
        <f aca="false">S137*(1+Inputs!$B$42)-V138+MAX(-P138,0)</f>
        <v>0</v>
      </c>
      <c r="T138" s="10" t="n">
        <f aca="false">T137+S137*Inputs!$B$48-V138+MAX(-P138,0)</f>
        <v>0</v>
      </c>
      <c r="U138" s="10" t="n">
        <f aca="false">Q137*Inputs!$B$48*Inputs!$B$29</f>
        <v>58.9345757661566</v>
      </c>
      <c r="V138" s="10" t="n">
        <f aca="false">S137*Inputs!$B$48*Inputs!$B$29</f>
        <v>0</v>
      </c>
    </row>
    <row r="139" customFormat="false" ht="15" hidden="false" customHeight="false" outlineLevel="0" collapsed="false">
      <c r="A139" s="16" t="n">
        <v>138</v>
      </c>
      <c r="B139" s="16" t="n">
        <f aca="false">ROUNDUP(A139/12,0)</f>
        <v>12</v>
      </c>
      <c r="C139" s="10" t="n">
        <f aca="false">F138</f>
        <v>334035.357253185</v>
      </c>
      <c r="D139" s="10" t="n">
        <f aca="false">IF(AND(A139&lt;=Inputs!$B$9*12,C139&gt;0.000001),C139*Inputs!$B$10/12,0)</f>
        <v>2026.48116733599</v>
      </c>
      <c r="E139" s="10" t="n">
        <f aca="false">IF(AND(A139&lt;=Inputs!$B$9*12,C139&gt;0.000001),MIN(C139,Inputs!$B$41-D139),0)</f>
        <v>710.367961644716</v>
      </c>
      <c r="F139" s="10" t="n">
        <f aca="false">C139-E139</f>
        <v>333324.98929154</v>
      </c>
      <c r="G139" s="10" t="n">
        <f aca="false">IF(AND(Inputs!$B$43=1,C139&gt;0.78*Inputs!$B$7,A139&lt;=Inputs!$B$9*6),Inputs!$B$16*Inputs!$B$39/12,0)</f>
        <v>0</v>
      </c>
      <c r="H139" s="10" t="n">
        <f aca="false">IF(B139=1,Inputs!$B$7,INDEX(Annual!$AC$2:$AC$51,B139-1))</f>
        <v>769727.028157539</v>
      </c>
      <c r="I139" s="10" t="n">
        <f aca="false">Inputs!$B$12*IF(Inputs!$B$35="",H139,MIN(H139,Inputs!$B$7*(1+Inputs!$B$35)^(B139-1)))/12</f>
        <v>577.295271118154</v>
      </c>
      <c r="J139" s="10" t="n">
        <f aca="false">Inputs!$B$13*Inputs!$B$7*(1+Inputs!$B$22)^(B139-1)/12</f>
        <v>282.281894753943</v>
      </c>
      <c r="K139" s="10" t="n">
        <f aca="false">Inputs!$B$14*Inputs!$B$7*(1+Inputs!$B$22)^(B139-1)/12</f>
        <v>564.563789507886</v>
      </c>
      <c r="L139" s="10" t="n">
        <f aca="false">Inputs!$B$15*(1+Inputs!$B$22)^(B139-1)</f>
        <v>0</v>
      </c>
      <c r="M139" s="10" t="n">
        <f aca="false">INDEX(Annual!$N$2:$N$51,B139)/12</f>
        <v>0</v>
      </c>
      <c r="N139" s="10" t="n">
        <f aca="false">D139+E139+G139+I139+J139+K139+L139-M139</f>
        <v>4160.99008436069</v>
      </c>
      <c r="O139" s="10" t="n">
        <f aca="false">Inputs!$B$17*(1+Inputs!$B$18)^(B139-1)+Inputs!$B$19*(1+Inputs!$B$22)^(B139-1)</f>
        <v>3670.24858952944</v>
      </c>
      <c r="P139" s="10" t="n">
        <f aca="false">N139-O139</f>
        <v>490.741494831254</v>
      </c>
      <c r="Q139" s="10" t="n">
        <f aca="false">Q138*(1+Inputs!$B$42)-U139+MAX(P139,0)</f>
        <v>434341.365912087</v>
      </c>
      <c r="R139" s="10" t="n">
        <f aca="false">R138+Q138*Inputs!$B$48-U139+MAX(P139,0)</f>
        <v>263955.387740981</v>
      </c>
      <c r="S139" s="10" t="n">
        <f aca="false">S138*(1+Inputs!$B$42)-V139+MAX(-P139,0)</f>
        <v>0</v>
      </c>
      <c r="T139" s="10" t="n">
        <f aca="false">T138+S138*Inputs!$B$48-V139+MAX(-P139,0)</f>
        <v>0</v>
      </c>
      <c r="U139" s="10" t="n">
        <f aca="false">Q138*Inputs!$B$48*Inputs!$B$29</f>
        <v>59.3271738772549</v>
      </c>
      <c r="V139" s="10" t="n">
        <f aca="false">S138*Inputs!$B$48*Inputs!$B$29</f>
        <v>0</v>
      </c>
    </row>
    <row r="140" customFormat="false" ht="15" hidden="false" customHeight="false" outlineLevel="0" collapsed="false">
      <c r="A140" s="16" t="n">
        <v>139</v>
      </c>
      <c r="B140" s="16" t="n">
        <f aca="false">ROUNDUP(A140/12,0)</f>
        <v>12</v>
      </c>
      <c r="C140" s="10" t="n">
        <f aca="false">F139</f>
        <v>333324.98929154</v>
      </c>
      <c r="D140" s="10" t="n">
        <f aca="false">IF(AND(A140&lt;=Inputs!$B$9*12,C140&gt;0.000001),C140*Inputs!$B$10/12,0)</f>
        <v>2022.17160170201</v>
      </c>
      <c r="E140" s="10" t="n">
        <f aca="false">IF(AND(A140&lt;=Inputs!$B$9*12,C140&gt;0.000001),MIN(C140,Inputs!$B$41-D140),0)</f>
        <v>714.677527278694</v>
      </c>
      <c r="F140" s="10" t="n">
        <f aca="false">C140-E140</f>
        <v>332610.311764262</v>
      </c>
      <c r="G140" s="10" t="n">
        <f aca="false">IF(AND(Inputs!$B$43=1,C140&gt;0.78*Inputs!$B$7,A140&lt;=Inputs!$B$9*6),Inputs!$B$16*Inputs!$B$39/12,0)</f>
        <v>0</v>
      </c>
      <c r="H140" s="10" t="n">
        <f aca="false">IF(B140=1,Inputs!$B$7,INDEX(Annual!$AC$2:$AC$51,B140-1))</f>
        <v>769727.028157539</v>
      </c>
      <c r="I140" s="10" t="n">
        <f aca="false">Inputs!$B$12*IF(Inputs!$B$35="",H140,MIN(H140,Inputs!$B$7*(1+Inputs!$B$35)^(B140-1)))/12</f>
        <v>577.295271118154</v>
      </c>
      <c r="J140" s="10" t="n">
        <f aca="false">Inputs!$B$13*Inputs!$B$7*(1+Inputs!$B$22)^(B140-1)/12</f>
        <v>282.281894753943</v>
      </c>
      <c r="K140" s="10" t="n">
        <f aca="false">Inputs!$B$14*Inputs!$B$7*(1+Inputs!$B$22)^(B140-1)/12</f>
        <v>564.563789507886</v>
      </c>
      <c r="L140" s="10" t="n">
        <f aca="false">Inputs!$B$15*(1+Inputs!$B$22)^(B140-1)</f>
        <v>0</v>
      </c>
      <c r="M140" s="10" t="n">
        <f aca="false">INDEX(Annual!$N$2:$N$51,B140)/12</f>
        <v>0</v>
      </c>
      <c r="N140" s="10" t="n">
        <f aca="false">D140+E140+G140+I140+J140+K140+L140-M140</f>
        <v>4160.99008436069</v>
      </c>
      <c r="O140" s="10" t="n">
        <f aca="false">Inputs!$B$17*(1+Inputs!$B$18)^(B140-1)+Inputs!$B$19*(1+Inputs!$B$22)^(B140-1)</f>
        <v>3670.24858952944</v>
      </c>
      <c r="P140" s="10" t="n">
        <f aca="false">N140-O140</f>
        <v>490.741494831254</v>
      </c>
      <c r="Q140" s="10" t="n">
        <f aca="false">Q139*(1+Inputs!$B$42)-U140+MAX(P140,0)</f>
        <v>437228.214699736</v>
      </c>
      <c r="R140" s="10" t="n">
        <f aca="false">R139+Q139*Inputs!$B$48-U140+MAX(P140,0)</f>
        <v>264784.553550086</v>
      </c>
      <c r="S140" s="10" t="n">
        <f aca="false">S139*(1+Inputs!$B$42)-V140+MAX(-P140,0)</f>
        <v>0</v>
      </c>
      <c r="T140" s="10" t="n">
        <f aca="false">T139+S139*Inputs!$B$48-V140+MAX(-P140,0)</f>
        <v>0</v>
      </c>
      <c r="U140" s="10" t="n">
        <f aca="false">Q139*Inputs!$B$48*Inputs!$B$29</f>
        <v>59.721937812912</v>
      </c>
      <c r="V140" s="10" t="n">
        <f aca="false">S139*Inputs!$B$48*Inputs!$B$29</f>
        <v>0</v>
      </c>
    </row>
    <row r="141" customFormat="false" ht="15" hidden="false" customHeight="false" outlineLevel="0" collapsed="false">
      <c r="A141" s="16" t="n">
        <v>140</v>
      </c>
      <c r="B141" s="16" t="n">
        <f aca="false">ROUNDUP(A141/12,0)</f>
        <v>12</v>
      </c>
      <c r="C141" s="10" t="n">
        <f aca="false">F140</f>
        <v>332610.311764262</v>
      </c>
      <c r="D141" s="10" t="n">
        <f aca="false">IF(AND(A141&lt;=Inputs!$B$9*12,C141&gt;0.000001),C141*Inputs!$B$10/12,0)</f>
        <v>2017.83589136985</v>
      </c>
      <c r="E141" s="10" t="n">
        <f aca="false">IF(AND(A141&lt;=Inputs!$B$9*12,C141&gt;0.000001),MIN(C141,Inputs!$B$41-D141),0)</f>
        <v>719.013237610852</v>
      </c>
      <c r="F141" s="10" t="n">
        <f aca="false">C141-E141</f>
        <v>331891.298526651</v>
      </c>
      <c r="G141" s="10" t="n">
        <f aca="false">IF(AND(Inputs!$B$43=1,C141&gt;0.78*Inputs!$B$7,A141&lt;=Inputs!$B$9*6),Inputs!$B$16*Inputs!$B$39/12,0)</f>
        <v>0</v>
      </c>
      <c r="H141" s="10" t="n">
        <f aca="false">IF(B141=1,Inputs!$B$7,INDEX(Annual!$AC$2:$AC$51,B141-1))</f>
        <v>769727.028157539</v>
      </c>
      <c r="I141" s="10" t="n">
        <f aca="false">Inputs!$B$12*IF(Inputs!$B$35="",H141,MIN(H141,Inputs!$B$7*(1+Inputs!$B$35)^(B141-1)))/12</f>
        <v>577.295271118154</v>
      </c>
      <c r="J141" s="10" t="n">
        <f aca="false">Inputs!$B$13*Inputs!$B$7*(1+Inputs!$B$22)^(B141-1)/12</f>
        <v>282.281894753943</v>
      </c>
      <c r="K141" s="10" t="n">
        <f aca="false">Inputs!$B$14*Inputs!$B$7*(1+Inputs!$B$22)^(B141-1)/12</f>
        <v>564.563789507886</v>
      </c>
      <c r="L141" s="10" t="n">
        <f aca="false">Inputs!$B$15*(1+Inputs!$B$22)^(B141-1)</f>
        <v>0</v>
      </c>
      <c r="M141" s="10" t="n">
        <f aca="false">INDEX(Annual!$N$2:$N$51,B141)/12</f>
        <v>0</v>
      </c>
      <c r="N141" s="10" t="n">
        <f aca="false">D141+E141+G141+I141+J141+K141+L141-M141</f>
        <v>4160.99008436069</v>
      </c>
      <c r="O141" s="10" t="n">
        <f aca="false">Inputs!$B$17*(1+Inputs!$B$18)^(B141-1)+Inputs!$B$19*(1+Inputs!$B$22)^(B141-1)</f>
        <v>3670.24858952944</v>
      </c>
      <c r="P141" s="10" t="n">
        <f aca="false">N141-O141</f>
        <v>490.741494831254</v>
      </c>
      <c r="Q141" s="10" t="n">
        <f aca="false">Q140*(1+Inputs!$B$42)-U141+MAX(P141,0)</f>
        <v>440130.989208435</v>
      </c>
      <c r="R141" s="10" t="n">
        <f aca="false">R140+Q140*Inputs!$B$48-U141+MAX(P141,0)</f>
        <v>265615.968695537</v>
      </c>
      <c r="S141" s="10" t="n">
        <f aca="false">S140*(1+Inputs!$B$42)-V141+MAX(-P141,0)</f>
        <v>0</v>
      </c>
      <c r="T141" s="10" t="n">
        <f aca="false">T140+S140*Inputs!$B$48-V141+MAX(-P141,0)</f>
        <v>0</v>
      </c>
      <c r="U141" s="10" t="n">
        <f aca="false">Q140*Inputs!$B$48*Inputs!$B$29</f>
        <v>60.1188795212138</v>
      </c>
      <c r="V141" s="10" t="n">
        <f aca="false">S140*Inputs!$B$48*Inputs!$B$29</f>
        <v>0</v>
      </c>
    </row>
    <row r="142" customFormat="false" ht="15" hidden="false" customHeight="false" outlineLevel="0" collapsed="false">
      <c r="A142" s="16" t="n">
        <v>141</v>
      </c>
      <c r="B142" s="16" t="n">
        <f aca="false">ROUNDUP(A142/12,0)</f>
        <v>12</v>
      </c>
      <c r="C142" s="10" t="n">
        <f aca="false">F141</f>
        <v>331891.298526651</v>
      </c>
      <c r="D142" s="10" t="n">
        <f aca="false">IF(AND(A142&lt;=Inputs!$B$9*12,C142&gt;0.000001),C142*Inputs!$B$10/12,0)</f>
        <v>2013.47387772835</v>
      </c>
      <c r="E142" s="10" t="n">
        <f aca="false">IF(AND(A142&lt;=Inputs!$B$9*12,C142&gt;0.000001),MIN(C142,Inputs!$B$41-D142),0)</f>
        <v>723.375251252357</v>
      </c>
      <c r="F142" s="10" t="n">
        <f aca="false">C142-E142</f>
        <v>331167.923275398</v>
      </c>
      <c r="G142" s="10" t="n">
        <f aca="false">IF(AND(Inputs!$B$43=1,C142&gt;0.78*Inputs!$B$7,A142&lt;=Inputs!$B$9*6),Inputs!$B$16*Inputs!$B$39/12,0)</f>
        <v>0</v>
      </c>
      <c r="H142" s="10" t="n">
        <f aca="false">IF(B142=1,Inputs!$B$7,INDEX(Annual!$AC$2:$AC$51,B142-1))</f>
        <v>769727.028157539</v>
      </c>
      <c r="I142" s="10" t="n">
        <f aca="false">Inputs!$B$12*IF(Inputs!$B$35="",H142,MIN(H142,Inputs!$B$7*(1+Inputs!$B$35)^(B142-1)))/12</f>
        <v>577.295271118154</v>
      </c>
      <c r="J142" s="10" t="n">
        <f aca="false">Inputs!$B$13*Inputs!$B$7*(1+Inputs!$B$22)^(B142-1)/12</f>
        <v>282.281894753943</v>
      </c>
      <c r="K142" s="10" t="n">
        <f aca="false">Inputs!$B$14*Inputs!$B$7*(1+Inputs!$B$22)^(B142-1)/12</f>
        <v>564.563789507886</v>
      </c>
      <c r="L142" s="10" t="n">
        <f aca="false">Inputs!$B$15*(1+Inputs!$B$22)^(B142-1)</f>
        <v>0</v>
      </c>
      <c r="M142" s="10" t="n">
        <f aca="false">INDEX(Annual!$N$2:$N$51,B142)/12</f>
        <v>0</v>
      </c>
      <c r="N142" s="10" t="n">
        <f aca="false">D142+E142+G142+I142+J142+K142+L142-M142</f>
        <v>4160.99008436069</v>
      </c>
      <c r="O142" s="10" t="n">
        <f aca="false">Inputs!$B$17*(1+Inputs!$B$18)^(B142-1)+Inputs!$B$19*(1+Inputs!$B$22)^(B142-1)</f>
        <v>3670.24858952944</v>
      </c>
      <c r="P142" s="10" t="n">
        <f aca="false">N142-O142</f>
        <v>490.741494831254</v>
      </c>
      <c r="Q142" s="10" t="n">
        <f aca="false">Q141*(1+Inputs!$B$42)-U142+MAX(P142,0)</f>
        <v>443049.777294737</v>
      </c>
      <c r="R142" s="10" t="n">
        <f aca="false">R141+Q141*Inputs!$B$48-U142+MAX(P142,0)</f>
        <v>266449.645586127</v>
      </c>
      <c r="S142" s="10" t="n">
        <f aca="false">S141*(1+Inputs!$B$42)-V142+MAX(-P142,0)</f>
        <v>0</v>
      </c>
      <c r="T142" s="10" t="n">
        <f aca="false">T141+S141*Inputs!$B$48-V142+MAX(-P142,0)</f>
        <v>0</v>
      </c>
      <c r="U142" s="10" t="n">
        <f aca="false">Q141*Inputs!$B$48*Inputs!$B$29</f>
        <v>60.5180110161597</v>
      </c>
      <c r="V142" s="10" t="n">
        <f aca="false">S141*Inputs!$B$48*Inputs!$B$29</f>
        <v>0</v>
      </c>
    </row>
    <row r="143" customFormat="false" ht="15" hidden="false" customHeight="false" outlineLevel="0" collapsed="false">
      <c r="A143" s="16" t="n">
        <v>142</v>
      </c>
      <c r="B143" s="16" t="n">
        <f aca="false">ROUNDUP(A143/12,0)</f>
        <v>12</v>
      </c>
      <c r="C143" s="10" t="n">
        <f aca="false">F142</f>
        <v>331167.923275398</v>
      </c>
      <c r="D143" s="10" t="n">
        <f aca="false">IF(AND(A143&lt;=Inputs!$B$9*12,C143&gt;0.000001),C143*Inputs!$B$10/12,0)</f>
        <v>2009.08540120408</v>
      </c>
      <c r="E143" s="10" t="n">
        <f aca="false">IF(AND(A143&lt;=Inputs!$B$9*12,C143&gt;0.000001),MIN(C143,Inputs!$B$41-D143),0)</f>
        <v>727.763727776622</v>
      </c>
      <c r="F143" s="10" t="n">
        <f aca="false">C143-E143</f>
        <v>330440.159547622</v>
      </c>
      <c r="G143" s="10" t="n">
        <f aca="false">IF(AND(Inputs!$B$43=1,C143&gt;0.78*Inputs!$B$7,A143&lt;=Inputs!$B$9*6),Inputs!$B$16*Inputs!$B$39/12,0)</f>
        <v>0</v>
      </c>
      <c r="H143" s="10" t="n">
        <f aca="false">IF(B143=1,Inputs!$B$7,INDEX(Annual!$AC$2:$AC$51,B143-1))</f>
        <v>769727.028157539</v>
      </c>
      <c r="I143" s="10" t="n">
        <f aca="false">Inputs!$B$12*IF(Inputs!$B$35="",H143,MIN(H143,Inputs!$B$7*(1+Inputs!$B$35)^(B143-1)))/12</f>
        <v>577.295271118154</v>
      </c>
      <c r="J143" s="10" t="n">
        <f aca="false">Inputs!$B$13*Inputs!$B$7*(1+Inputs!$B$22)^(B143-1)/12</f>
        <v>282.281894753943</v>
      </c>
      <c r="K143" s="10" t="n">
        <f aca="false">Inputs!$B$14*Inputs!$B$7*(1+Inputs!$B$22)^(B143-1)/12</f>
        <v>564.563789507886</v>
      </c>
      <c r="L143" s="10" t="n">
        <f aca="false">Inputs!$B$15*(1+Inputs!$B$22)^(B143-1)</f>
        <v>0</v>
      </c>
      <c r="M143" s="10" t="n">
        <f aca="false">INDEX(Annual!$N$2:$N$51,B143)/12</f>
        <v>0</v>
      </c>
      <c r="N143" s="10" t="n">
        <f aca="false">D143+E143+G143+I143+J143+K143+L143-M143</f>
        <v>4160.99008436069</v>
      </c>
      <c r="O143" s="10" t="n">
        <f aca="false">Inputs!$B$17*(1+Inputs!$B$18)^(B143-1)+Inputs!$B$19*(1+Inputs!$B$22)^(B143-1)</f>
        <v>3670.24858952944</v>
      </c>
      <c r="P143" s="10" t="n">
        <f aca="false">N143-O143</f>
        <v>490.741494831254</v>
      </c>
      <c r="Q143" s="10" t="n">
        <f aca="false">Q142*(1+Inputs!$B$42)-U143+MAX(P143,0)</f>
        <v>445984.667299872</v>
      </c>
      <c r="R143" s="10" t="n">
        <f aca="false">R142+Q142*Inputs!$B$48-U143+MAX(P143,0)</f>
        <v>267285.5966991</v>
      </c>
      <c r="S143" s="10" t="n">
        <f aca="false">S142*(1+Inputs!$B$42)-V143+MAX(-P143,0)</f>
        <v>0</v>
      </c>
      <c r="T143" s="10" t="n">
        <f aca="false">T142+S142*Inputs!$B$48-V143+MAX(-P143,0)</f>
        <v>0</v>
      </c>
      <c r="U143" s="10" t="n">
        <f aca="false">Q142*Inputs!$B$48*Inputs!$B$29</f>
        <v>60.9193443780263</v>
      </c>
      <c r="V143" s="10" t="n">
        <f aca="false">S142*Inputs!$B$48*Inputs!$B$29</f>
        <v>0</v>
      </c>
    </row>
    <row r="144" customFormat="false" ht="15" hidden="false" customHeight="false" outlineLevel="0" collapsed="false">
      <c r="A144" s="16" t="n">
        <v>143</v>
      </c>
      <c r="B144" s="16" t="n">
        <f aca="false">ROUNDUP(A144/12,0)</f>
        <v>12</v>
      </c>
      <c r="C144" s="10" t="n">
        <f aca="false">F143</f>
        <v>330440.159547622</v>
      </c>
      <c r="D144" s="10" t="n">
        <f aca="false">IF(AND(A144&lt;=Inputs!$B$9*12,C144&gt;0.000001),C144*Inputs!$B$10/12,0)</f>
        <v>2004.67030125557</v>
      </c>
      <c r="E144" s="10" t="n">
        <f aca="false">IF(AND(A144&lt;=Inputs!$B$9*12,C144&gt;0.000001),MIN(C144,Inputs!$B$41-D144),0)</f>
        <v>732.178827725133</v>
      </c>
      <c r="F144" s="10" t="n">
        <f aca="false">C144-E144</f>
        <v>329707.980719897</v>
      </c>
      <c r="G144" s="10" t="n">
        <f aca="false">IF(AND(Inputs!$B$43=1,C144&gt;0.78*Inputs!$B$7,A144&lt;=Inputs!$B$9*6),Inputs!$B$16*Inputs!$B$39/12,0)</f>
        <v>0</v>
      </c>
      <c r="H144" s="10" t="n">
        <f aca="false">IF(B144=1,Inputs!$B$7,INDEX(Annual!$AC$2:$AC$51,B144-1))</f>
        <v>769727.028157539</v>
      </c>
      <c r="I144" s="10" t="n">
        <f aca="false">Inputs!$B$12*IF(Inputs!$B$35="",H144,MIN(H144,Inputs!$B$7*(1+Inputs!$B$35)^(B144-1)))/12</f>
        <v>577.295271118154</v>
      </c>
      <c r="J144" s="10" t="n">
        <f aca="false">Inputs!$B$13*Inputs!$B$7*(1+Inputs!$B$22)^(B144-1)/12</f>
        <v>282.281894753943</v>
      </c>
      <c r="K144" s="10" t="n">
        <f aca="false">Inputs!$B$14*Inputs!$B$7*(1+Inputs!$B$22)^(B144-1)/12</f>
        <v>564.563789507886</v>
      </c>
      <c r="L144" s="10" t="n">
        <f aca="false">Inputs!$B$15*(1+Inputs!$B$22)^(B144-1)</f>
        <v>0</v>
      </c>
      <c r="M144" s="10" t="n">
        <f aca="false">INDEX(Annual!$N$2:$N$51,B144)/12</f>
        <v>0</v>
      </c>
      <c r="N144" s="10" t="n">
        <f aca="false">D144+E144+G144+I144+J144+K144+L144-M144</f>
        <v>4160.99008436069</v>
      </c>
      <c r="O144" s="10" t="n">
        <f aca="false">Inputs!$B$17*(1+Inputs!$B$18)^(B144-1)+Inputs!$B$19*(1+Inputs!$B$22)^(B144-1)</f>
        <v>3670.24858952944</v>
      </c>
      <c r="P144" s="10" t="n">
        <f aca="false">N144-O144</f>
        <v>490.741494831254</v>
      </c>
      <c r="Q144" s="10" t="n">
        <f aca="false">Q143*(1+Inputs!$B$42)-U144+MAX(P144,0)</f>
        <v>448935.748052416</v>
      </c>
      <c r="R144" s="10" t="n">
        <f aca="false">R143+Q143*Inputs!$B$48-U144+MAX(P144,0)</f>
        <v>268123.834580536</v>
      </c>
      <c r="S144" s="10" t="n">
        <f aca="false">S143*(1+Inputs!$B$42)-V144+MAX(-P144,0)</f>
        <v>0</v>
      </c>
      <c r="T144" s="10" t="n">
        <f aca="false">T143+S143*Inputs!$B$48-V144+MAX(-P144,0)</f>
        <v>0</v>
      </c>
      <c r="U144" s="10" t="n">
        <f aca="false">Q143*Inputs!$B$48*Inputs!$B$29</f>
        <v>61.3228917537324</v>
      </c>
      <c r="V144" s="10" t="n">
        <f aca="false">S143*Inputs!$B$48*Inputs!$B$29</f>
        <v>0</v>
      </c>
    </row>
    <row r="145" customFormat="false" ht="15" hidden="false" customHeight="false" outlineLevel="0" collapsed="false">
      <c r="A145" s="16" t="n">
        <v>144</v>
      </c>
      <c r="B145" s="16" t="n">
        <f aca="false">ROUNDUP(A145/12,0)</f>
        <v>12</v>
      </c>
      <c r="C145" s="10" t="n">
        <f aca="false">F144</f>
        <v>329707.980719897</v>
      </c>
      <c r="D145" s="10" t="n">
        <f aca="false">IF(AND(A145&lt;=Inputs!$B$9*12,C145&gt;0.000001),C145*Inputs!$B$10/12,0)</f>
        <v>2000.22841636737</v>
      </c>
      <c r="E145" s="10" t="n">
        <f aca="false">IF(AND(A145&lt;=Inputs!$B$9*12,C145&gt;0.000001),MIN(C145,Inputs!$B$41-D145),0)</f>
        <v>736.620712613332</v>
      </c>
      <c r="F145" s="10" t="n">
        <f aca="false">C145-E145</f>
        <v>328971.360007283</v>
      </c>
      <c r="G145" s="10" t="n">
        <f aca="false">IF(AND(Inputs!$B$43=1,C145&gt;0.78*Inputs!$B$7,A145&lt;=Inputs!$B$9*6),Inputs!$B$16*Inputs!$B$39/12,0)</f>
        <v>0</v>
      </c>
      <c r="H145" s="10" t="n">
        <f aca="false">IF(B145=1,Inputs!$B$7,INDEX(Annual!$AC$2:$AC$51,B145-1))</f>
        <v>769727.028157539</v>
      </c>
      <c r="I145" s="10" t="n">
        <f aca="false">Inputs!$B$12*IF(Inputs!$B$35="",H145,MIN(H145,Inputs!$B$7*(1+Inputs!$B$35)^(B145-1)))/12</f>
        <v>577.295271118154</v>
      </c>
      <c r="J145" s="10" t="n">
        <f aca="false">Inputs!$B$13*Inputs!$B$7*(1+Inputs!$B$22)^(B145-1)/12</f>
        <v>282.281894753943</v>
      </c>
      <c r="K145" s="10" t="n">
        <f aca="false">Inputs!$B$14*Inputs!$B$7*(1+Inputs!$B$22)^(B145-1)/12</f>
        <v>564.563789507886</v>
      </c>
      <c r="L145" s="10" t="n">
        <f aca="false">Inputs!$B$15*(1+Inputs!$B$22)^(B145-1)</f>
        <v>0</v>
      </c>
      <c r="M145" s="10" t="n">
        <f aca="false">INDEX(Annual!$N$2:$N$51,B145)/12</f>
        <v>0</v>
      </c>
      <c r="N145" s="10" t="n">
        <f aca="false">D145+E145+G145+I145+J145+K145+L145-M145</f>
        <v>4160.99008436069</v>
      </c>
      <c r="O145" s="10" t="n">
        <f aca="false">Inputs!$B$17*(1+Inputs!$B$18)^(B145-1)+Inputs!$B$19*(1+Inputs!$B$22)^(B145-1)</f>
        <v>3670.24858952944</v>
      </c>
      <c r="P145" s="10" t="n">
        <f aca="false">N145-O145</f>
        <v>490.741494831254</v>
      </c>
      <c r="Q145" s="10" t="n">
        <f aca="false">Q144*(1+Inputs!$B$42)-U145+MAX(P145,0)</f>
        <v>451903.108870982</v>
      </c>
      <c r="R145" s="10" t="n">
        <f aca="false">R144+Q144*Inputs!$B$48-U145+MAX(P145,0)</f>
        <v>268964.371845725</v>
      </c>
      <c r="S145" s="10" t="n">
        <f aca="false">S144*(1+Inputs!$B$42)-V145+MAX(-P145,0)</f>
        <v>0</v>
      </c>
      <c r="T145" s="10" t="n">
        <f aca="false">T144+S144*Inputs!$B$48-V145+MAX(-P145,0)</f>
        <v>0</v>
      </c>
      <c r="U145" s="10" t="n">
        <f aca="false">Q144*Inputs!$B$48*Inputs!$B$29</f>
        <v>61.7286653572073</v>
      </c>
      <c r="V145" s="10" t="n">
        <f aca="false">S144*Inputs!$B$48*Inputs!$B$29</f>
        <v>0</v>
      </c>
    </row>
    <row r="146" customFormat="false" ht="15" hidden="false" customHeight="false" outlineLevel="0" collapsed="false">
      <c r="A146" s="16" t="n">
        <v>145</v>
      </c>
      <c r="B146" s="16" t="n">
        <f aca="false">ROUNDUP(A146/12,0)</f>
        <v>13</v>
      </c>
      <c r="C146" s="10" t="n">
        <f aca="false">F145</f>
        <v>328971.360007283</v>
      </c>
      <c r="D146" s="10" t="n">
        <f aca="false">IF(AND(A146&lt;=Inputs!$B$9*12,C146&gt;0.000001),C146*Inputs!$B$10/12,0)</f>
        <v>1995.75958404419</v>
      </c>
      <c r="E146" s="10" t="n">
        <f aca="false">IF(AND(A146&lt;=Inputs!$B$9*12,C146&gt;0.000001),MIN(C146,Inputs!$B$41-D146),0)</f>
        <v>741.08954493652</v>
      </c>
      <c r="F146" s="10" t="n">
        <f aca="false">C146-E146</f>
        <v>328230.270462347</v>
      </c>
      <c r="G146" s="10" t="n">
        <f aca="false">IF(AND(Inputs!$B$43=1,C146&gt;0.78*Inputs!$B$7,A146&lt;=Inputs!$B$9*6),Inputs!$B$16*Inputs!$B$39/12,0)</f>
        <v>0</v>
      </c>
      <c r="H146" s="10" t="n">
        <f aca="false">IF(B146=1,Inputs!$B$7,INDEX(Annual!$AC$2:$AC$51,B146-1))</f>
        <v>800516.109283841</v>
      </c>
      <c r="I146" s="10" t="n">
        <f aca="false">Inputs!$B$12*IF(Inputs!$B$35="",H146,MIN(H146,Inputs!$B$7*(1+Inputs!$B$35)^(B146-1)))/12</f>
        <v>600.38708196288</v>
      </c>
      <c r="J146" s="10" t="n">
        <f aca="false">Inputs!$B$13*Inputs!$B$7*(1+Inputs!$B$22)^(B146-1)/12</f>
        <v>290.185787807053</v>
      </c>
      <c r="K146" s="10" t="n">
        <f aca="false">Inputs!$B$14*Inputs!$B$7*(1+Inputs!$B$22)^(B146-1)/12</f>
        <v>580.371575614107</v>
      </c>
      <c r="L146" s="10" t="n">
        <f aca="false">Inputs!$B$15*(1+Inputs!$B$22)^(B146-1)</f>
        <v>0</v>
      </c>
      <c r="M146" s="10" t="n">
        <f aca="false">INDEX(Annual!$N$2:$N$51,B146)/12</f>
        <v>0</v>
      </c>
      <c r="N146" s="10" t="n">
        <f aca="false">D146+E146+G146+I146+J146+K146+L146-M146</f>
        <v>4207.79357436475</v>
      </c>
      <c r="O146" s="10" t="n">
        <f aca="false">Inputs!$B$17*(1+Inputs!$B$18)^(B146-1)+Inputs!$B$19*(1+Inputs!$B$22)^(B146-1)</f>
        <v>3798.56502008801</v>
      </c>
      <c r="P146" s="10" t="n">
        <f aca="false">N146-O146</f>
        <v>409.228554276737</v>
      </c>
      <c r="Q146" s="10" t="n">
        <f aca="false">Q145*(1+Inputs!$B$42)-U146+MAX(P146,0)</f>
        <v>454805.326626366</v>
      </c>
      <c r="R146" s="10" t="n">
        <f aca="false">R145+Q145*Inputs!$B$48-U146+MAX(P146,0)</f>
        <v>269725.708238997</v>
      </c>
      <c r="S146" s="10" t="n">
        <f aca="false">S145*(1+Inputs!$B$42)-V146+MAX(-P146,0)</f>
        <v>0</v>
      </c>
      <c r="T146" s="10" t="n">
        <f aca="false">T145+S145*Inputs!$B$48-V146+MAX(-P146,0)</f>
        <v>0</v>
      </c>
      <c r="U146" s="10" t="n">
        <f aca="false">Q145*Inputs!$B$48*Inputs!$B$29</f>
        <v>62.1366774697601</v>
      </c>
      <c r="V146" s="10" t="n">
        <f aca="false">S145*Inputs!$B$48*Inputs!$B$29</f>
        <v>0</v>
      </c>
    </row>
    <row r="147" customFormat="false" ht="15" hidden="false" customHeight="false" outlineLevel="0" collapsed="false">
      <c r="A147" s="16" t="n">
        <v>146</v>
      </c>
      <c r="B147" s="16" t="n">
        <f aca="false">ROUNDUP(A147/12,0)</f>
        <v>13</v>
      </c>
      <c r="C147" s="10" t="n">
        <f aca="false">F146</f>
        <v>328230.270462347</v>
      </c>
      <c r="D147" s="10" t="n">
        <f aca="false">IF(AND(A147&lt;=Inputs!$B$9*12,C147&gt;0.000001),C147*Inputs!$B$10/12,0)</f>
        <v>1991.2636408049</v>
      </c>
      <c r="E147" s="10" t="n">
        <f aca="false">IF(AND(A147&lt;=Inputs!$B$9*12,C147&gt;0.000001),MIN(C147,Inputs!$B$41-D147),0)</f>
        <v>745.585488175802</v>
      </c>
      <c r="F147" s="10" t="n">
        <f aca="false">C147-E147</f>
        <v>327484.684974171</v>
      </c>
      <c r="G147" s="10" t="n">
        <f aca="false">IF(AND(Inputs!$B$43=1,C147&gt;0.78*Inputs!$B$7,A147&lt;=Inputs!$B$9*6),Inputs!$B$16*Inputs!$B$39/12,0)</f>
        <v>0</v>
      </c>
      <c r="H147" s="10" t="n">
        <f aca="false">IF(B147=1,Inputs!$B$7,INDEX(Annual!$AC$2:$AC$51,B147-1))</f>
        <v>800516.109283841</v>
      </c>
      <c r="I147" s="10" t="n">
        <f aca="false">Inputs!$B$12*IF(Inputs!$B$35="",H147,MIN(H147,Inputs!$B$7*(1+Inputs!$B$35)^(B147-1)))/12</f>
        <v>600.38708196288</v>
      </c>
      <c r="J147" s="10" t="n">
        <f aca="false">Inputs!$B$13*Inputs!$B$7*(1+Inputs!$B$22)^(B147-1)/12</f>
        <v>290.185787807053</v>
      </c>
      <c r="K147" s="10" t="n">
        <f aca="false">Inputs!$B$14*Inputs!$B$7*(1+Inputs!$B$22)^(B147-1)/12</f>
        <v>580.371575614107</v>
      </c>
      <c r="L147" s="10" t="n">
        <f aca="false">Inputs!$B$15*(1+Inputs!$B$22)^(B147-1)</f>
        <v>0</v>
      </c>
      <c r="M147" s="10" t="n">
        <f aca="false">INDEX(Annual!$N$2:$N$51,B147)/12</f>
        <v>0</v>
      </c>
      <c r="N147" s="10" t="n">
        <f aca="false">D147+E147+G147+I147+J147+K147+L147-M147</f>
        <v>4207.79357436475</v>
      </c>
      <c r="O147" s="10" t="n">
        <f aca="false">Inputs!$B$17*(1+Inputs!$B$18)^(B147-1)+Inputs!$B$19*(1+Inputs!$B$22)^(B147-1)</f>
        <v>3798.56502008801</v>
      </c>
      <c r="P147" s="10" t="n">
        <f aca="false">N147-O147</f>
        <v>409.228554276737</v>
      </c>
      <c r="Q147" s="10" t="n">
        <f aca="false">Q146*(1+Inputs!$B$42)-U147+MAX(P147,0)</f>
        <v>457723.554887944</v>
      </c>
      <c r="R147" s="10" t="n">
        <f aca="false">R146+Q146*Inputs!$B$48-U147+MAX(P147,0)</f>
        <v>270489.305943603</v>
      </c>
      <c r="S147" s="10" t="n">
        <f aca="false">S146*(1+Inputs!$B$42)-V147+MAX(-P147,0)</f>
        <v>0</v>
      </c>
      <c r="T147" s="10" t="n">
        <f aca="false">T146+S146*Inputs!$B$48-V147+MAX(-P147,0)</f>
        <v>0</v>
      </c>
      <c r="U147" s="10" t="n">
        <f aca="false">Q146*Inputs!$B$48*Inputs!$B$29</f>
        <v>62.5357324111254</v>
      </c>
      <c r="V147" s="10" t="n">
        <f aca="false">S146*Inputs!$B$48*Inputs!$B$29</f>
        <v>0</v>
      </c>
    </row>
    <row r="148" customFormat="false" ht="15" hidden="false" customHeight="false" outlineLevel="0" collapsed="false">
      <c r="A148" s="16" t="n">
        <v>147</v>
      </c>
      <c r="B148" s="16" t="n">
        <f aca="false">ROUNDUP(A148/12,0)</f>
        <v>13</v>
      </c>
      <c r="C148" s="10" t="n">
        <f aca="false">F147</f>
        <v>327484.684974171</v>
      </c>
      <c r="D148" s="10" t="n">
        <f aca="false">IF(AND(A148&lt;=Inputs!$B$9*12,C148&gt;0.000001),C148*Inputs!$B$10/12,0)</f>
        <v>1986.74042217664</v>
      </c>
      <c r="E148" s="10" t="n">
        <f aca="false">IF(AND(A148&lt;=Inputs!$B$9*12,C148&gt;0.000001),MIN(C148,Inputs!$B$41-D148),0)</f>
        <v>750.108706804068</v>
      </c>
      <c r="F148" s="10" t="n">
        <f aca="false">C148-E148</f>
        <v>326734.576267367</v>
      </c>
      <c r="G148" s="10" t="n">
        <f aca="false">IF(AND(Inputs!$B$43=1,C148&gt;0.78*Inputs!$B$7,A148&lt;=Inputs!$B$9*6),Inputs!$B$16*Inputs!$B$39/12,0)</f>
        <v>0</v>
      </c>
      <c r="H148" s="10" t="n">
        <f aca="false">IF(B148=1,Inputs!$B$7,INDEX(Annual!$AC$2:$AC$51,B148-1))</f>
        <v>800516.109283841</v>
      </c>
      <c r="I148" s="10" t="n">
        <f aca="false">Inputs!$B$12*IF(Inputs!$B$35="",H148,MIN(H148,Inputs!$B$7*(1+Inputs!$B$35)^(B148-1)))/12</f>
        <v>600.38708196288</v>
      </c>
      <c r="J148" s="10" t="n">
        <f aca="false">Inputs!$B$13*Inputs!$B$7*(1+Inputs!$B$22)^(B148-1)/12</f>
        <v>290.185787807053</v>
      </c>
      <c r="K148" s="10" t="n">
        <f aca="false">Inputs!$B$14*Inputs!$B$7*(1+Inputs!$B$22)^(B148-1)/12</f>
        <v>580.371575614107</v>
      </c>
      <c r="L148" s="10" t="n">
        <f aca="false">Inputs!$B$15*(1+Inputs!$B$22)^(B148-1)</f>
        <v>0</v>
      </c>
      <c r="M148" s="10" t="n">
        <f aca="false">INDEX(Annual!$N$2:$N$51,B148)/12</f>
        <v>0</v>
      </c>
      <c r="N148" s="10" t="n">
        <f aca="false">D148+E148+G148+I148+J148+K148+L148-M148</f>
        <v>4207.79357436475</v>
      </c>
      <c r="O148" s="10" t="n">
        <f aca="false">Inputs!$B$17*(1+Inputs!$B$18)^(B148-1)+Inputs!$B$19*(1+Inputs!$B$22)^(B148-1)</f>
        <v>3798.56502008801</v>
      </c>
      <c r="P148" s="10" t="n">
        <f aca="false">N148-O148</f>
        <v>409.228554276737</v>
      </c>
      <c r="Q148" s="10" t="n">
        <f aca="false">Q147*(1+Inputs!$B$42)-U148+MAX(P148,0)</f>
        <v>460657.88198</v>
      </c>
      <c r="R148" s="10" t="n">
        <f aca="false">R147+Q147*Inputs!$B$48-U148+MAX(P148,0)</f>
        <v>271255.177434397</v>
      </c>
      <c r="S148" s="10" t="n">
        <f aca="false">S147*(1+Inputs!$B$42)-V148+MAX(-P148,0)</f>
        <v>0</v>
      </c>
      <c r="T148" s="10" t="n">
        <f aca="false">T147+S147*Inputs!$B$48-V148+MAX(-P148,0)</f>
        <v>0</v>
      </c>
      <c r="U148" s="10" t="n">
        <f aca="false">Q147*Inputs!$B$48*Inputs!$B$29</f>
        <v>62.9369887970923</v>
      </c>
      <c r="V148" s="10" t="n">
        <f aca="false">S147*Inputs!$B$48*Inputs!$B$29</f>
        <v>0</v>
      </c>
    </row>
    <row r="149" customFormat="false" ht="15" hidden="false" customHeight="false" outlineLevel="0" collapsed="false">
      <c r="A149" s="16" t="n">
        <v>148</v>
      </c>
      <c r="B149" s="16" t="n">
        <f aca="false">ROUNDUP(A149/12,0)</f>
        <v>13</v>
      </c>
      <c r="C149" s="10" t="n">
        <f aca="false">F148</f>
        <v>326734.576267367</v>
      </c>
      <c r="D149" s="10" t="n">
        <f aca="false">IF(AND(A149&lt;=Inputs!$B$9*12,C149&gt;0.000001),C149*Inputs!$B$10/12,0)</f>
        <v>1982.18976268869</v>
      </c>
      <c r="E149" s="10" t="n">
        <f aca="false">IF(AND(A149&lt;=Inputs!$B$9*12,C149&gt;0.000001),MIN(C149,Inputs!$B$41-D149),0)</f>
        <v>754.659366292013</v>
      </c>
      <c r="F149" s="10" t="n">
        <f aca="false">C149-E149</f>
        <v>325979.916901075</v>
      </c>
      <c r="G149" s="10" t="n">
        <f aca="false">IF(AND(Inputs!$B$43=1,C149&gt;0.78*Inputs!$B$7,A149&lt;=Inputs!$B$9*6),Inputs!$B$16*Inputs!$B$39/12,0)</f>
        <v>0</v>
      </c>
      <c r="H149" s="10" t="n">
        <f aca="false">IF(B149=1,Inputs!$B$7,INDEX(Annual!$AC$2:$AC$51,B149-1))</f>
        <v>800516.109283841</v>
      </c>
      <c r="I149" s="10" t="n">
        <f aca="false">Inputs!$B$12*IF(Inputs!$B$35="",H149,MIN(H149,Inputs!$B$7*(1+Inputs!$B$35)^(B149-1)))/12</f>
        <v>600.38708196288</v>
      </c>
      <c r="J149" s="10" t="n">
        <f aca="false">Inputs!$B$13*Inputs!$B$7*(1+Inputs!$B$22)^(B149-1)/12</f>
        <v>290.185787807053</v>
      </c>
      <c r="K149" s="10" t="n">
        <f aca="false">Inputs!$B$14*Inputs!$B$7*(1+Inputs!$B$22)^(B149-1)/12</f>
        <v>580.371575614107</v>
      </c>
      <c r="L149" s="10" t="n">
        <f aca="false">Inputs!$B$15*(1+Inputs!$B$22)^(B149-1)</f>
        <v>0</v>
      </c>
      <c r="M149" s="10" t="n">
        <f aca="false">INDEX(Annual!$N$2:$N$51,B149)/12</f>
        <v>0</v>
      </c>
      <c r="N149" s="10" t="n">
        <f aca="false">D149+E149+G149+I149+J149+K149+L149-M149</f>
        <v>4207.79357436475</v>
      </c>
      <c r="O149" s="10" t="n">
        <f aca="false">Inputs!$B$17*(1+Inputs!$B$18)^(B149-1)+Inputs!$B$19*(1+Inputs!$B$22)^(B149-1)</f>
        <v>3798.56502008801</v>
      </c>
      <c r="P149" s="10" t="n">
        <f aca="false">N149-O149</f>
        <v>409.228554276737</v>
      </c>
      <c r="Q149" s="10" t="n">
        <f aca="false">Q148*(1+Inputs!$B$42)-U149+MAX(P149,0)</f>
        <v>463608.396714073</v>
      </c>
      <c r="R149" s="10" t="n">
        <f aca="false">R148+Q148*Inputs!$B$48-U149+MAX(P149,0)</f>
        <v>272023.335255049</v>
      </c>
      <c r="S149" s="10" t="n">
        <f aca="false">S148*(1+Inputs!$B$42)-V149+MAX(-P149,0)</f>
        <v>0</v>
      </c>
      <c r="T149" s="10" t="n">
        <f aca="false">T148+S148*Inputs!$B$48-V149+MAX(-P149,0)</f>
        <v>0</v>
      </c>
      <c r="U149" s="10" t="n">
        <f aca="false">Q148*Inputs!$B$48*Inputs!$B$29</f>
        <v>63.34045877225</v>
      </c>
      <c r="V149" s="10" t="n">
        <f aca="false">S148*Inputs!$B$48*Inputs!$B$29</f>
        <v>0</v>
      </c>
    </row>
    <row r="150" customFormat="false" ht="15" hidden="false" customHeight="false" outlineLevel="0" collapsed="false">
      <c r="A150" s="16" t="n">
        <v>149</v>
      </c>
      <c r="B150" s="16" t="n">
        <f aca="false">ROUNDUP(A150/12,0)</f>
        <v>13</v>
      </c>
      <c r="C150" s="10" t="n">
        <f aca="false">F149</f>
        <v>325979.916901075</v>
      </c>
      <c r="D150" s="10" t="n">
        <f aca="false">IF(AND(A150&lt;=Inputs!$B$9*12,C150&gt;0.000001),C150*Inputs!$B$10/12,0)</f>
        <v>1977.61149586652</v>
      </c>
      <c r="E150" s="10" t="n">
        <f aca="false">IF(AND(A150&lt;=Inputs!$B$9*12,C150&gt;0.000001),MIN(C150,Inputs!$B$41-D150),0)</f>
        <v>759.237633114184</v>
      </c>
      <c r="F150" s="10" t="n">
        <f aca="false">C150-E150</f>
        <v>325220.679267961</v>
      </c>
      <c r="G150" s="10" t="n">
        <f aca="false">IF(AND(Inputs!$B$43=1,C150&gt;0.78*Inputs!$B$7,A150&lt;=Inputs!$B$9*6),Inputs!$B$16*Inputs!$B$39/12,0)</f>
        <v>0</v>
      </c>
      <c r="H150" s="10" t="n">
        <f aca="false">IF(B150=1,Inputs!$B$7,INDEX(Annual!$AC$2:$AC$51,B150-1))</f>
        <v>800516.109283841</v>
      </c>
      <c r="I150" s="10" t="n">
        <f aca="false">Inputs!$B$12*IF(Inputs!$B$35="",H150,MIN(H150,Inputs!$B$7*(1+Inputs!$B$35)^(B150-1)))/12</f>
        <v>600.38708196288</v>
      </c>
      <c r="J150" s="10" t="n">
        <f aca="false">Inputs!$B$13*Inputs!$B$7*(1+Inputs!$B$22)^(B150-1)/12</f>
        <v>290.185787807053</v>
      </c>
      <c r="K150" s="10" t="n">
        <f aca="false">Inputs!$B$14*Inputs!$B$7*(1+Inputs!$B$22)^(B150-1)/12</f>
        <v>580.371575614107</v>
      </c>
      <c r="L150" s="10" t="n">
        <f aca="false">Inputs!$B$15*(1+Inputs!$B$22)^(B150-1)</f>
        <v>0</v>
      </c>
      <c r="M150" s="10" t="n">
        <f aca="false">INDEX(Annual!$N$2:$N$51,B150)/12</f>
        <v>0</v>
      </c>
      <c r="N150" s="10" t="n">
        <f aca="false">D150+E150+G150+I150+J150+K150+L150-M150</f>
        <v>4207.79357436475</v>
      </c>
      <c r="O150" s="10" t="n">
        <f aca="false">Inputs!$B$17*(1+Inputs!$B$18)^(B150-1)+Inputs!$B$19*(1+Inputs!$B$22)^(B150-1)</f>
        <v>3798.56502008801</v>
      </c>
      <c r="P150" s="10" t="n">
        <f aca="false">N150-O150</f>
        <v>409.228554276737</v>
      </c>
      <c r="Q150" s="10" t="n">
        <f aca="false">Q149*(1+Inputs!$B$42)-U150+MAX(P150,0)</f>
        <v>466575.188391645</v>
      </c>
      <c r="R150" s="10" t="n">
        <f aca="false">R149+Q149*Inputs!$B$48-U150+MAX(P150,0)</f>
        <v>272793.792018433</v>
      </c>
      <c r="S150" s="10" t="n">
        <f aca="false">S149*(1+Inputs!$B$42)-V150+MAX(-P150,0)</f>
        <v>0</v>
      </c>
      <c r="T150" s="10" t="n">
        <f aca="false">T149+S149*Inputs!$B$48-V150+MAX(-P150,0)</f>
        <v>0</v>
      </c>
      <c r="U150" s="10" t="n">
        <f aca="false">Q149*Inputs!$B$48*Inputs!$B$29</f>
        <v>63.7461545481851</v>
      </c>
      <c r="V150" s="10" t="n">
        <f aca="false">S149*Inputs!$B$48*Inputs!$B$29</f>
        <v>0</v>
      </c>
    </row>
    <row r="151" customFormat="false" ht="15" hidden="false" customHeight="false" outlineLevel="0" collapsed="false">
      <c r="A151" s="16" t="n">
        <v>150</v>
      </c>
      <c r="B151" s="16" t="n">
        <f aca="false">ROUNDUP(A151/12,0)</f>
        <v>13</v>
      </c>
      <c r="C151" s="10" t="n">
        <f aca="false">F150</f>
        <v>325220.679267961</v>
      </c>
      <c r="D151" s="10" t="n">
        <f aca="false">IF(AND(A151&lt;=Inputs!$B$9*12,C151&gt;0.000001),C151*Inputs!$B$10/12,0)</f>
        <v>1973.00545422563</v>
      </c>
      <c r="E151" s="10" t="n">
        <f aca="false">IF(AND(A151&lt;=Inputs!$B$9*12,C151&gt;0.000001),MIN(C151,Inputs!$B$41-D151),0)</f>
        <v>763.843674755077</v>
      </c>
      <c r="F151" s="10" t="n">
        <f aca="false">C151-E151</f>
        <v>324456.835593206</v>
      </c>
      <c r="G151" s="10" t="n">
        <f aca="false">IF(AND(Inputs!$B$43=1,C151&gt;0.78*Inputs!$B$7,A151&lt;=Inputs!$B$9*6),Inputs!$B$16*Inputs!$B$39/12,0)</f>
        <v>0</v>
      </c>
      <c r="H151" s="10" t="n">
        <f aca="false">IF(B151=1,Inputs!$B$7,INDEX(Annual!$AC$2:$AC$51,B151-1))</f>
        <v>800516.109283841</v>
      </c>
      <c r="I151" s="10" t="n">
        <f aca="false">Inputs!$B$12*IF(Inputs!$B$35="",H151,MIN(H151,Inputs!$B$7*(1+Inputs!$B$35)^(B151-1)))/12</f>
        <v>600.38708196288</v>
      </c>
      <c r="J151" s="10" t="n">
        <f aca="false">Inputs!$B$13*Inputs!$B$7*(1+Inputs!$B$22)^(B151-1)/12</f>
        <v>290.185787807053</v>
      </c>
      <c r="K151" s="10" t="n">
        <f aca="false">Inputs!$B$14*Inputs!$B$7*(1+Inputs!$B$22)^(B151-1)/12</f>
        <v>580.371575614107</v>
      </c>
      <c r="L151" s="10" t="n">
        <f aca="false">Inputs!$B$15*(1+Inputs!$B$22)^(B151-1)</f>
        <v>0</v>
      </c>
      <c r="M151" s="10" t="n">
        <f aca="false">INDEX(Annual!$N$2:$N$51,B151)/12</f>
        <v>0</v>
      </c>
      <c r="N151" s="10" t="n">
        <f aca="false">D151+E151+G151+I151+J151+K151+L151-M151</f>
        <v>4207.79357436475</v>
      </c>
      <c r="O151" s="10" t="n">
        <f aca="false">Inputs!$B$17*(1+Inputs!$B$18)^(B151-1)+Inputs!$B$19*(1+Inputs!$B$22)^(B151-1)</f>
        <v>3798.56502008801</v>
      </c>
      <c r="P151" s="10" t="n">
        <f aca="false">N151-O151</f>
        <v>409.228554276737</v>
      </c>
      <c r="Q151" s="10" t="n">
        <f aca="false">Q150*(1+Inputs!$B$42)-U151+MAX(P151,0)</f>
        <v>469558.34680684</v>
      </c>
      <c r="R151" s="10" t="n">
        <f aca="false">R150+Q150*Inputs!$B$48-U151+MAX(P151,0)</f>
        <v>273566.560406998</v>
      </c>
      <c r="S151" s="10" t="n">
        <f aca="false">S150*(1+Inputs!$B$42)-V151+MAX(-P151,0)</f>
        <v>0</v>
      </c>
      <c r="T151" s="10" t="n">
        <f aca="false">T150+S150*Inputs!$B$48-V151+MAX(-P151,0)</f>
        <v>0</v>
      </c>
      <c r="U151" s="10" t="n">
        <f aca="false">Q150*Inputs!$B$48*Inputs!$B$29</f>
        <v>64.1540884038512</v>
      </c>
      <c r="V151" s="10" t="n">
        <f aca="false">S150*Inputs!$B$48*Inputs!$B$29</f>
        <v>0</v>
      </c>
    </row>
    <row r="152" customFormat="false" ht="15" hidden="false" customHeight="false" outlineLevel="0" collapsed="false">
      <c r="A152" s="16" t="n">
        <v>151</v>
      </c>
      <c r="B152" s="16" t="n">
        <f aca="false">ROUNDUP(A152/12,0)</f>
        <v>13</v>
      </c>
      <c r="C152" s="10" t="n">
        <f aca="false">F151</f>
        <v>324456.835593206</v>
      </c>
      <c r="D152" s="10" t="n">
        <f aca="false">IF(AND(A152&lt;=Inputs!$B$9*12,C152&gt;0.000001),C152*Inputs!$B$10/12,0)</f>
        <v>1968.37146926545</v>
      </c>
      <c r="E152" s="10" t="n">
        <f aca="false">IF(AND(A152&lt;=Inputs!$B$9*12,C152&gt;0.000001),MIN(C152,Inputs!$B$41-D152),0)</f>
        <v>768.477659715258</v>
      </c>
      <c r="F152" s="10" t="n">
        <f aca="false">C152-E152</f>
        <v>323688.35793349</v>
      </c>
      <c r="G152" s="10" t="n">
        <f aca="false">IF(AND(Inputs!$B$43=1,C152&gt;0.78*Inputs!$B$7,A152&lt;=Inputs!$B$9*6),Inputs!$B$16*Inputs!$B$39/12,0)</f>
        <v>0</v>
      </c>
      <c r="H152" s="10" t="n">
        <f aca="false">IF(B152=1,Inputs!$B$7,INDEX(Annual!$AC$2:$AC$51,B152-1))</f>
        <v>800516.109283841</v>
      </c>
      <c r="I152" s="10" t="n">
        <f aca="false">Inputs!$B$12*IF(Inputs!$B$35="",H152,MIN(H152,Inputs!$B$7*(1+Inputs!$B$35)^(B152-1)))/12</f>
        <v>600.38708196288</v>
      </c>
      <c r="J152" s="10" t="n">
        <f aca="false">Inputs!$B$13*Inputs!$B$7*(1+Inputs!$B$22)^(B152-1)/12</f>
        <v>290.185787807053</v>
      </c>
      <c r="K152" s="10" t="n">
        <f aca="false">Inputs!$B$14*Inputs!$B$7*(1+Inputs!$B$22)^(B152-1)/12</f>
        <v>580.371575614107</v>
      </c>
      <c r="L152" s="10" t="n">
        <f aca="false">Inputs!$B$15*(1+Inputs!$B$22)^(B152-1)</f>
        <v>0</v>
      </c>
      <c r="M152" s="10" t="n">
        <f aca="false">INDEX(Annual!$N$2:$N$51,B152)/12</f>
        <v>0</v>
      </c>
      <c r="N152" s="10" t="n">
        <f aca="false">D152+E152+G152+I152+J152+K152+L152-M152</f>
        <v>4207.79357436475</v>
      </c>
      <c r="O152" s="10" t="n">
        <f aca="false">Inputs!$B$17*(1+Inputs!$B$18)^(B152-1)+Inputs!$B$19*(1+Inputs!$B$22)^(B152-1)</f>
        <v>3798.56502008801</v>
      </c>
      <c r="P152" s="10" t="n">
        <f aca="false">N152-O152</f>
        <v>409.228554276737</v>
      </c>
      <c r="Q152" s="10" t="n">
        <f aca="false">Q151*(1+Inputs!$B$42)-U152+MAX(P152,0)</f>
        <v>472557.962249147</v>
      </c>
      <c r="R152" s="10" t="n">
        <f aca="false">R151+Q151*Inputs!$B$48-U152+MAX(P152,0)</f>
        <v>274341.653173161</v>
      </c>
      <c r="S152" s="10" t="n">
        <f aca="false">S151*(1+Inputs!$B$42)-V152+MAX(-P152,0)</f>
        <v>0</v>
      </c>
      <c r="T152" s="10" t="n">
        <f aca="false">T151+S151*Inputs!$B$48-V152+MAX(-P152,0)</f>
        <v>0</v>
      </c>
      <c r="U152" s="10" t="n">
        <f aca="false">Q151*Inputs!$B$48*Inputs!$B$29</f>
        <v>64.5642726859405</v>
      </c>
      <c r="V152" s="10" t="n">
        <f aca="false">S151*Inputs!$B$48*Inputs!$B$29</f>
        <v>0</v>
      </c>
    </row>
    <row r="153" customFormat="false" ht="15" hidden="false" customHeight="false" outlineLevel="0" collapsed="false">
      <c r="A153" s="16" t="n">
        <v>152</v>
      </c>
      <c r="B153" s="16" t="n">
        <f aca="false">ROUNDUP(A153/12,0)</f>
        <v>13</v>
      </c>
      <c r="C153" s="10" t="n">
        <f aca="false">F152</f>
        <v>323688.35793349</v>
      </c>
      <c r="D153" s="10" t="n">
        <f aca="false">IF(AND(A153&lt;=Inputs!$B$9*12,C153&gt;0.000001),C153*Inputs!$B$10/12,0)</f>
        <v>1963.70937146318</v>
      </c>
      <c r="E153" s="10" t="n">
        <f aca="false">IF(AND(A153&lt;=Inputs!$B$9*12,C153&gt;0.000001),MIN(C153,Inputs!$B$41-D153),0)</f>
        <v>773.13975751753</v>
      </c>
      <c r="F153" s="10" t="n">
        <f aca="false">C153-E153</f>
        <v>322915.218175973</v>
      </c>
      <c r="G153" s="10" t="n">
        <f aca="false">IF(AND(Inputs!$B$43=1,C153&gt;0.78*Inputs!$B$7,A153&lt;=Inputs!$B$9*6),Inputs!$B$16*Inputs!$B$39/12,0)</f>
        <v>0</v>
      </c>
      <c r="H153" s="10" t="n">
        <f aca="false">IF(B153=1,Inputs!$B$7,INDEX(Annual!$AC$2:$AC$51,B153-1))</f>
        <v>800516.109283841</v>
      </c>
      <c r="I153" s="10" t="n">
        <f aca="false">Inputs!$B$12*IF(Inputs!$B$35="",H153,MIN(H153,Inputs!$B$7*(1+Inputs!$B$35)^(B153-1)))/12</f>
        <v>600.38708196288</v>
      </c>
      <c r="J153" s="10" t="n">
        <f aca="false">Inputs!$B$13*Inputs!$B$7*(1+Inputs!$B$22)^(B153-1)/12</f>
        <v>290.185787807053</v>
      </c>
      <c r="K153" s="10" t="n">
        <f aca="false">Inputs!$B$14*Inputs!$B$7*(1+Inputs!$B$22)^(B153-1)/12</f>
        <v>580.371575614107</v>
      </c>
      <c r="L153" s="10" t="n">
        <f aca="false">Inputs!$B$15*(1+Inputs!$B$22)^(B153-1)</f>
        <v>0</v>
      </c>
      <c r="M153" s="10" t="n">
        <f aca="false">INDEX(Annual!$N$2:$N$51,B153)/12</f>
        <v>0</v>
      </c>
      <c r="N153" s="10" t="n">
        <f aca="false">D153+E153+G153+I153+J153+K153+L153-M153</f>
        <v>4207.79357436475</v>
      </c>
      <c r="O153" s="10" t="n">
        <f aca="false">Inputs!$B$17*(1+Inputs!$B$18)^(B153-1)+Inputs!$B$19*(1+Inputs!$B$22)^(B153-1)</f>
        <v>3798.56502008801</v>
      </c>
      <c r="P153" s="10" t="n">
        <f aca="false">N153-O153</f>
        <v>409.228554276737</v>
      </c>
      <c r="Q153" s="10" t="n">
        <f aca="false">Q152*(1+Inputs!$B$42)-U153+MAX(P153,0)</f>
        <v>475574.125506147</v>
      </c>
      <c r="R153" s="10" t="n">
        <f aca="false">R152+Q152*Inputs!$B$48-U153+MAX(P153,0)</f>
        <v>275119.083139691</v>
      </c>
      <c r="S153" s="10" t="n">
        <f aca="false">S152*(1+Inputs!$B$42)-V153+MAX(-P153,0)</f>
        <v>0</v>
      </c>
      <c r="T153" s="10" t="n">
        <f aca="false">T152+S152*Inputs!$B$48-V153+MAX(-P153,0)</f>
        <v>0</v>
      </c>
      <c r="U153" s="10" t="n">
        <f aca="false">Q152*Inputs!$B$48*Inputs!$B$29</f>
        <v>64.9767198092577</v>
      </c>
      <c r="V153" s="10" t="n">
        <f aca="false">S152*Inputs!$B$48*Inputs!$B$29</f>
        <v>0</v>
      </c>
    </row>
    <row r="154" customFormat="false" ht="15" hidden="false" customHeight="false" outlineLevel="0" collapsed="false">
      <c r="A154" s="16" t="n">
        <v>153</v>
      </c>
      <c r="B154" s="16" t="n">
        <f aca="false">ROUNDUP(A154/12,0)</f>
        <v>13</v>
      </c>
      <c r="C154" s="10" t="n">
        <f aca="false">F153</f>
        <v>322915.218175973</v>
      </c>
      <c r="D154" s="10" t="n">
        <f aca="false">IF(AND(A154&lt;=Inputs!$B$9*12,C154&gt;0.000001),C154*Inputs!$B$10/12,0)</f>
        <v>1959.01899026757</v>
      </c>
      <c r="E154" s="10" t="n">
        <f aca="false">IF(AND(A154&lt;=Inputs!$B$9*12,C154&gt;0.000001),MIN(C154,Inputs!$B$41-D154),0)</f>
        <v>777.830138713137</v>
      </c>
      <c r="F154" s="10" t="n">
        <f aca="false">C154-E154</f>
        <v>322137.38803726</v>
      </c>
      <c r="G154" s="10" t="n">
        <f aca="false">IF(AND(Inputs!$B$43=1,C154&gt;0.78*Inputs!$B$7,A154&lt;=Inputs!$B$9*6),Inputs!$B$16*Inputs!$B$39/12,0)</f>
        <v>0</v>
      </c>
      <c r="H154" s="10" t="n">
        <f aca="false">IF(B154=1,Inputs!$B$7,INDEX(Annual!$AC$2:$AC$51,B154-1))</f>
        <v>800516.109283841</v>
      </c>
      <c r="I154" s="10" t="n">
        <f aca="false">Inputs!$B$12*IF(Inputs!$B$35="",H154,MIN(H154,Inputs!$B$7*(1+Inputs!$B$35)^(B154-1)))/12</f>
        <v>600.38708196288</v>
      </c>
      <c r="J154" s="10" t="n">
        <f aca="false">Inputs!$B$13*Inputs!$B$7*(1+Inputs!$B$22)^(B154-1)/12</f>
        <v>290.185787807053</v>
      </c>
      <c r="K154" s="10" t="n">
        <f aca="false">Inputs!$B$14*Inputs!$B$7*(1+Inputs!$B$22)^(B154-1)/12</f>
        <v>580.371575614107</v>
      </c>
      <c r="L154" s="10" t="n">
        <f aca="false">Inputs!$B$15*(1+Inputs!$B$22)^(B154-1)</f>
        <v>0</v>
      </c>
      <c r="M154" s="10" t="n">
        <f aca="false">INDEX(Annual!$N$2:$N$51,B154)/12</f>
        <v>0</v>
      </c>
      <c r="N154" s="10" t="n">
        <f aca="false">D154+E154+G154+I154+J154+K154+L154-M154</f>
        <v>4207.79357436475</v>
      </c>
      <c r="O154" s="10" t="n">
        <f aca="false">Inputs!$B$17*(1+Inputs!$B$18)^(B154-1)+Inputs!$B$19*(1+Inputs!$B$22)^(B154-1)</f>
        <v>3798.56502008801</v>
      </c>
      <c r="P154" s="10" t="n">
        <f aca="false">N154-O154</f>
        <v>409.228554276737</v>
      </c>
      <c r="Q154" s="10" t="n">
        <f aca="false">Q153*(1+Inputs!$B$42)-U154+MAX(P154,0)</f>
        <v>478606.927866266</v>
      </c>
      <c r="R154" s="10" t="n">
        <f aca="false">R153+Q153*Inputs!$B$48-U154+MAX(P154,0)</f>
        <v>275898.863200091</v>
      </c>
      <c r="S154" s="10" t="n">
        <f aca="false">S153*(1+Inputs!$B$42)-V154+MAX(-P154,0)</f>
        <v>0</v>
      </c>
      <c r="T154" s="10" t="n">
        <f aca="false">T153+S153*Inputs!$B$48-V154+MAX(-P154,0)</f>
        <v>0</v>
      </c>
      <c r="U154" s="10" t="n">
        <f aca="false">Q153*Inputs!$B$48*Inputs!$B$29</f>
        <v>65.3914422570952</v>
      </c>
      <c r="V154" s="10" t="n">
        <f aca="false">S153*Inputs!$B$48*Inputs!$B$29</f>
        <v>0</v>
      </c>
    </row>
    <row r="155" customFormat="false" ht="15" hidden="false" customHeight="false" outlineLevel="0" collapsed="false">
      <c r="A155" s="16" t="n">
        <v>154</v>
      </c>
      <c r="B155" s="16" t="n">
        <f aca="false">ROUNDUP(A155/12,0)</f>
        <v>13</v>
      </c>
      <c r="C155" s="10" t="n">
        <f aca="false">F154</f>
        <v>322137.38803726</v>
      </c>
      <c r="D155" s="10" t="n">
        <f aca="false">IF(AND(A155&lt;=Inputs!$B$9*12,C155&gt;0.000001),C155*Inputs!$B$10/12,0)</f>
        <v>1954.30015409271</v>
      </c>
      <c r="E155" s="10" t="n">
        <f aca="false">IF(AND(A155&lt;=Inputs!$B$9*12,C155&gt;0.000001),MIN(C155,Inputs!$B$41-D155),0)</f>
        <v>782.548974887997</v>
      </c>
      <c r="F155" s="10" t="n">
        <f aca="false">C155-E155</f>
        <v>321354.839062372</v>
      </c>
      <c r="G155" s="10" t="n">
        <f aca="false">IF(AND(Inputs!$B$43=1,C155&gt;0.78*Inputs!$B$7,A155&lt;=Inputs!$B$9*6),Inputs!$B$16*Inputs!$B$39/12,0)</f>
        <v>0</v>
      </c>
      <c r="H155" s="10" t="n">
        <f aca="false">IF(B155=1,Inputs!$B$7,INDEX(Annual!$AC$2:$AC$51,B155-1))</f>
        <v>800516.109283841</v>
      </c>
      <c r="I155" s="10" t="n">
        <f aca="false">Inputs!$B$12*IF(Inputs!$B$35="",H155,MIN(H155,Inputs!$B$7*(1+Inputs!$B$35)^(B155-1)))/12</f>
        <v>600.38708196288</v>
      </c>
      <c r="J155" s="10" t="n">
        <f aca="false">Inputs!$B$13*Inputs!$B$7*(1+Inputs!$B$22)^(B155-1)/12</f>
        <v>290.185787807053</v>
      </c>
      <c r="K155" s="10" t="n">
        <f aca="false">Inputs!$B$14*Inputs!$B$7*(1+Inputs!$B$22)^(B155-1)/12</f>
        <v>580.371575614107</v>
      </c>
      <c r="L155" s="10" t="n">
        <f aca="false">Inputs!$B$15*(1+Inputs!$B$22)^(B155-1)</f>
        <v>0</v>
      </c>
      <c r="M155" s="10" t="n">
        <f aca="false">INDEX(Annual!$N$2:$N$51,B155)/12</f>
        <v>0</v>
      </c>
      <c r="N155" s="10" t="n">
        <f aca="false">D155+E155+G155+I155+J155+K155+L155-M155</f>
        <v>4207.79357436475</v>
      </c>
      <c r="O155" s="10" t="n">
        <f aca="false">Inputs!$B$17*(1+Inputs!$B$18)^(B155-1)+Inputs!$B$19*(1+Inputs!$B$22)^(B155-1)</f>
        <v>3798.56502008801</v>
      </c>
      <c r="P155" s="10" t="n">
        <f aca="false">N155-O155</f>
        <v>409.228554276737</v>
      </c>
      <c r="Q155" s="10" t="n">
        <f aca="false">Q154*(1+Inputs!$B$42)-U155+MAX(P155,0)</f>
        <v>481656.461121537</v>
      </c>
      <c r="R155" s="10" t="n">
        <f aca="false">R154+Q154*Inputs!$B$48-U155+MAX(P155,0)</f>
        <v>276681.006318997</v>
      </c>
      <c r="S155" s="10" t="n">
        <f aca="false">S154*(1+Inputs!$B$42)-V155+MAX(-P155,0)</f>
        <v>0</v>
      </c>
      <c r="T155" s="10" t="n">
        <f aca="false">T154+S154*Inputs!$B$48-V155+MAX(-P155,0)</f>
        <v>0</v>
      </c>
      <c r="U155" s="10" t="n">
        <f aca="false">Q154*Inputs!$B$48*Inputs!$B$29</f>
        <v>65.8084525816116</v>
      </c>
      <c r="V155" s="10" t="n">
        <f aca="false">S154*Inputs!$B$48*Inputs!$B$29</f>
        <v>0</v>
      </c>
    </row>
    <row r="156" customFormat="false" ht="15" hidden="false" customHeight="false" outlineLevel="0" collapsed="false">
      <c r="A156" s="16" t="n">
        <v>155</v>
      </c>
      <c r="B156" s="16" t="n">
        <f aca="false">ROUNDUP(A156/12,0)</f>
        <v>13</v>
      </c>
      <c r="C156" s="10" t="n">
        <f aca="false">F155</f>
        <v>321354.839062372</v>
      </c>
      <c r="D156" s="10" t="n">
        <f aca="false">IF(AND(A156&lt;=Inputs!$B$9*12,C156&gt;0.000001),C156*Inputs!$B$10/12,0)</f>
        <v>1949.55269031172</v>
      </c>
      <c r="E156" s="10" t="n">
        <f aca="false">IF(AND(A156&lt;=Inputs!$B$9*12,C156&gt;0.000001),MIN(C156,Inputs!$B$41-D156),0)</f>
        <v>787.296438668984</v>
      </c>
      <c r="F156" s="10" t="n">
        <f aca="false">C156-E156</f>
        <v>320567.542623703</v>
      </c>
      <c r="G156" s="10" t="n">
        <f aca="false">IF(AND(Inputs!$B$43=1,C156&gt;0.78*Inputs!$B$7,A156&lt;=Inputs!$B$9*6),Inputs!$B$16*Inputs!$B$39/12,0)</f>
        <v>0</v>
      </c>
      <c r="H156" s="10" t="n">
        <f aca="false">IF(B156=1,Inputs!$B$7,INDEX(Annual!$AC$2:$AC$51,B156-1))</f>
        <v>800516.109283841</v>
      </c>
      <c r="I156" s="10" t="n">
        <f aca="false">Inputs!$B$12*IF(Inputs!$B$35="",H156,MIN(H156,Inputs!$B$7*(1+Inputs!$B$35)^(B156-1)))/12</f>
        <v>600.38708196288</v>
      </c>
      <c r="J156" s="10" t="n">
        <f aca="false">Inputs!$B$13*Inputs!$B$7*(1+Inputs!$B$22)^(B156-1)/12</f>
        <v>290.185787807053</v>
      </c>
      <c r="K156" s="10" t="n">
        <f aca="false">Inputs!$B$14*Inputs!$B$7*(1+Inputs!$B$22)^(B156-1)/12</f>
        <v>580.371575614107</v>
      </c>
      <c r="L156" s="10" t="n">
        <f aca="false">Inputs!$B$15*(1+Inputs!$B$22)^(B156-1)</f>
        <v>0</v>
      </c>
      <c r="M156" s="10" t="n">
        <f aca="false">INDEX(Annual!$N$2:$N$51,B156)/12</f>
        <v>0</v>
      </c>
      <c r="N156" s="10" t="n">
        <f aca="false">D156+E156+G156+I156+J156+K156+L156-M156</f>
        <v>4207.79357436475</v>
      </c>
      <c r="O156" s="10" t="n">
        <f aca="false">Inputs!$B$17*(1+Inputs!$B$18)^(B156-1)+Inputs!$B$19*(1+Inputs!$B$22)^(B156-1)</f>
        <v>3798.56502008801</v>
      </c>
      <c r="P156" s="10" t="n">
        <f aca="false">N156-O156</f>
        <v>409.228554276737</v>
      </c>
      <c r="Q156" s="10" t="n">
        <f aca="false">Q155*(1+Inputs!$B$42)-U156+MAX(P156,0)</f>
        <v>484722.817570374</v>
      </c>
      <c r="R156" s="10" t="n">
        <f aca="false">R155+Q155*Inputs!$B$48-U156+MAX(P156,0)</f>
        <v>277465.525532564</v>
      </c>
      <c r="S156" s="10" t="n">
        <f aca="false">S155*(1+Inputs!$B$42)-V156+MAX(-P156,0)</f>
        <v>0</v>
      </c>
      <c r="T156" s="10" t="n">
        <f aca="false">T155+S155*Inputs!$B$48-V156+MAX(-P156,0)</f>
        <v>0</v>
      </c>
      <c r="U156" s="10" t="n">
        <f aca="false">Q155*Inputs!$B$48*Inputs!$B$29</f>
        <v>66.2277634042113</v>
      </c>
      <c r="V156" s="10" t="n">
        <f aca="false">S155*Inputs!$B$48*Inputs!$B$29</f>
        <v>0</v>
      </c>
    </row>
    <row r="157" customFormat="false" ht="15" hidden="false" customHeight="false" outlineLevel="0" collapsed="false">
      <c r="A157" s="16" t="n">
        <v>156</v>
      </c>
      <c r="B157" s="16" t="n">
        <f aca="false">ROUNDUP(A157/12,0)</f>
        <v>13</v>
      </c>
      <c r="C157" s="10" t="n">
        <f aca="false">F156</f>
        <v>320567.542623703</v>
      </c>
      <c r="D157" s="10" t="n">
        <f aca="false">IF(AND(A157&lt;=Inputs!$B$9*12,C157&gt;0.000001),C157*Inputs!$B$10/12,0)</f>
        <v>1944.77642525046</v>
      </c>
      <c r="E157" s="10" t="n">
        <f aca="false">IF(AND(A157&lt;=Inputs!$B$9*12,C157&gt;0.000001),MIN(C157,Inputs!$B$41-D157),0)</f>
        <v>792.072703730242</v>
      </c>
      <c r="F157" s="10" t="n">
        <f aca="false">C157-E157</f>
        <v>319775.469919973</v>
      </c>
      <c r="G157" s="10" t="n">
        <f aca="false">IF(AND(Inputs!$B$43=1,C157&gt;0.78*Inputs!$B$7,A157&lt;=Inputs!$B$9*6),Inputs!$B$16*Inputs!$B$39/12,0)</f>
        <v>0</v>
      </c>
      <c r="H157" s="10" t="n">
        <f aca="false">IF(B157=1,Inputs!$B$7,INDEX(Annual!$AC$2:$AC$51,B157-1))</f>
        <v>800516.109283841</v>
      </c>
      <c r="I157" s="10" t="n">
        <f aca="false">Inputs!$B$12*IF(Inputs!$B$35="",H157,MIN(H157,Inputs!$B$7*(1+Inputs!$B$35)^(B157-1)))/12</f>
        <v>600.38708196288</v>
      </c>
      <c r="J157" s="10" t="n">
        <f aca="false">Inputs!$B$13*Inputs!$B$7*(1+Inputs!$B$22)^(B157-1)/12</f>
        <v>290.185787807053</v>
      </c>
      <c r="K157" s="10" t="n">
        <f aca="false">Inputs!$B$14*Inputs!$B$7*(1+Inputs!$B$22)^(B157-1)/12</f>
        <v>580.371575614107</v>
      </c>
      <c r="L157" s="10" t="n">
        <f aca="false">Inputs!$B$15*(1+Inputs!$B$22)^(B157-1)</f>
        <v>0</v>
      </c>
      <c r="M157" s="10" t="n">
        <f aca="false">INDEX(Annual!$N$2:$N$51,B157)/12</f>
        <v>0</v>
      </c>
      <c r="N157" s="10" t="n">
        <f aca="false">D157+E157+G157+I157+J157+K157+L157-M157</f>
        <v>4207.79357436475</v>
      </c>
      <c r="O157" s="10" t="n">
        <f aca="false">Inputs!$B$17*(1+Inputs!$B$18)^(B157-1)+Inputs!$B$19*(1+Inputs!$B$22)^(B157-1)</f>
        <v>3798.56502008801</v>
      </c>
      <c r="P157" s="10" t="n">
        <f aca="false">N157-O157</f>
        <v>409.228554276737</v>
      </c>
      <c r="Q157" s="10" t="n">
        <f aca="false">Q156*(1+Inputs!$B$42)-U157+MAX(P157,0)</f>
        <v>487806.09002037</v>
      </c>
      <c r="R157" s="10" t="n">
        <f aca="false">R156+Q156*Inputs!$B$48-U157+MAX(P157,0)</f>
        <v>278252.433948865</v>
      </c>
      <c r="S157" s="10" t="n">
        <f aca="false">S156*(1+Inputs!$B$42)-V157+MAX(-P157,0)</f>
        <v>0</v>
      </c>
      <c r="T157" s="10" t="n">
        <f aca="false">T156+S156*Inputs!$B$48-V157+MAX(-P157,0)</f>
        <v>0</v>
      </c>
      <c r="U157" s="10" t="n">
        <f aca="false">Q156*Inputs!$B$48*Inputs!$B$29</f>
        <v>66.6493874159264</v>
      </c>
      <c r="V157" s="10" t="n">
        <f aca="false">S156*Inputs!$B$48*Inputs!$B$29</f>
        <v>0</v>
      </c>
    </row>
    <row r="158" customFormat="false" ht="15" hidden="false" customHeight="false" outlineLevel="0" collapsed="false">
      <c r="A158" s="16" t="n">
        <v>157</v>
      </c>
      <c r="B158" s="16" t="n">
        <f aca="false">ROUNDUP(A158/12,0)</f>
        <v>14</v>
      </c>
      <c r="C158" s="10" t="n">
        <f aca="false">F157</f>
        <v>319775.469919973</v>
      </c>
      <c r="D158" s="10" t="n">
        <f aca="false">IF(AND(A158&lt;=Inputs!$B$9*12,C158&gt;0.000001),C158*Inputs!$B$10/12,0)</f>
        <v>1939.97118418117</v>
      </c>
      <c r="E158" s="10" t="n">
        <f aca="false">IF(AND(A158&lt;=Inputs!$B$9*12,C158&gt;0.000001),MIN(C158,Inputs!$B$41-D158),0)</f>
        <v>796.877944799539</v>
      </c>
      <c r="F158" s="10" t="n">
        <f aca="false">C158-E158</f>
        <v>318978.591975173</v>
      </c>
      <c r="G158" s="10" t="n">
        <f aca="false">IF(AND(Inputs!$B$43=1,C158&gt;0.78*Inputs!$B$7,A158&lt;=Inputs!$B$9*6),Inputs!$B$16*Inputs!$B$39/12,0)</f>
        <v>0</v>
      </c>
      <c r="H158" s="10" t="n">
        <f aca="false">IF(B158=1,Inputs!$B$7,INDEX(Annual!$AC$2:$AC$51,B158-1))</f>
        <v>832536.753655194</v>
      </c>
      <c r="I158" s="10" t="n">
        <f aca="false">Inputs!$B$12*IF(Inputs!$B$35="",H158,MIN(H158,Inputs!$B$7*(1+Inputs!$B$35)^(B158-1)))/12</f>
        <v>624.402565241396</v>
      </c>
      <c r="J158" s="10" t="n">
        <f aca="false">Inputs!$B$13*Inputs!$B$7*(1+Inputs!$B$22)^(B158-1)/12</f>
        <v>298.310989865651</v>
      </c>
      <c r="K158" s="10" t="n">
        <f aca="false">Inputs!$B$14*Inputs!$B$7*(1+Inputs!$B$22)^(B158-1)/12</f>
        <v>596.621979731302</v>
      </c>
      <c r="L158" s="10" t="n">
        <f aca="false">Inputs!$B$15*(1+Inputs!$B$22)^(B158-1)</f>
        <v>0</v>
      </c>
      <c r="M158" s="10" t="n">
        <f aca="false">INDEX(Annual!$N$2:$N$51,B158)/12</f>
        <v>0</v>
      </c>
      <c r="N158" s="10" t="n">
        <f aca="false">D158+E158+G158+I158+J158+K158+L158-M158</f>
        <v>4256.18466381905</v>
      </c>
      <c r="O158" s="10" t="n">
        <f aca="false">Inputs!$B$17*(1+Inputs!$B$18)^(B158-1)+Inputs!$B$19*(1+Inputs!$B$22)^(B158-1)</f>
        <v>3931.36854215403</v>
      </c>
      <c r="P158" s="10" t="n">
        <f aca="false">N158-O158</f>
        <v>324.81612166502</v>
      </c>
      <c r="Q158" s="10" t="n">
        <f aca="false">Q157*(1+Inputs!$B$42)-U158+MAX(P158,0)</f>
        <v>490821.959358494</v>
      </c>
      <c r="R158" s="10" t="n">
        <f aca="false">R157+Q157*Inputs!$B$48-U158+MAX(P158,0)</f>
        <v>278957.33231567</v>
      </c>
      <c r="S158" s="10" t="n">
        <f aca="false">S157*(1+Inputs!$B$42)-V158+MAX(-P158,0)</f>
        <v>0</v>
      </c>
      <c r="T158" s="10" t="n">
        <f aca="false">T157+S157*Inputs!$B$48-V158+MAX(-P158,0)</f>
        <v>0</v>
      </c>
      <c r="U158" s="10" t="n">
        <f aca="false">Q157*Inputs!$B$48*Inputs!$B$29</f>
        <v>67.0733373778009</v>
      </c>
      <c r="V158" s="10" t="n">
        <f aca="false">S157*Inputs!$B$48*Inputs!$B$29</f>
        <v>0</v>
      </c>
    </row>
    <row r="159" customFormat="false" ht="15" hidden="false" customHeight="false" outlineLevel="0" collapsed="false">
      <c r="A159" s="16" t="n">
        <v>158</v>
      </c>
      <c r="B159" s="16" t="n">
        <f aca="false">ROUNDUP(A159/12,0)</f>
        <v>14</v>
      </c>
      <c r="C159" s="10" t="n">
        <f aca="false">F158</f>
        <v>318978.591975173</v>
      </c>
      <c r="D159" s="10" t="n">
        <f aca="false">IF(AND(A159&lt;=Inputs!$B$9*12,C159&gt;0.000001),C159*Inputs!$B$10/12,0)</f>
        <v>1935.13679131605</v>
      </c>
      <c r="E159" s="10" t="n">
        <f aca="false">IF(AND(A159&lt;=Inputs!$B$9*12,C159&gt;0.000001),MIN(C159,Inputs!$B$41-D159),0)</f>
        <v>801.712337664656</v>
      </c>
      <c r="F159" s="10" t="n">
        <f aca="false">C159-E159</f>
        <v>318176.879637508</v>
      </c>
      <c r="G159" s="10" t="n">
        <f aca="false">IF(AND(Inputs!$B$43=1,C159&gt;0.78*Inputs!$B$7,A159&lt;=Inputs!$B$9*6),Inputs!$B$16*Inputs!$B$39/12,0)</f>
        <v>0</v>
      </c>
      <c r="H159" s="10" t="n">
        <f aca="false">IF(B159=1,Inputs!$B$7,INDEX(Annual!$AC$2:$AC$51,B159-1))</f>
        <v>832536.753655194</v>
      </c>
      <c r="I159" s="10" t="n">
        <f aca="false">Inputs!$B$12*IF(Inputs!$B$35="",H159,MIN(H159,Inputs!$B$7*(1+Inputs!$B$35)^(B159-1)))/12</f>
        <v>624.402565241396</v>
      </c>
      <c r="J159" s="10" t="n">
        <f aca="false">Inputs!$B$13*Inputs!$B$7*(1+Inputs!$B$22)^(B159-1)/12</f>
        <v>298.310989865651</v>
      </c>
      <c r="K159" s="10" t="n">
        <f aca="false">Inputs!$B$14*Inputs!$B$7*(1+Inputs!$B$22)^(B159-1)/12</f>
        <v>596.621979731302</v>
      </c>
      <c r="L159" s="10" t="n">
        <f aca="false">Inputs!$B$15*(1+Inputs!$B$22)^(B159-1)</f>
        <v>0</v>
      </c>
      <c r="M159" s="10" t="n">
        <f aca="false">INDEX(Annual!$N$2:$N$51,B159)/12</f>
        <v>0</v>
      </c>
      <c r="N159" s="10" t="n">
        <f aca="false">D159+E159+G159+I159+J159+K159+L159-M159</f>
        <v>4256.18466381905</v>
      </c>
      <c r="O159" s="10" t="n">
        <f aca="false">Inputs!$B$17*(1+Inputs!$B$18)^(B159-1)+Inputs!$B$19*(1+Inputs!$B$22)^(B159-1)</f>
        <v>3931.36854215403</v>
      </c>
      <c r="P159" s="10" t="n">
        <f aca="false">N159-O159</f>
        <v>324.81612166502</v>
      </c>
      <c r="Q159" s="10" t="n">
        <f aca="false">Q158*(1+Inputs!$B$42)-U159+MAX(P159,0)</f>
        <v>493854.466178291</v>
      </c>
      <c r="R159" s="10" t="n">
        <f aca="false">R158+Q158*Inputs!$B$48-U159+MAX(P159,0)</f>
        <v>279664.580547336</v>
      </c>
      <c r="S159" s="10" t="n">
        <f aca="false">S158*(1+Inputs!$B$42)-V159+MAX(-P159,0)</f>
        <v>0</v>
      </c>
      <c r="T159" s="10" t="n">
        <f aca="false">T158+S158*Inputs!$B$48-V159+MAX(-P159,0)</f>
        <v>0</v>
      </c>
      <c r="U159" s="10" t="n">
        <f aca="false">Q158*Inputs!$B$48*Inputs!$B$29</f>
        <v>67.4880194117929</v>
      </c>
      <c r="V159" s="10" t="n">
        <f aca="false">S158*Inputs!$B$48*Inputs!$B$29</f>
        <v>0</v>
      </c>
    </row>
    <row r="160" customFormat="false" ht="15" hidden="false" customHeight="false" outlineLevel="0" collapsed="false">
      <c r="A160" s="16" t="n">
        <v>159</v>
      </c>
      <c r="B160" s="16" t="n">
        <f aca="false">ROUNDUP(A160/12,0)</f>
        <v>14</v>
      </c>
      <c r="C160" s="10" t="n">
        <f aca="false">F159</f>
        <v>318176.879637508</v>
      </c>
      <c r="D160" s="10" t="n">
        <f aca="false">IF(AND(A160&lt;=Inputs!$B$9*12,C160&gt;0.000001),C160*Inputs!$B$10/12,0)</f>
        <v>1930.27306980088</v>
      </c>
      <c r="E160" s="10" t="n">
        <f aca="false">IF(AND(A160&lt;=Inputs!$B$9*12,C160&gt;0.000001),MIN(C160,Inputs!$B$41-D160),0)</f>
        <v>806.576059179822</v>
      </c>
      <c r="F160" s="10" t="n">
        <f aca="false">C160-E160</f>
        <v>317370.303578328</v>
      </c>
      <c r="G160" s="10" t="n">
        <f aca="false">IF(AND(Inputs!$B$43=1,C160&gt;0.78*Inputs!$B$7,A160&lt;=Inputs!$B$9*6),Inputs!$B$16*Inputs!$B$39/12,0)</f>
        <v>0</v>
      </c>
      <c r="H160" s="10" t="n">
        <f aca="false">IF(B160=1,Inputs!$B$7,INDEX(Annual!$AC$2:$AC$51,B160-1))</f>
        <v>832536.753655194</v>
      </c>
      <c r="I160" s="10" t="n">
        <f aca="false">Inputs!$B$12*IF(Inputs!$B$35="",H160,MIN(H160,Inputs!$B$7*(1+Inputs!$B$35)^(B160-1)))/12</f>
        <v>624.402565241396</v>
      </c>
      <c r="J160" s="10" t="n">
        <f aca="false">Inputs!$B$13*Inputs!$B$7*(1+Inputs!$B$22)^(B160-1)/12</f>
        <v>298.310989865651</v>
      </c>
      <c r="K160" s="10" t="n">
        <f aca="false">Inputs!$B$14*Inputs!$B$7*(1+Inputs!$B$22)^(B160-1)/12</f>
        <v>596.621979731302</v>
      </c>
      <c r="L160" s="10" t="n">
        <f aca="false">Inputs!$B$15*(1+Inputs!$B$22)^(B160-1)</f>
        <v>0</v>
      </c>
      <c r="M160" s="10" t="n">
        <f aca="false">INDEX(Annual!$N$2:$N$51,B160)/12</f>
        <v>0</v>
      </c>
      <c r="N160" s="10" t="n">
        <f aca="false">D160+E160+G160+I160+J160+K160+L160-M160</f>
        <v>4256.18466381905</v>
      </c>
      <c r="O160" s="10" t="n">
        <f aca="false">Inputs!$B$17*(1+Inputs!$B$18)^(B160-1)+Inputs!$B$19*(1+Inputs!$B$22)^(B160-1)</f>
        <v>3931.36854215403</v>
      </c>
      <c r="P160" s="10" t="n">
        <f aca="false">N160-O160</f>
        <v>324.81612166502</v>
      </c>
      <c r="Q160" s="10" t="n">
        <f aca="false">Q159*(1+Inputs!$B$42)-U160+MAX(P160,0)</f>
        <v>496903.702262848</v>
      </c>
      <c r="R160" s="10" t="n">
        <f aca="false">R159+Q159*Inputs!$B$48-U160+MAX(P160,0)</f>
        <v>280374.191607231</v>
      </c>
      <c r="S160" s="10" t="n">
        <f aca="false">S159*(1+Inputs!$B$42)-V160+MAX(-P160,0)</f>
        <v>0</v>
      </c>
      <c r="T160" s="10" t="n">
        <f aca="false">T159+S159*Inputs!$B$48-V160+MAX(-P160,0)</f>
        <v>0</v>
      </c>
      <c r="U160" s="10" t="n">
        <f aca="false">Q159*Inputs!$B$48*Inputs!$B$29</f>
        <v>67.9049890995151</v>
      </c>
      <c r="V160" s="10" t="n">
        <f aca="false">S159*Inputs!$B$48*Inputs!$B$29</f>
        <v>0</v>
      </c>
    </row>
    <row r="161" customFormat="false" ht="15" hidden="false" customHeight="false" outlineLevel="0" collapsed="false">
      <c r="A161" s="16" t="n">
        <v>160</v>
      </c>
      <c r="B161" s="16" t="n">
        <f aca="false">ROUNDUP(A161/12,0)</f>
        <v>14</v>
      </c>
      <c r="C161" s="10" t="n">
        <f aca="false">F160</f>
        <v>317370.303578328</v>
      </c>
      <c r="D161" s="10" t="n">
        <f aca="false">IF(AND(A161&lt;=Inputs!$B$9*12,C161&gt;0.000001),C161*Inputs!$B$10/12,0)</f>
        <v>1925.37984170853</v>
      </c>
      <c r="E161" s="10" t="n">
        <f aca="false">IF(AND(A161&lt;=Inputs!$B$9*12,C161&gt;0.000001),MIN(C161,Inputs!$B$41-D161),0)</f>
        <v>811.46928727218</v>
      </c>
      <c r="F161" s="10" t="n">
        <f aca="false">C161-E161</f>
        <v>316558.834291056</v>
      </c>
      <c r="G161" s="10" t="n">
        <f aca="false">IF(AND(Inputs!$B$43=1,C161&gt;0.78*Inputs!$B$7,A161&lt;=Inputs!$B$9*6),Inputs!$B$16*Inputs!$B$39/12,0)</f>
        <v>0</v>
      </c>
      <c r="H161" s="10" t="n">
        <f aca="false">IF(B161=1,Inputs!$B$7,INDEX(Annual!$AC$2:$AC$51,B161-1))</f>
        <v>832536.753655194</v>
      </c>
      <c r="I161" s="10" t="n">
        <f aca="false">Inputs!$B$12*IF(Inputs!$B$35="",H161,MIN(H161,Inputs!$B$7*(1+Inputs!$B$35)^(B161-1)))/12</f>
        <v>624.402565241396</v>
      </c>
      <c r="J161" s="10" t="n">
        <f aca="false">Inputs!$B$13*Inputs!$B$7*(1+Inputs!$B$22)^(B161-1)/12</f>
        <v>298.310989865651</v>
      </c>
      <c r="K161" s="10" t="n">
        <f aca="false">Inputs!$B$14*Inputs!$B$7*(1+Inputs!$B$22)^(B161-1)/12</f>
        <v>596.621979731302</v>
      </c>
      <c r="L161" s="10" t="n">
        <f aca="false">Inputs!$B$15*(1+Inputs!$B$22)^(B161-1)</f>
        <v>0</v>
      </c>
      <c r="M161" s="10" t="n">
        <f aca="false">INDEX(Annual!$N$2:$N$51,B161)/12</f>
        <v>0</v>
      </c>
      <c r="N161" s="10" t="n">
        <f aca="false">D161+E161+G161+I161+J161+K161+L161-M161</f>
        <v>4256.18466381905</v>
      </c>
      <c r="O161" s="10" t="n">
        <f aca="false">Inputs!$B$17*(1+Inputs!$B$18)^(B161-1)+Inputs!$B$19*(1+Inputs!$B$22)^(B161-1)</f>
        <v>3931.36854215403</v>
      </c>
      <c r="P161" s="10" t="n">
        <f aca="false">N161-O161</f>
        <v>324.81612166502</v>
      </c>
      <c r="Q161" s="10" t="n">
        <f aca="false">Q160*(1+Inputs!$B$42)-U161+MAX(P161,0)</f>
        <v>499969.759901586</v>
      </c>
      <c r="R161" s="10" t="n">
        <f aca="false">R160+Q160*Inputs!$B$48-U161+MAX(P161,0)</f>
        <v>281086.178530243</v>
      </c>
      <c r="S161" s="10" t="n">
        <f aca="false">S160*(1+Inputs!$B$42)-V161+MAX(-P161,0)</f>
        <v>0</v>
      </c>
      <c r="T161" s="10" t="n">
        <f aca="false">T160+S160*Inputs!$B$48-V161+MAX(-P161,0)</f>
        <v>0</v>
      </c>
      <c r="U161" s="10" t="n">
        <f aca="false">Q160*Inputs!$B$48*Inputs!$B$29</f>
        <v>68.3242590611416</v>
      </c>
      <c r="V161" s="10" t="n">
        <f aca="false">S160*Inputs!$B$48*Inputs!$B$29</f>
        <v>0</v>
      </c>
    </row>
    <row r="162" customFormat="false" ht="15" hidden="false" customHeight="false" outlineLevel="0" collapsed="false">
      <c r="A162" s="16" t="n">
        <v>161</v>
      </c>
      <c r="B162" s="16" t="n">
        <f aca="false">ROUNDUP(A162/12,0)</f>
        <v>14</v>
      </c>
      <c r="C162" s="10" t="n">
        <f aca="false">F161</f>
        <v>316558.834291056</v>
      </c>
      <c r="D162" s="10" t="n">
        <f aca="false">IF(AND(A162&lt;=Inputs!$B$9*12,C162&gt;0.000001),C162*Inputs!$B$10/12,0)</f>
        <v>1920.45692803241</v>
      </c>
      <c r="E162" s="10" t="n">
        <f aca="false">IF(AND(A162&lt;=Inputs!$B$9*12,C162&gt;0.000001),MIN(C162,Inputs!$B$41-D162),0)</f>
        <v>816.392200948297</v>
      </c>
      <c r="F162" s="10" t="n">
        <f aca="false">C162-E162</f>
        <v>315742.442090108</v>
      </c>
      <c r="G162" s="10" t="n">
        <f aca="false">IF(AND(Inputs!$B$43=1,C162&gt;0.78*Inputs!$B$7,A162&lt;=Inputs!$B$9*6),Inputs!$B$16*Inputs!$B$39/12,0)</f>
        <v>0</v>
      </c>
      <c r="H162" s="10" t="n">
        <f aca="false">IF(B162=1,Inputs!$B$7,INDEX(Annual!$AC$2:$AC$51,B162-1))</f>
        <v>832536.753655194</v>
      </c>
      <c r="I162" s="10" t="n">
        <f aca="false">Inputs!$B$12*IF(Inputs!$B$35="",H162,MIN(H162,Inputs!$B$7*(1+Inputs!$B$35)^(B162-1)))/12</f>
        <v>624.402565241396</v>
      </c>
      <c r="J162" s="10" t="n">
        <f aca="false">Inputs!$B$13*Inputs!$B$7*(1+Inputs!$B$22)^(B162-1)/12</f>
        <v>298.310989865651</v>
      </c>
      <c r="K162" s="10" t="n">
        <f aca="false">Inputs!$B$14*Inputs!$B$7*(1+Inputs!$B$22)^(B162-1)/12</f>
        <v>596.621979731302</v>
      </c>
      <c r="L162" s="10" t="n">
        <f aca="false">Inputs!$B$15*(1+Inputs!$B$22)^(B162-1)</f>
        <v>0</v>
      </c>
      <c r="M162" s="10" t="n">
        <f aca="false">INDEX(Annual!$N$2:$N$51,B162)/12</f>
        <v>0</v>
      </c>
      <c r="N162" s="10" t="n">
        <f aca="false">D162+E162+G162+I162+J162+K162+L162-M162</f>
        <v>4256.18466381905</v>
      </c>
      <c r="O162" s="10" t="n">
        <f aca="false">Inputs!$B$17*(1+Inputs!$B$18)^(B162-1)+Inputs!$B$19*(1+Inputs!$B$22)^(B162-1)</f>
        <v>3931.36854215403</v>
      </c>
      <c r="P162" s="10" t="n">
        <f aca="false">N162-O162</f>
        <v>324.81612166502</v>
      </c>
      <c r="Q162" s="10" t="n">
        <f aca="false">Q161*(1+Inputs!$B$42)-U162+MAX(P162,0)</f>
        <v>503052.731893055</v>
      </c>
      <c r="R162" s="10" t="n">
        <f aca="false">R161+Q161*Inputs!$B$48-U162+MAX(P162,0)</f>
        <v>281800.554423164</v>
      </c>
      <c r="S162" s="10" t="n">
        <f aca="false">S161*(1+Inputs!$B$42)-V162+MAX(-P162,0)</f>
        <v>0</v>
      </c>
      <c r="T162" s="10" t="n">
        <f aca="false">T161+S161*Inputs!$B$48-V162+MAX(-P162,0)</f>
        <v>0</v>
      </c>
      <c r="U162" s="10" t="n">
        <f aca="false">Q161*Inputs!$B$48*Inputs!$B$29</f>
        <v>68.7458419864681</v>
      </c>
      <c r="V162" s="10" t="n">
        <f aca="false">S161*Inputs!$B$48*Inputs!$B$29</f>
        <v>0</v>
      </c>
    </row>
    <row r="163" customFormat="false" ht="15" hidden="false" customHeight="false" outlineLevel="0" collapsed="false">
      <c r="A163" s="16" t="n">
        <v>162</v>
      </c>
      <c r="B163" s="16" t="n">
        <f aca="false">ROUNDUP(A163/12,0)</f>
        <v>14</v>
      </c>
      <c r="C163" s="10" t="n">
        <f aca="false">F162</f>
        <v>315742.442090108</v>
      </c>
      <c r="D163" s="10" t="n">
        <f aca="false">IF(AND(A163&lt;=Inputs!$B$9*12,C163&gt;0.000001),C163*Inputs!$B$10/12,0)</f>
        <v>1915.50414867999</v>
      </c>
      <c r="E163" s="10" t="n">
        <f aca="false">IF(AND(A163&lt;=Inputs!$B$9*12,C163&gt;0.000001),MIN(C163,Inputs!$B$41-D163),0)</f>
        <v>821.344980300718</v>
      </c>
      <c r="F163" s="10" t="n">
        <f aca="false">C163-E163</f>
        <v>314921.097109807</v>
      </c>
      <c r="G163" s="10" t="n">
        <f aca="false">IF(AND(Inputs!$B$43=1,C163&gt;0.78*Inputs!$B$7,A163&lt;=Inputs!$B$9*6),Inputs!$B$16*Inputs!$B$39/12,0)</f>
        <v>0</v>
      </c>
      <c r="H163" s="10" t="n">
        <f aca="false">IF(B163=1,Inputs!$B$7,INDEX(Annual!$AC$2:$AC$51,B163-1))</f>
        <v>832536.753655194</v>
      </c>
      <c r="I163" s="10" t="n">
        <f aca="false">Inputs!$B$12*IF(Inputs!$B$35="",H163,MIN(H163,Inputs!$B$7*(1+Inputs!$B$35)^(B163-1)))/12</f>
        <v>624.402565241396</v>
      </c>
      <c r="J163" s="10" t="n">
        <f aca="false">Inputs!$B$13*Inputs!$B$7*(1+Inputs!$B$22)^(B163-1)/12</f>
        <v>298.310989865651</v>
      </c>
      <c r="K163" s="10" t="n">
        <f aca="false">Inputs!$B$14*Inputs!$B$7*(1+Inputs!$B$22)^(B163-1)/12</f>
        <v>596.621979731302</v>
      </c>
      <c r="L163" s="10" t="n">
        <f aca="false">Inputs!$B$15*(1+Inputs!$B$22)^(B163-1)</f>
        <v>0</v>
      </c>
      <c r="M163" s="10" t="n">
        <f aca="false">INDEX(Annual!$N$2:$N$51,B163)/12</f>
        <v>0</v>
      </c>
      <c r="N163" s="10" t="n">
        <f aca="false">D163+E163+G163+I163+J163+K163+L163-M163</f>
        <v>4256.18466381905</v>
      </c>
      <c r="O163" s="10" t="n">
        <f aca="false">Inputs!$B$17*(1+Inputs!$B$18)^(B163-1)+Inputs!$B$19*(1+Inputs!$B$22)^(B163-1)</f>
        <v>3931.36854215403</v>
      </c>
      <c r="P163" s="10" t="n">
        <f aca="false">N163-O163</f>
        <v>324.81612166502</v>
      </c>
      <c r="Q163" s="10" t="n">
        <f aca="false">Q162*(1+Inputs!$B$42)-U163+MAX(P163,0)</f>
        <v>506152.711547739</v>
      </c>
      <c r="R163" s="10" t="n">
        <f aca="false">R162+Q162*Inputs!$B$48-U163+MAX(P163,0)</f>
        <v>282517.332465096</v>
      </c>
      <c r="S163" s="10" t="n">
        <f aca="false">S162*(1+Inputs!$B$42)-V163+MAX(-P163,0)</f>
        <v>0</v>
      </c>
      <c r="T163" s="10" t="n">
        <f aca="false">T162+S162*Inputs!$B$48-V163+MAX(-P163,0)</f>
        <v>0</v>
      </c>
      <c r="U163" s="10" t="n">
        <f aca="false">Q162*Inputs!$B$48*Inputs!$B$29</f>
        <v>69.169750635295</v>
      </c>
      <c r="V163" s="10" t="n">
        <f aca="false">S162*Inputs!$B$48*Inputs!$B$29</f>
        <v>0</v>
      </c>
    </row>
    <row r="164" customFormat="false" ht="15" hidden="false" customHeight="false" outlineLevel="0" collapsed="false">
      <c r="A164" s="16" t="n">
        <v>163</v>
      </c>
      <c r="B164" s="16" t="n">
        <f aca="false">ROUNDUP(A164/12,0)</f>
        <v>14</v>
      </c>
      <c r="C164" s="10" t="n">
        <f aca="false">F163</f>
        <v>314921.097109807</v>
      </c>
      <c r="D164" s="10" t="n">
        <f aca="false">IF(AND(A164&lt;=Inputs!$B$9*12,C164&gt;0.000001),C164*Inputs!$B$10/12,0)</f>
        <v>1910.52132246616</v>
      </c>
      <c r="E164" s="10" t="n">
        <f aca="false">IF(AND(A164&lt;=Inputs!$B$9*12,C164&gt;0.000001),MIN(C164,Inputs!$B$41-D164),0)</f>
        <v>826.327806514542</v>
      </c>
      <c r="F164" s="10" t="n">
        <f aca="false">C164-E164</f>
        <v>314094.769303293</v>
      </c>
      <c r="G164" s="10" t="n">
        <f aca="false">IF(AND(Inputs!$B$43=1,C164&gt;0.78*Inputs!$B$7,A164&lt;=Inputs!$B$9*6),Inputs!$B$16*Inputs!$B$39/12,0)</f>
        <v>0</v>
      </c>
      <c r="H164" s="10" t="n">
        <f aca="false">IF(B164=1,Inputs!$B$7,INDEX(Annual!$AC$2:$AC$51,B164-1))</f>
        <v>832536.753655194</v>
      </c>
      <c r="I164" s="10" t="n">
        <f aca="false">Inputs!$B$12*IF(Inputs!$B$35="",H164,MIN(H164,Inputs!$B$7*(1+Inputs!$B$35)^(B164-1)))/12</f>
        <v>624.402565241396</v>
      </c>
      <c r="J164" s="10" t="n">
        <f aca="false">Inputs!$B$13*Inputs!$B$7*(1+Inputs!$B$22)^(B164-1)/12</f>
        <v>298.310989865651</v>
      </c>
      <c r="K164" s="10" t="n">
        <f aca="false">Inputs!$B$14*Inputs!$B$7*(1+Inputs!$B$22)^(B164-1)/12</f>
        <v>596.621979731302</v>
      </c>
      <c r="L164" s="10" t="n">
        <f aca="false">Inputs!$B$15*(1+Inputs!$B$22)^(B164-1)</f>
        <v>0</v>
      </c>
      <c r="M164" s="10" t="n">
        <f aca="false">INDEX(Annual!$N$2:$N$51,B164)/12</f>
        <v>0</v>
      </c>
      <c r="N164" s="10" t="n">
        <f aca="false">D164+E164+G164+I164+J164+K164+L164-M164</f>
        <v>4256.18466381905</v>
      </c>
      <c r="O164" s="10" t="n">
        <f aca="false">Inputs!$B$17*(1+Inputs!$B$18)^(B164-1)+Inputs!$B$19*(1+Inputs!$B$22)^(B164-1)</f>
        <v>3931.36854215403</v>
      </c>
      <c r="P164" s="10" t="n">
        <f aca="false">N164-O164</f>
        <v>324.81612166502</v>
      </c>
      <c r="Q164" s="10" t="n">
        <f aca="false">Q163*(1+Inputs!$B$42)-U164+MAX(P164,0)</f>
        <v>509269.792690887</v>
      </c>
      <c r="R164" s="10" t="n">
        <f aca="false">R163+Q163*Inputs!$B$48-U164+MAX(P164,0)</f>
        <v>283236.525907842</v>
      </c>
      <c r="S164" s="10" t="n">
        <f aca="false">S163*(1+Inputs!$B$42)-V164+MAX(-P164,0)</f>
        <v>0</v>
      </c>
      <c r="T164" s="10" t="n">
        <f aca="false">T163+S163*Inputs!$B$48-V164+MAX(-P164,0)</f>
        <v>0</v>
      </c>
      <c r="U164" s="10" t="n">
        <f aca="false">Q163*Inputs!$B$48*Inputs!$B$29</f>
        <v>69.5959978378141</v>
      </c>
      <c r="V164" s="10" t="n">
        <f aca="false">S163*Inputs!$B$48*Inputs!$B$29</f>
        <v>0</v>
      </c>
    </row>
    <row r="165" customFormat="false" ht="15" hidden="false" customHeight="false" outlineLevel="0" collapsed="false">
      <c r="A165" s="16" t="n">
        <v>164</v>
      </c>
      <c r="B165" s="16" t="n">
        <f aca="false">ROUNDUP(A165/12,0)</f>
        <v>14</v>
      </c>
      <c r="C165" s="10" t="n">
        <f aca="false">F164</f>
        <v>314094.769303293</v>
      </c>
      <c r="D165" s="10" t="n">
        <f aca="false">IF(AND(A165&lt;=Inputs!$B$9*12,C165&gt;0.000001),C165*Inputs!$B$10/12,0)</f>
        <v>1905.50826710664</v>
      </c>
      <c r="E165" s="10" t="n">
        <f aca="false">IF(AND(A165&lt;=Inputs!$B$9*12,C165&gt;0.000001),MIN(C165,Inputs!$B$41-D165),0)</f>
        <v>831.340861874063</v>
      </c>
      <c r="F165" s="10" t="n">
        <f aca="false">C165-E165</f>
        <v>313263.428441419</v>
      </c>
      <c r="G165" s="10" t="n">
        <f aca="false">IF(AND(Inputs!$B$43=1,C165&gt;0.78*Inputs!$B$7,A165&lt;=Inputs!$B$9*6),Inputs!$B$16*Inputs!$B$39/12,0)</f>
        <v>0</v>
      </c>
      <c r="H165" s="10" t="n">
        <f aca="false">IF(B165=1,Inputs!$B$7,INDEX(Annual!$AC$2:$AC$51,B165-1))</f>
        <v>832536.753655194</v>
      </c>
      <c r="I165" s="10" t="n">
        <f aca="false">Inputs!$B$12*IF(Inputs!$B$35="",H165,MIN(H165,Inputs!$B$7*(1+Inputs!$B$35)^(B165-1)))/12</f>
        <v>624.402565241396</v>
      </c>
      <c r="J165" s="10" t="n">
        <f aca="false">Inputs!$B$13*Inputs!$B$7*(1+Inputs!$B$22)^(B165-1)/12</f>
        <v>298.310989865651</v>
      </c>
      <c r="K165" s="10" t="n">
        <f aca="false">Inputs!$B$14*Inputs!$B$7*(1+Inputs!$B$22)^(B165-1)/12</f>
        <v>596.621979731302</v>
      </c>
      <c r="L165" s="10" t="n">
        <f aca="false">Inputs!$B$15*(1+Inputs!$B$22)^(B165-1)</f>
        <v>0</v>
      </c>
      <c r="M165" s="10" t="n">
        <f aca="false">INDEX(Annual!$N$2:$N$51,B165)/12</f>
        <v>0</v>
      </c>
      <c r="N165" s="10" t="n">
        <f aca="false">D165+E165+G165+I165+J165+K165+L165-M165</f>
        <v>4256.18466381905</v>
      </c>
      <c r="O165" s="10" t="n">
        <f aca="false">Inputs!$B$17*(1+Inputs!$B$18)^(B165-1)+Inputs!$B$19*(1+Inputs!$B$22)^(B165-1)</f>
        <v>3931.36854215403</v>
      </c>
      <c r="P165" s="10" t="n">
        <f aca="false">N165-O165</f>
        <v>324.81612166502</v>
      </c>
      <c r="Q165" s="10" t="n">
        <f aca="false">Q164*(1+Inputs!$B$42)-U165+MAX(P165,0)</f>
        <v>512404.069665345</v>
      </c>
      <c r="R165" s="10" t="n">
        <f aca="false">R164+Q164*Inputs!$B$48-U165+MAX(P165,0)</f>
        <v>283958.148076312</v>
      </c>
      <c r="S165" s="10" t="n">
        <f aca="false">S164*(1+Inputs!$B$42)-V165+MAX(-P165,0)</f>
        <v>0</v>
      </c>
      <c r="T165" s="10" t="n">
        <f aca="false">T164+S164*Inputs!$B$48-V165+MAX(-P165,0)</f>
        <v>0</v>
      </c>
      <c r="U165" s="10" t="n">
        <f aca="false">Q164*Inputs!$B$48*Inputs!$B$29</f>
        <v>70.0245964949969</v>
      </c>
      <c r="V165" s="10" t="n">
        <f aca="false">S164*Inputs!$B$48*Inputs!$B$29</f>
        <v>0</v>
      </c>
    </row>
    <row r="166" customFormat="false" ht="15" hidden="false" customHeight="false" outlineLevel="0" collapsed="false">
      <c r="A166" s="16" t="n">
        <v>165</v>
      </c>
      <c r="B166" s="16" t="n">
        <f aca="false">ROUNDUP(A166/12,0)</f>
        <v>14</v>
      </c>
      <c r="C166" s="10" t="n">
        <f aca="false">F165</f>
        <v>313263.428441419</v>
      </c>
      <c r="D166" s="10" t="n">
        <f aca="false">IF(AND(A166&lt;=Inputs!$B$9*12,C166&gt;0.000001),C166*Inputs!$B$10/12,0)</f>
        <v>1900.46479921127</v>
      </c>
      <c r="E166" s="10" t="n">
        <f aca="false">IF(AND(A166&lt;=Inputs!$B$9*12,C166&gt;0.000001),MIN(C166,Inputs!$B$41-D166),0)</f>
        <v>836.384329769432</v>
      </c>
      <c r="F166" s="10" t="n">
        <f aca="false">C166-E166</f>
        <v>312427.044111649</v>
      </c>
      <c r="G166" s="10" t="n">
        <f aca="false">IF(AND(Inputs!$B$43=1,C166&gt;0.78*Inputs!$B$7,A166&lt;=Inputs!$B$9*6),Inputs!$B$16*Inputs!$B$39/12,0)</f>
        <v>0</v>
      </c>
      <c r="H166" s="10" t="n">
        <f aca="false">IF(B166=1,Inputs!$B$7,INDEX(Annual!$AC$2:$AC$51,B166-1))</f>
        <v>832536.753655194</v>
      </c>
      <c r="I166" s="10" t="n">
        <f aca="false">Inputs!$B$12*IF(Inputs!$B$35="",H166,MIN(H166,Inputs!$B$7*(1+Inputs!$B$35)^(B166-1)))/12</f>
        <v>624.402565241396</v>
      </c>
      <c r="J166" s="10" t="n">
        <f aca="false">Inputs!$B$13*Inputs!$B$7*(1+Inputs!$B$22)^(B166-1)/12</f>
        <v>298.310989865651</v>
      </c>
      <c r="K166" s="10" t="n">
        <f aca="false">Inputs!$B$14*Inputs!$B$7*(1+Inputs!$B$22)^(B166-1)/12</f>
        <v>596.621979731302</v>
      </c>
      <c r="L166" s="10" t="n">
        <f aca="false">Inputs!$B$15*(1+Inputs!$B$22)^(B166-1)</f>
        <v>0</v>
      </c>
      <c r="M166" s="10" t="n">
        <f aca="false">INDEX(Annual!$N$2:$N$51,B166)/12</f>
        <v>0</v>
      </c>
      <c r="N166" s="10" t="n">
        <f aca="false">D166+E166+G166+I166+J166+K166+L166-M166</f>
        <v>4256.18466381905</v>
      </c>
      <c r="O166" s="10" t="n">
        <f aca="false">Inputs!$B$17*(1+Inputs!$B$18)^(B166-1)+Inputs!$B$19*(1+Inputs!$B$22)^(B166-1)</f>
        <v>3931.36854215403</v>
      </c>
      <c r="P166" s="10" t="n">
        <f aca="false">N166-O166</f>
        <v>324.81612166502</v>
      </c>
      <c r="Q166" s="10" t="n">
        <f aca="false">Q165*(1+Inputs!$B$42)-U166+MAX(P166,0)</f>
        <v>515555.637334417</v>
      </c>
      <c r="R166" s="10" t="n">
        <f aca="false">R165+Q165*Inputs!$B$48-U166+MAX(P166,0)</f>
        <v>284682.212368925</v>
      </c>
      <c r="S166" s="10" t="n">
        <f aca="false">S165*(1+Inputs!$B$42)-V166+MAX(-P166,0)</f>
        <v>0</v>
      </c>
      <c r="T166" s="10" t="n">
        <f aca="false">T165+S165*Inputs!$B$48-V166+MAX(-P166,0)</f>
        <v>0</v>
      </c>
      <c r="U166" s="10" t="n">
        <f aca="false">Q165*Inputs!$B$48*Inputs!$B$29</f>
        <v>70.4555595789849</v>
      </c>
      <c r="V166" s="10" t="n">
        <f aca="false">S165*Inputs!$B$48*Inputs!$B$29</f>
        <v>0</v>
      </c>
    </row>
    <row r="167" customFormat="false" ht="15" hidden="false" customHeight="false" outlineLevel="0" collapsed="false">
      <c r="A167" s="16" t="n">
        <v>166</v>
      </c>
      <c r="B167" s="16" t="n">
        <f aca="false">ROUNDUP(A167/12,0)</f>
        <v>14</v>
      </c>
      <c r="C167" s="10" t="n">
        <f aca="false">F166</f>
        <v>312427.044111649</v>
      </c>
      <c r="D167" s="10" t="n">
        <f aca="false">IF(AND(A167&lt;=Inputs!$B$9*12,C167&gt;0.000001),C167*Inputs!$B$10/12,0)</f>
        <v>1895.39073427734</v>
      </c>
      <c r="E167" s="10" t="n">
        <f aca="false">IF(AND(A167&lt;=Inputs!$B$9*12,C167&gt;0.000001),MIN(C167,Inputs!$B$41-D167),0)</f>
        <v>841.458394703367</v>
      </c>
      <c r="F167" s="10" t="n">
        <f aca="false">C167-E167</f>
        <v>311585.585716946</v>
      </c>
      <c r="G167" s="10" t="n">
        <f aca="false">IF(AND(Inputs!$B$43=1,C167&gt;0.78*Inputs!$B$7,A167&lt;=Inputs!$B$9*6),Inputs!$B$16*Inputs!$B$39/12,0)</f>
        <v>0</v>
      </c>
      <c r="H167" s="10" t="n">
        <f aca="false">IF(B167=1,Inputs!$B$7,INDEX(Annual!$AC$2:$AC$51,B167-1))</f>
        <v>832536.753655194</v>
      </c>
      <c r="I167" s="10" t="n">
        <f aca="false">Inputs!$B$12*IF(Inputs!$B$35="",H167,MIN(H167,Inputs!$B$7*(1+Inputs!$B$35)^(B167-1)))/12</f>
        <v>624.402565241396</v>
      </c>
      <c r="J167" s="10" t="n">
        <f aca="false">Inputs!$B$13*Inputs!$B$7*(1+Inputs!$B$22)^(B167-1)/12</f>
        <v>298.310989865651</v>
      </c>
      <c r="K167" s="10" t="n">
        <f aca="false">Inputs!$B$14*Inputs!$B$7*(1+Inputs!$B$22)^(B167-1)/12</f>
        <v>596.621979731302</v>
      </c>
      <c r="L167" s="10" t="n">
        <f aca="false">Inputs!$B$15*(1+Inputs!$B$22)^(B167-1)</f>
        <v>0</v>
      </c>
      <c r="M167" s="10" t="n">
        <f aca="false">INDEX(Annual!$N$2:$N$51,B167)/12</f>
        <v>0</v>
      </c>
      <c r="N167" s="10" t="n">
        <f aca="false">D167+E167+G167+I167+J167+K167+L167-M167</f>
        <v>4256.18466381905</v>
      </c>
      <c r="O167" s="10" t="n">
        <f aca="false">Inputs!$B$17*(1+Inputs!$B$18)^(B167-1)+Inputs!$B$19*(1+Inputs!$B$22)^(B167-1)</f>
        <v>3931.36854215403</v>
      </c>
      <c r="P167" s="10" t="n">
        <f aca="false">N167-O167</f>
        <v>324.81612166502</v>
      </c>
      <c r="Q167" s="10" t="n">
        <f aca="false">Q166*(1+Inputs!$B$42)-U167+MAX(P167,0)</f>
        <v>518724.591084733</v>
      </c>
      <c r="R167" s="10" t="n">
        <f aca="false">R166+Q166*Inputs!$B$48-U167+MAX(P167,0)</f>
        <v>285408.732258013</v>
      </c>
      <c r="S167" s="10" t="n">
        <f aca="false">S166*(1+Inputs!$B$42)-V167+MAX(-P167,0)</f>
        <v>0</v>
      </c>
      <c r="T167" s="10" t="n">
        <f aca="false">T166+S166*Inputs!$B$48-V167+MAX(-P167,0)</f>
        <v>0</v>
      </c>
      <c r="U167" s="10" t="n">
        <f aca="false">Q166*Inputs!$B$48*Inputs!$B$29</f>
        <v>70.8889001334823</v>
      </c>
      <c r="V167" s="10" t="n">
        <f aca="false">S166*Inputs!$B$48*Inputs!$B$29</f>
        <v>0</v>
      </c>
    </row>
    <row r="168" customFormat="false" ht="15" hidden="false" customHeight="false" outlineLevel="0" collapsed="false">
      <c r="A168" s="16" t="n">
        <v>167</v>
      </c>
      <c r="B168" s="16" t="n">
        <f aca="false">ROUNDUP(A168/12,0)</f>
        <v>14</v>
      </c>
      <c r="C168" s="10" t="n">
        <f aca="false">F167</f>
        <v>311585.585716946</v>
      </c>
      <c r="D168" s="10" t="n">
        <f aca="false">IF(AND(A168&lt;=Inputs!$B$9*12,C168&gt;0.000001),C168*Inputs!$B$10/12,0)</f>
        <v>1890.28588668281</v>
      </c>
      <c r="E168" s="10" t="n">
        <f aca="false">IF(AND(A168&lt;=Inputs!$B$9*12,C168&gt;0.000001),MIN(C168,Inputs!$B$41-D168),0)</f>
        <v>846.5632422979</v>
      </c>
      <c r="F168" s="10" t="n">
        <f aca="false">C168-E168</f>
        <v>310739.022474648</v>
      </c>
      <c r="G168" s="10" t="n">
        <f aca="false">IF(AND(Inputs!$B$43=1,C168&gt;0.78*Inputs!$B$7,A168&lt;=Inputs!$B$9*6),Inputs!$B$16*Inputs!$B$39/12,0)</f>
        <v>0</v>
      </c>
      <c r="H168" s="10" t="n">
        <f aca="false">IF(B168=1,Inputs!$B$7,INDEX(Annual!$AC$2:$AC$51,B168-1))</f>
        <v>832536.753655194</v>
      </c>
      <c r="I168" s="10" t="n">
        <f aca="false">Inputs!$B$12*IF(Inputs!$B$35="",H168,MIN(H168,Inputs!$B$7*(1+Inputs!$B$35)^(B168-1)))/12</f>
        <v>624.402565241396</v>
      </c>
      <c r="J168" s="10" t="n">
        <f aca="false">Inputs!$B$13*Inputs!$B$7*(1+Inputs!$B$22)^(B168-1)/12</f>
        <v>298.310989865651</v>
      </c>
      <c r="K168" s="10" t="n">
        <f aca="false">Inputs!$B$14*Inputs!$B$7*(1+Inputs!$B$22)^(B168-1)/12</f>
        <v>596.621979731302</v>
      </c>
      <c r="L168" s="10" t="n">
        <f aca="false">Inputs!$B$15*(1+Inputs!$B$22)^(B168-1)</f>
        <v>0</v>
      </c>
      <c r="M168" s="10" t="n">
        <f aca="false">INDEX(Annual!$N$2:$N$51,B168)/12</f>
        <v>0</v>
      </c>
      <c r="N168" s="10" t="n">
        <f aca="false">D168+E168+G168+I168+J168+K168+L168-M168</f>
        <v>4256.18466381905</v>
      </c>
      <c r="O168" s="10" t="n">
        <f aca="false">Inputs!$B$17*(1+Inputs!$B$18)^(B168-1)+Inputs!$B$19*(1+Inputs!$B$22)^(B168-1)</f>
        <v>3931.36854215403</v>
      </c>
      <c r="P168" s="10" t="n">
        <f aca="false">N168-O168</f>
        <v>324.81612166502</v>
      </c>
      <c r="Q168" s="10" t="n">
        <f aca="false">Q167*(1+Inputs!$B$42)-U168+MAX(P168,0)</f>
        <v>521911.02682914</v>
      </c>
      <c r="R168" s="10" t="n">
        <f aca="false">R167+Q167*Inputs!$B$48-U168+MAX(P168,0)</f>
        <v>286137.721290231</v>
      </c>
      <c r="S168" s="10" t="n">
        <f aca="false">S167*(1+Inputs!$B$42)-V168+MAX(-P168,0)</f>
        <v>0</v>
      </c>
      <c r="T168" s="10" t="n">
        <f aca="false">T167+S167*Inputs!$B$48-V168+MAX(-P168,0)</f>
        <v>0</v>
      </c>
      <c r="U168" s="10" t="n">
        <f aca="false">Q167*Inputs!$B$48*Inputs!$B$29</f>
        <v>71.3246312741508</v>
      </c>
      <c r="V168" s="10" t="n">
        <f aca="false">S167*Inputs!$B$48*Inputs!$B$29</f>
        <v>0</v>
      </c>
    </row>
    <row r="169" customFormat="false" ht="15" hidden="false" customHeight="false" outlineLevel="0" collapsed="false">
      <c r="A169" s="16" t="n">
        <v>168</v>
      </c>
      <c r="B169" s="16" t="n">
        <f aca="false">ROUNDUP(A169/12,0)</f>
        <v>14</v>
      </c>
      <c r="C169" s="10" t="n">
        <f aca="false">F168</f>
        <v>310739.022474648</v>
      </c>
      <c r="D169" s="10" t="n">
        <f aca="false">IF(AND(A169&lt;=Inputs!$B$9*12,C169&gt;0.000001),C169*Inputs!$B$10/12,0)</f>
        <v>1885.15006967953</v>
      </c>
      <c r="E169" s="10" t="n">
        <f aca="false">IF(AND(A169&lt;=Inputs!$B$9*12,C169&gt;0.000001),MIN(C169,Inputs!$B$41-D169),0)</f>
        <v>851.699059301174</v>
      </c>
      <c r="F169" s="10" t="n">
        <f aca="false">C169-E169</f>
        <v>309887.323415347</v>
      </c>
      <c r="G169" s="10" t="n">
        <f aca="false">IF(AND(Inputs!$B$43=1,C169&gt;0.78*Inputs!$B$7,A169&lt;=Inputs!$B$9*6),Inputs!$B$16*Inputs!$B$39/12,0)</f>
        <v>0</v>
      </c>
      <c r="H169" s="10" t="n">
        <f aca="false">IF(B169=1,Inputs!$B$7,INDEX(Annual!$AC$2:$AC$51,B169-1))</f>
        <v>832536.753655194</v>
      </c>
      <c r="I169" s="10" t="n">
        <f aca="false">Inputs!$B$12*IF(Inputs!$B$35="",H169,MIN(H169,Inputs!$B$7*(1+Inputs!$B$35)^(B169-1)))/12</f>
        <v>624.402565241396</v>
      </c>
      <c r="J169" s="10" t="n">
        <f aca="false">Inputs!$B$13*Inputs!$B$7*(1+Inputs!$B$22)^(B169-1)/12</f>
        <v>298.310989865651</v>
      </c>
      <c r="K169" s="10" t="n">
        <f aca="false">Inputs!$B$14*Inputs!$B$7*(1+Inputs!$B$22)^(B169-1)/12</f>
        <v>596.621979731302</v>
      </c>
      <c r="L169" s="10" t="n">
        <f aca="false">Inputs!$B$15*(1+Inputs!$B$22)^(B169-1)</f>
        <v>0</v>
      </c>
      <c r="M169" s="10" t="n">
        <f aca="false">INDEX(Annual!$N$2:$N$51,B169)/12</f>
        <v>0</v>
      </c>
      <c r="N169" s="10" t="n">
        <f aca="false">D169+E169+G169+I169+J169+K169+L169-M169</f>
        <v>4256.18466381905</v>
      </c>
      <c r="O169" s="10" t="n">
        <f aca="false">Inputs!$B$17*(1+Inputs!$B$18)^(B169-1)+Inputs!$B$19*(1+Inputs!$B$22)^(B169-1)</f>
        <v>3931.36854215403</v>
      </c>
      <c r="P169" s="10" t="n">
        <f aca="false">N169-O169</f>
        <v>324.81612166502</v>
      </c>
      <c r="Q169" s="10" t="n">
        <f aca="false">Q168*(1+Inputs!$B$42)-U169+MAX(P169,0)</f>
        <v>525115.041009598</v>
      </c>
      <c r="R169" s="10" t="n">
        <f aca="false">R168+Q168*Inputs!$B$48-U169+MAX(P169,0)</f>
        <v>286869.193086967</v>
      </c>
      <c r="S169" s="10" t="n">
        <f aca="false">S168*(1+Inputs!$B$42)-V169+MAX(-P169,0)</f>
        <v>0</v>
      </c>
      <c r="T169" s="10" t="n">
        <f aca="false">T168+S168*Inputs!$B$48-V169+MAX(-P169,0)</f>
        <v>0</v>
      </c>
      <c r="U169" s="10" t="n">
        <f aca="false">Q168*Inputs!$B$48*Inputs!$B$29</f>
        <v>71.7627661890067</v>
      </c>
      <c r="V169" s="10" t="n">
        <f aca="false">S168*Inputs!$B$48*Inputs!$B$29</f>
        <v>0</v>
      </c>
    </row>
    <row r="170" customFormat="false" ht="15" hidden="false" customHeight="false" outlineLevel="0" collapsed="false">
      <c r="A170" s="16" t="n">
        <v>169</v>
      </c>
      <c r="B170" s="16" t="n">
        <f aca="false">ROUNDUP(A170/12,0)</f>
        <v>15</v>
      </c>
      <c r="C170" s="10" t="n">
        <f aca="false">F169</f>
        <v>309887.323415347</v>
      </c>
      <c r="D170" s="10" t="n">
        <f aca="false">IF(AND(A170&lt;=Inputs!$B$9*12,C170&gt;0.000001),C170*Inputs!$B$10/12,0)</f>
        <v>1879.98309538644</v>
      </c>
      <c r="E170" s="10" t="n">
        <f aca="false">IF(AND(A170&lt;=Inputs!$B$9*12,C170&gt;0.000001),MIN(C170,Inputs!$B$41-D170),0)</f>
        <v>856.866033594268</v>
      </c>
      <c r="F170" s="10" t="n">
        <f aca="false">C170-E170</f>
        <v>309030.457381753</v>
      </c>
      <c r="G170" s="10" t="n">
        <f aca="false">IF(AND(Inputs!$B$43=1,C170&gt;0.78*Inputs!$B$7,A170&lt;=Inputs!$B$9*6),Inputs!$B$16*Inputs!$B$39/12,0)</f>
        <v>0</v>
      </c>
      <c r="H170" s="10" t="n">
        <f aca="false">IF(B170=1,Inputs!$B$7,INDEX(Annual!$AC$2:$AC$51,B170-1))</f>
        <v>865838.223801402</v>
      </c>
      <c r="I170" s="10" t="n">
        <f aca="false">Inputs!$B$12*IF(Inputs!$B$35="",H170,MIN(H170,Inputs!$B$7*(1+Inputs!$B$35)^(B170-1)))/12</f>
        <v>649.378667851052</v>
      </c>
      <c r="J170" s="10" t="n">
        <f aca="false">Inputs!$B$13*Inputs!$B$7*(1+Inputs!$B$22)^(B170-1)/12</f>
        <v>306.663697581889</v>
      </c>
      <c r="K170" s="10" t="n">
        <f aca="false">Inputs!$B$14*Inputs!$B$7*(1+Inputs!$B$22)^(B170-1)/12</f>
        <v>613.327395163778</v>
      </c>
      <c r="L170" s="10" t="n">
        <f aca="false">Inputs!$B$15*(1+Inputs!$B$22)^(B170-1)</f>
        <v>0</v>
      </c>
      <c r="M170" s="10" t="n">
        <f aca="false">INDEX(Annual!$N$2:$N$51,B170)/12</f>
        <v>0</v>
      </c>
      <c r="N170" s="10" t="n">
        <f aca="false">D170+E170+G170+I170+J170+K170+L170-M170</f>
        <v>4306.21888957742</v>
      </c>
      <c r="O170" s="10" t="n">
        <f aca="false">Inputs!$B$17*(1+Inputs!$B$18)^(B170-1)+Inputs!$B$19*(1+Inputs!$B$22)^(B170-1)</f>
        <v>4068.81609239053</v>
      </c>
      <c r="P170" s="10" t="n">
        <f aca="false">N170-O170</f>
        <v>237.402797186891</v>
      </c>
      <c r="Q170" s="10" t="n">
        <f aca="false">Q169*(1+Inputs!$B$42)-U170+MAX(P170,0)</f>
        <v>528249.317275627</v>
      </c>
      <c r="R170" s="10" t="n">
        <f aca="false">R169+Q169*Inputs!$B$48-U170+MAX(P170,0)</f>
        <v>287515.748020274</v>
      </c>
      <c r="S170" s="10" t="n">
        <f aca="false">S169*(1+Inputs!$B$42)-V170+MAX(-P170,0)</f>
        <v>0</v>
      </c>
      <c r="T170" s="10" t="n">
        <f aca="false">T169+S169*Inputs!$B$48-V170+MAX(-P170,0)</f>
        <v>0</v>
      </c>
      <c r="U170" s="10" t="n">
        <f aca="false">Q169*Inputs!$B$48*Inputs!$B$29</f>
        <v>72.2033181388197</v>
      </c>
      <c r="V170" s="10" t="n">
        <f aca="false">S169*Inputs!$B$48*Inputs!$B$29</f>
        <v>0</v>
      </c>
    </row>
    <row r="171" customFormat="false" ht="15" hidden="false" customHeight="false" outlineLevel="0" collapsed="false">
      <c r="A171" s="16" t="n">
        <v>170</v>
      </c>
      <c r="B171" s="16" t="n">
        <f aca="false">ROUNDUP(A171/12,0)</f>
        <v>15</v>
      </c>
      <c r="C171" s="10" t="n">
        <f aca="false">F170</f>
        <v>309030.457381753</v>
      </c>
      <c r="D171" s="10" t="n">
        <f aca="false">IF(AND(A171&lt;=Inputs!$B$9*12,C171&gt;0.000001),C171*Inputs!$B$10/12,0)</f>
        <v>1874.78477478263</v>
      </c>
      <c r="E171" s="10" t="n">
        <f aca="false">IF(AND(A171&lt;=Inputs!$B$9*12,C171&gt;0.000001),MIN(C171,Inputs!$B$41-D171),0)</f>
        <v>862.064354198073</v>
      </c>
      <c r="F171" s="10" t="n">
        <f aca="false">C171-E171</f>
        <v>308168.393027555</v>
      </c>
      <c r="G171" s="10" t="n">
        <f aca="false">IF(AND(Inputs!$B$43=1,C171&gt;0.78*Inputs!$B$7,A171&lt;=Inputs!$B$9*6),Inputs!$B$16*Inputs!$B$39/12,0)</f>
        <v>0</v>
      </c>
      <c r="H171" s="10" t="n">
        <f aca="false">IF(B171=1,Inputs!$B$7,INDEX(Annual!$AC$2:$AC$51,B171-1))</f>
        <v>865838.223801402</v>
      </c>
      <c r="I171" s="10" t="n">
        <f aca="false">Inputs!$B$12*IF(Inputs!$B$35="",H171,MIN(H171,Inputs!$B$7*(1+Inputs!$B$35)^(B171-1)))/12</f>
        <v>649.378667851052</v>
      </c>
      <c r="J171" s="10" t="n">
        <f aca="false">Inputs!$B$13*Inputs!$B$7*(1+Inputs!$B$22)^(B171-1)/12</f>
        <v>306.663697581889</v>
      </c>
      <c r="K171" s="10" t="n">
        <f aca="false">Inputs!$B$14*Inputs!$B$7*(1+Inputs!$B$22)^(B171-1)/12</f>
        <v>613.327395163778</v>
      </c>
      <c r="L171" s="10" t="n">
        <f aca="false">Inputs!$B$15*(1+Inputs!$B$22)^(B171-1)</f>
        <v>0</v>
      </c>
      <c r="M171" s="10" t="n">
        <f aca="false">INDEX(Annual!$N$2:$N$51,B171)/12</f>
        <v>0</v>
      </c>
      <c r="N171" s="10" t="n">
        <f aca="false">D171+E171+G171+I171+J171+K171+L171-M171</f>
        <v>4306.21888957742</v>
      </c>
      <c r="O171" s="10" t="n">
        <f aca="false">Inputs!$B$17*(1+Inputs!$B$18)^(B171-1)+Inputs!$B$19*(1+Inputs!$B$22)^(B171-1)</f>
        <v>4068.81609239053</v>
      </c>
      <c r="P171" s="10" t="n">
        <f aca="false">N171-O171</f>
        <v>237.402797186891</v>
      </c>
      <c r="Q171" s="10" t="n">
        <f aca="false">Q170*(1+Inputs!$B$42)-U171+MAX(P171,0)</f>
        <v>531400.884232363</v>
      </c>
      <c r="R171" s="10" t="n">
        <f aca="false">R170+Q170*Inputs!$B$48-U171+MAX(P171,0)</f>
        <v>288164.745077172</v>
      </c>
      <c r="S171" s="10" t="n">
        <f aca="false">S170*(1+Inputs!$B$42)-V171+MAX(-P171,0)</f>
        <v>0</v>
      </c>
      <c r="T171" s="10" t="n">
        <f aca="false">T170+S170*Inputs!$B$48-V171+MAX(-P171,0)</f>
        <v>0</v>
      </c>
      <c r="U171" s="10" t="n">
        <f aca="false">Q170*Inputs!$B$48*Inputs!$B$29</f>
        <v>72.6342811253987</v>
      </c>
      <c r="V171" s="10" t="n">
        <f aca="false">S170*Inputs!$B$48*Inputs!$B$29</f>
        <v>0</v>
      </c>
    </row>
    <row r="172" customFormat="false" ht="15" hidden="false" customHeight="false" outlineLevel="0" collapsed="false">
      <c r="A172" s="16" t="n">
        <v>171</v>
      </c>
      <c r="B172" s="16" t="n">
        <f aca="false">ROUNDUP(A172/12,0)</f>
        <v>15</v>
      </c>
      <c r="C172" s="10" t="n">
        <f aca="false">F171</f>
        <v>308168.393027555</v>
      </c>
      <c r="D172" s="10" t="n">
        <f aca="false">IF(AND(A172&lt;=Inputs!$B$9*12,C172&gt;0.000001),C172*Inputs!$B$10/12,0)</f>
        <v>1869.5549177005</v>
      </c>
      <c r="E172" s="10" t="n">
        <f aca="false">IF(AND(A172&lt;=Inputs!$B$9*12,C172&gt;0.000001),MIN(C172,Inputs!$B$41-D172),0)</f>
        <v>867.294211280208</v>
      </c>
      <c r="F172" s="10" t="n">
        <f aca="false">C172-E172</f>
        <v>307301.098816274</v>
      </c>
      <c r="G172" s="10" t="n">
        <f aca="false">IF(AND(Inputs!$B$43=1,C172&gt;0.78*Inputs!$B$7,A172&lt;=Inputs!$B$9*6),Inputs!$B$16*Inputs!$B$39/12,0)</f>
        <v>0</v>
      </c>
      <c r="H172" s="10" t="n">
        <f aca="false">IF(B172=1,Inputs!$B$7,INDEX(Annual!$AC$2:$AC$51,B172-1))</f>
        <v>865838.223801402</v>
      </c>
      <c r="I172" s="10" t="n">
        <f aca="false">Inputs!$B$12*IF(Inputs!$B$35="",H172,MIN(H172,Inputs!$B$7*(1+Inputs!$B$35)^(B172-1)))/12</f>
        <v>649.378667851052</v>
      </c>
      <c r="J172" s="10" t="n">
        <f aca="false">Inputs!$B$13*Inputs!$B$7*(1+Inputs!$B$22)^(B172-1)/12</f>
        <v>306.663697581889</v>
      </c>
      <c r="K172" s="10" t="n">
        <f aca="false">Inputs!$B$14*Inputs!$B$7*(1+Inputs!$B$22)^(B172-1)/12</f>
        <v>613.327395163778</v>
      </c>
      <c r="L172" s="10" t="n">
        <f aca="false">Inputs!$B$15*(1+Inputs!$B$22)^(B172-1)</f>
        <v>0</v>
      </c>
      <c r="M172" s="10" t="n">
        <f aca="false">INDEX(Annual!$N$2:$N$51,B172)/12</f>
        <v>0</v>
      </c>
      <c r="N172" s="10" t="n">
        <f aca="false">D172+E172+G172+I172+J172+K172+L172-M172</f>
        <v>4306.21888957742</v>
      </c>
      <c r="O172" s="10" t="n">
        <f aca="false">Inputs!$B$17*(1+Inputs!$B$18)^(B172-1)+Inputs!$B$19*(1+Inputs!$B$22)^(B172-1)</f>
        <v>4068.81609239053</v>
      </c>
      <c r="P172" s="10" t="n">
        <f aca="false">N172-O172</f>
        <v>237.402797186891</v>
      </c>
      <c r="Q172" s="10" t="n">
        <f aca="false">Q171*(1+Inputs!$B$42)-U172+MAX(P172,0)</f>
        <v>534569.837266413</v>
      </c>
      <c r="R172" s="10" t="n">
        <f aca="false">R171+Q171*Inputs!$B$48-U172+MAX(P172,0)</f>
        <v>288816.197729989</v>
      </c>
      <c r="S172" s="10" t="n">
        <f aca="false">S171*(1+Inputs!$B$42)-V172+MAX(-P172,0)</f>
        <v>0</v>
      </c>
      <c r="T172" s="10" t="n">
        <f aca="false">T171+S171*Inputs!$B$48-V172+MAX(-P172,0)</f>
        <v>0</v>
      </c>
      <c r="U172" s="10" t="n">
        <f aca="false">Q171*Inputs!$B$48*Inputs!$B$29</f>
        <v>73.0676215819499</v>
      </c>
      <c r="V172" s="10" t="n">
        <f aca="false">S171*Inputs!$B$48*Inputs!$B$29</f>
        <v>0</v>
      </c>
    </row>
    <row r="173" customFormat="false" ht="15" hidden="false" customHeight="false" outlineLevel="0" collapsed="false">
      <c r="A173" s="16" t="n">
        <v>172</v>
      </c>
      <c r="B173" s="16" t="n">
        <f aca="false">ROUNDUP(A173/12,0)</f>
        <v>15</v>
      </c>
      <c r="C173" s="10" t="n">
        <f aca="false">F172</f>
        <v>307301.098816274</v>
      </c>
      <c r="D173" s="10" t="n">
        <f aca="false">IF(AND(A173&lt;=Inputs!$B$9*12,C173&gt;0.000001),C173*Inputs!$B$10/12,0)</f>
        <v>1864.29333281873</v>
      </c>
      <c r="E173" s="10" t="n">
        <f aca="false">IF(AND(A173&lt;=Inputs!$B$9*12,C173&gt;0.000001),MIN(C173,Inputs!$B$41-D173),0)</f>
        <v>872.555796161975</v>
      </c>
      <c r="F173" s="10" t="n">
        <f aca="false">C173-E173</f>
        <v>306428.543020112</v>
      </c>
      <c r="G173" s="10" t="n">
        <f aca="false">IF(AND(Inputs!$B$43=1,C173&gt;0.78*Inputs!$B$7,A173&lt;=Inputs!$B$9*6),Inputs!$B$16*Inputs!$B$39/12,0)</f>
        <v>0</v>
      </c>
      <c r="H173" s="10" t="n">
        <f aca="false">IF(B173=1,Inputs!$B$7,INDEX(Annual!$AC$2:$AC$51,B173-1))</f>
        <v>865838.223801402</v>
      </c>
      <c r="I173" s="10" t="n">
        <f aca="false">Inputs!$B$12*IF(Inputs!$B$35="",H173,MIN(H173,Inputs!$B$7*(1+Inputs!$B$35)^(B173-1)))/12</f>
        <v>649.378667851052</v>
      </c>
      <c r="J173" s="10" t="n">
        <f aca="false">Inputs!$B$13*Inputs!$B$7*(1+Inputs!$B$22)^(B173-1)/12</f>
        <v>306.663697581889</v>
      </c>
      <c r="K173" s="10" t="n">
        <f aca="false">Inputs!$B$14*Inputs!$B$7*(1+Inputs!$B$22)^(B173-1)/12</f>
        <v>613.327395163778</v>
      </c>
      <c r="L173" s="10" t="n">
        <f aca="false">Inputs!$B$15*(1+Inputs!$B$22)^(B173-1)</f>
        <v>0</v>
      </c>
      <c r="M173" s="10" t="n">
        <f aca="false">INDEX(Annual!$N$2:$N$51,B173)/12</f>
        <v>0</v>
      </c>
      <c r="N173" s="10" t="n">
        <f aca="false">D173+E173+G173+I173+J173+K173+L173-M173</f>
        <v>4306.21888957742</v>
      </c>
      <c r="O173" s="10" t="n">
        <f aca="false">Inputs!$B$17*(1+Inputs!$B$18)^(B173-1)+Inputs!$B$19*(1+Inputs!$B$22)^(B173-1)</f>
        <v>4068.81609239053</v>
      </c>
      <c r="P173" s="10" t="n">
        <f aca="false">N173-O173</f>
        <v>237.402797186891</v>
      </c>
      <c r="Q173" s="10" t="n">
        <f aca="false">Q172*(1+Inputs!$B$42)-U173+MAX(P173,0)</f>
        <v>537756.272290602</v>
      </c>
      <c r="R173" s="10" t="n">
        <f aca="false">R172+Q172*Inputs!$B$48-U173+MAX(P173,0)</f>
        <v>289470.11952538</v>
      </c>
      <c r="S173" s="10" t="n">
        <f aca="false">S172*(1+Inputs!$B$42)-V173+MAX(-P173,0)</f>
        <v>0</v>
      </c>
      <c r="T173" s="10" t="n">
        <f aca="false">T172+S172*Inputs!$B$48-V173+MAX(-P173,0)</f>
        <v>0</v>
      </c>
      <c r="U173" s="10" t="n">
        <f aca="false">Q172*Inputs!$B$48*Inputs!$B$29</f>
        <v>73.5033526241318</v>
      </c>
      <c r="V173" s="10" t="n">
        <f aca="false">S172*Inputs!$B$48*Inputs!$B$29</f>
        <v>0</v>
      </c>
    </row>
    <row r="174" customFormat="false" ht="15" hidden="false" customHeight="false" outlineLevel="0" collapsed="false">
      <c r="A174" s="16" t="n">
        <v>173</v>
      </c>
      <c r="B174" s="16" t="n">
        <f aca="false">ROUNDUP(A174/12,0)</f>
        <v>15</v>
      </c>
      <c r="C174" s="10" t="n">
        <f aca="false">F173</f>
        <v>306428.543020112</v>
      </c>
      <c r="D174" s="10" t="n">
        <f aca="false">IF(AND(A174&lt;=Inputs!$B$9*12,C174&gt;0.000001),C174*Inputs!$B$10/12,0)</f>
        <v>1858.99982765535</v>
      </c>
      <c r="E174" s="10" t="n">
        <f aca="false">IF(AND(A174&lt;=Inputs!$B$9*12,C174&gt;0.000001),MIN(C174,Inputs!$B$41-D174),0)</f>
        <v>877.849301325357</v>
      </c>
      <c r="F174" s="10" t="n">
        <f aca="false">C174-E174</f>
        <v>305550.693718787</v>
      </c>
      <c r="G174" s="10" t="n">
        <f aca="false">IF(AND(Inputs!$B$43=1,C174&gt;0.78*Inputs!$B$7,A174&lt;=Inputs!$B$9*6),Inputs!$B$16*Inputs!$B$39/12,0)</f>
        <v>0</v>
      </c>
      <c r="H174" s="10" t="n">
        <f aca="false">IF(B174=1,Inputs!$B$7,INDEX(Annual!$AC$2:$AC$51,B174-1))</f>
        <v>865838.223801402</v>
      </c>
      <c r="I174" s="10" t="n">
        <f aca="false">Inputs!$B$12*IF(Inputs!$B$35="",H174,MIN(H174,Inputs!$B$7*(1+Inputs!$B$35)^(B174-1)))/12</f>
        <v>649.378667851052</v>
      </c>
      <c r="J174" s="10" t="n">
        <f aca="false">Inputs!$B$13*Inputs!$B$7*(1+Inputs!$B$22)^(B174-1)/12</f>
        <v>306.663697581889</v>
      </c>
      <c r="K174" s="10" t="n">
        <f aca="false">Inputs!$B$14*Inputs!$B$7*(1+Inputs!$B$22)^(B174-1)/12</f>
        <v>613.327395163778</v>
      </c>
      <c r="L174" s="10" t="n">
        <f aca="false">Inputs!$B$15*(1+Inputs!$B$22)^(B174-1)</f>
        <v>0</v>
      </c>
      <c r="M174" s="10" t="n">
        <f aca="false">INDEX(Annual!$N$2:$N$51,B174)/12</f>
        <v>0</v>
      </c>
      <c r="N174" s="10" t="n">
        <f aca="false">D174+E174+G174+I174+J174+K174+L174-M174</f>
        <v>4306.21888957742</v>
      </c>
      <c r="O174" s="10" t="n">
        <f aca="false">Inputs!$B$17*(1+Inputs!$B$18)^(B174-1)+Inputs!$B$19*(1+Inputs!$B$22)^(B174-1)</f>
        <v>4068.81609239053</v>
      </c>
      <c r="P174" s="10" t="n">
        <f aca="false">N174-O174</f>
        <v>237.402797186891</v>
      </c>
      <c r="Q174" s="10" t="n">
        <f aca="false">Q173*(1+Inputs!$B$42)-U174+MAX(P174,0)</f>
        <v>540960.285746869</v>
      </c>
      <c r="R174" s="10" t="n">
        <f aca="false">R173+Q173*Inputs!$B$48-U174+MAX(P174,0)</f>
        <v>290126.524084726</v>
      </c>
      <c r="S174" s="10" t="n">
        <f aca="false">S173*(1+Inputs!$B$42)-V174+MAX(-P174,0)</f>
        <v>0</v>
      </c>
      <c r="T174" s="10" t="n">
        <f aca="false">T173+S173*Inputs!$B$48-V174+MAX(-P174,0)</f>
        <v>0</v>
      </c>
      <c r="U174" s="10" t="n">
        <f aca="false">Q173*Inputs!$B$48*Inputs!$B$29</f>
        <v>73.9414874399577</v>
      </c>
      <c r="V174" s="10" t="n">
        <f aca="false">S173*Inputs!$B$48*Inputs!$B$29</f>
        <v>0</v>
      </c>
    </row>
    <row r="175" customFormat="false" ht="15" hidden="false" customHeight="false" outlineLevel="0" collapsed="false">
      <c r="A175" s="16" t="n">
        <v>174</v>
      </c>
      <c r="B175" s="16" t="n">
        <f aca="false">ROUNDUP(A175/12,0)</f>
        <v>15</v>
      </c>
      <c r="C175" s="10" t="n">
        <f aca="false">F174</f>
        <v>305550.693718787</v>
      </c>
      <c r="D175" s="10" t="n">
        <f aca="false">IF(AND(A175&lt;=Inputs!$B$9*12,C175&gt;0.000001),C175*Inputs!$B$10/12,0)</f>
        <v>1853.67420856064</v>
      </c>
      <c r="E175" s="10" t="n">
        <f aca="false">IF(AND(A175&lt;=Inputs!$B$9*12,C175&gt;0.000001),MIN(C175,Inputs!$B$41-D175),0)</f>
        <v>883.174920420064</v>
      </c>
      <c r="F175" s="10" t="n">
        <f aca="false">C175-E175</f>
        <v>304667.518798367</v>
      </c>
      <c r="G175" s="10" t="n">
        <f aca="false">IF(AND(Inputs!$B$43=1,C175&gt;0.78*Inputs!$B$7,A175&lt;=Inputs!$B$9*6),Inputs!$B$16*Inputs!$B$39/12,0)</f>
        <v>0</v>
      </c>
      <c r="H175" s="10" t="n">
        <f aca="false">IF(B175=1,Inputs!$B$7,INDEX(Annual!$AC$2:$AC$51,B175-1))</f>
        <v>865838.223801402</v>
      </c>
      <c r="I175" s="10" t="n">
        <f aca="false">Inputs!$B$12*IF(Inputs!$B$35="",H175,MIN(H175,Inputs!$B$7*(1+Inputs!$B$35)^(B175-1)))/12</f>
        <v>649.378667851052</v>
      </c>
      <c r="J175" s="10" t="n">
        <f aca="false">Inputs!$B$13*Inputs!$B$7*(1+Inputs!$B$22)^(B175-1)/12</f>
        <v>306.663697581889</v>
      </c>
      <c r="K175" s="10" t="n">
        <f aca="false">Inputs!$B$14*Inputs!$B$7*(1+Inputs!$B$22)^(B175-1)/12</f>
        <v>613.327395163778</v>
      </c>
      <c r="L175" s="10" t="n">
        <f aca="false">Inputs!$B$15*(1+Inputs!$B$22)^(B175-1)</f>
        <v>0</v>
      </c>
      <c r="M175" s="10" t="n">
        <f aca="false">INDEX(Annual!$N$2:$N$51,B175)/12</f>
        <v>0</v>
      </c>
      <c r="N175" s="10" t="n">
        <f aca="false">D175+E175+G175+I175+J175+K175+L175-M175</f>
        <v>4306.21888957742</v>
      </c>
      <c r="O175" s="10" t="n">
        <f aca="false">Inputs!$B$17*(1+Inputs!$B$18)^(B175-1)+Inputs!$B$19*(1+Inputs!$B$22)^(B175-1)</f>
        <v>4068.81609239053</v>
      </c>
      <c r="P175" s="10" t="n">
        <f aca="false">N175-O175</f>
        <v>237.402797186891</v>
      </c>
      <c r="Q175" s="10" t="n">
        <f aca="false">Q174*(1+Inputs!$B$42)-U175+MAX(P175,0)</f>
        <v>544181.974609191</v>
      </c>
      <c r="R175" s="10" t="n">
        <f aca="false">R174+Q174*Inputs!$B$48-U175+MAX(P175,0)</f>
        <v>290785.425104558</v>
      </c>
      <c r="S175" s="10" t="n">
        <f aca="false">S174*(1+Inputs!$B$42)-V175+MAX(-P175,0)</f>
        <v>0</v>
      </c>
      <c r="T175" s="10" t="n">
        <f aca="false">T174+S174*Inputs!$B$48-V175+MAX(-P175,0)</f>
        <v>0</v>
      </c>
      <c r="U175" s="10" t="n">
        <f aca="false">Q174*Inputs!$B$48*Inputs!$B$29</f>
        <v>74.3820392901944</v>
      </c>
      <c r="V175" s="10" t="n">
        <f aca="false">S174*Inputs!$B$48*Inputs!$B$29</f>
        <v>0</v>
      </c>
    </row>
    <row r="176" customFormat="false" ht="15" hidden="false" customHeight="false" outlineLevel="0" collapsed="false">
      <c r="A176" s="16" t="n">
        <v>175</v>
      </c>
      <c r="B176" s="16" t="n">
        <f aca="false">ROUNDUP(A176/12,0)</f>
        <v>15</v>
      </c>
      <c r="C176" s="10" t="n">
        <f aca="false">F175</f>
        <v>304667.518798367</v>
      </c>
      <c r="D176" s="10" t="n">
        <f aca="false">IF(AND(A176&lt;=Inputs!$B$9*12,C176&gt;0.000001),C176*Inputs!$B$10/12,0)</f>
        <v>1848.31628071009</v>
      </c>
      <c r="E176" s="10" t="n">
        <f aca="false">IF(AND(A176&lt;=Inputs!$B$9*12,C176&gt;0.000001),MIN(C176,Inputs!$B$41-D176),0)</f>
        <v>888.532848270613</v>
      </c>
      <c r="F176" s="10" t="n">
        <f aca="false">C176-E176</f>
        <v>303778.985950096</v>
      </c>
      <c r="G176" s="10" t="n">
        <f aca="false">IF(AND(Inputs!$B$43=1,C176&gt;0.78*Inputs!$B$7,A176&lt;=Inputs!$B$9*6),Inputs!$B$16*Inputs!$B$39/12,0)</f>
        <v>0</v>
      </c>
      <c r="H176" s="10" t="n">
        <f aca="false">IF(B176=1,Inputs!$B$7,INDEX(Annual!$AC$2:$AC$51,B176-1))</f>
        <v>865838.223801402</v>
      </c>
      <c r="I176" s="10" t="n">
        <f aca="false">Inputs!$B$12*IF(Inputs!$B$35="",H176,MIN(H176,Inputs!$B$7*(1+Inputs!$B$35)^(B176-1)))/12</f>
        <v>649.378667851052</v>
      </c>
      <c r="J176" s="10" t="n">
        <f aca="false">Inputs!$B$13*Inputs!$B$7*(1+Inputs!$B$22)^(B176-1)/12</f>
        <v>306.663697581889</v>
      </c>
      <c r="K176" s="10" t="n">
        <f aca="false">Inputs!$B$14*Inputs!$B$7*(1+Inputs!$B$22)^(B176-1)/12</f>
        <v>613.327395163778</v>
      </c>
      <c r="L176" s="10" t="n">
        <f aca="false">Inputs!$B$15*(1+Inputs!$B$22)^(B176-1)</f>
        <v>0</v>
      </c>
      <c r="M176" s="10" t="n">
        <f aca="false">INDEX(Annual!$N$2:$N$51,B176)/12</f>
        <v>0</v>
      </c>
      <c r="N176" s="10" t="n">
        <f aca="false">D176+E176+G176+I176+J176+K176+L176-M176</f>
        <v>4306.21888957742</v>
      </c>
      <c r="O176" s="10" t="n">
        <f aca="false">Inputs!$B$17*(1+Inputs!$B$18)^(B176-1)+Inputs!$B$19*(1+Inputs!$B$22)^(B176-1)</f>
        <v>4068.81609239053</v>
      </c>
      <c r="P176" s="10" t="n">
        <f aca="false">N176-O176</f>
        <v>237.402797186891</v>
      </c>
      <c r="Q176" s="10" t="n">
        <f aca="false">Q175*(1+Inputs!$B$42)-U176+MAX(P176,0)</f>
        <v>547421.436386514</v>
      </c>
      <c r="R176" s="10" t="n">
        <f aca="false">R175+Q175*Inputs!$B$48-U176+MAX(P176,0)</f>
        <v>291446.836356961</v>
      </c>
      <c r="S176" s="10" t="n">
        <f aca="false">S175*(1+Inputs!$B$42)-V176+MAX(-P176,0)</f>
        <v>0</v>
      </c>
      <c r="T176" s="10" t="n">
        <f aca="false">T175+S175*Inputs!$B$48-V176+MAX(-P176,0)</f>
        <v>0</v>
      </c>
      <c r="U176" s="10" t="n">
        <f aca="false">Q175*Inputs!$B$48*Inputs!$B$29</f>
        <v>74.8250215087637</v>
      </c>
      <c r="V176" s="10" t="n">
        <f aca="false">S175*Inputs!$B$48*Inputs!$B$29</f>
        <v>0</v>
      </c>
    </row>
    <row r="177" customFormat="false" ht="15" hidden="false" customHeight="false" outlineLevel="0" collapsed="false">
      <c r="A177" s="16" t="n">
        <v>176</v>
      </c>
      <c r="B177" s="16" t="n">
        <f aca="false">ROUNDUP(A177/12,0)</f>
        <v>15</v>
      </c>
      <c r="C177" s="10" t="n">
        <f aca="false">F176</f>
        <v>303778.985950096</v>
      </c>
      <c r="D177" s="10" t="n">
        <f aca="false">IF(AND(A177&lt;=Inputs!$B$9*12,C177&gt;0.000001),C177*Inputs!$B$10/12,0)</f>
        <v>1842.92584809725</v>
      </c>
      <c r="E177" s="10" t="n">
        <f aca="false">IF(AND(A177&lt;=Inputs!$B$9*12,C177&gt;0.000001),MIN(C177,Inputs!$B$41-D177),0)</f>
        <v>893.923280883454</v>
      </c>
      <c r="F177" s="10" t="n">
        <f aca="false">C177-E177</f>
        <v>302885.062669213</v>
      </c>
      <c r="G177" s="10" t="n">
        <f aca="false">IF(AND(Inputs!$B$43=1,C177&gt;0.78*Inputs!$B$7,A177&lt;=Inputs!$B$9*6),Inputs!$B$16*Inputs!$B$39/12,0)</f>
        <v>0</v>
      </c>
      <c r="H177" s="10" t="n">
        <f aca="false">IF(B177=1,Inputs!$B$7,INDEX(Annual!$AC$2:$AC$51,B177-1))</f>
        <v>865838.223801402</v>
      </c>
      <c r="I177" s="10" t="n">
        <f aca="false">Inputs!$B$12*IF(Inputs!$B$35="",H177,MIN(H177,Inputs!$B$7*(1+Inputs!$B$35)^(B177-1)))/12</f>
        <v>649.378667851052</v>
      </c>
      <c r="J177" s="10" t="n">
        <f aca="false">Inputs!$B$13*Inputs!$B$7*(1+Inputs!$B$22)^(B177-1)/12</f>
        <v>306.663697581889</v>
      </c>
      <c r="K177" s="10" t="n">
        <f aca="false">Inputs!$B$14*Inputs!$B$7*(1+Inputs!$B$22)^(B177-1)/12</f>
        <v>613.327395163778</v>
      </c>
      <c r="L177" s="10" t="n">
        <f aca="false">Inputs!$B$15*(1+Inputs!$B$22)^(B177-1)</f>
        <v>0</v>
      </c>
      <c r="M177" s="10" t="n">
        <f aca="false">INDEX(Annual!$N$2:$N$51,B177)/12</f>
        <v>0</v>
      </c>
      <c r="N177" s="10" t="n">
        <f aca="false">D177+E177+G177+I177+J177+K177+L177-M177</f>
        <v>4306.21888957742</v>
      </c>
      <c r="O177" s="10" t="n">
        <f aca="false">Inputs!$B$17*(1+Inputs!$B$18)^(B177-1)+Inputs!$B$19*(1+Inputs!$B$22)^(B177-1)</f>
        <v>4068.81609239053</v>
      </c>
      <c r="P177" s="10" t="n">
        <f aca="false">N177-O177</f>
        <v>237.402797186891</v>
      </c>
      <c r="Q177" s="10" t="n">
        <f aca="false">Q176*(1+Inputs!$B$42)-U177+MAX(P177,0)</f>
        <v>550678.769125709</v>
      </c>
      <c r="R177" s="10" t="n">
        <f aca="false">R176+Q176*Inputs!$B$48-U177+MAX(P177,0)</f>
        <v>292110.771689999</v>
      </c>
      <c r="S177" s="10" t="n">
        <f aca="false">S176*(1+Inputs!$B$42)-V177+MAX(-P177,0)</f>
        <v>0</v>
      </c>
      <c r="T177" s="10" t="n">
        <f aca="false">T176+S176*Inputs!$B$48-V177+MAX(-P177,0)</f>
        <v>0</v>
      </c>
      <c r="U177" s="10" t="n">
        <f aca="false">Q176*Inputs!$B$48*Inputs!$B$29</f>
        <v>75.2704475031457</v>
      </c>
      <c r="V177" s="10" t="n">
        <f aca="false">S176*Inputs!$B$48*Inputs!$B$29</f>
        <v>0</v>
      </c>
    </row>
    <row r="178" customFormat="false" ht="15" hidden="false" customHeight="false" outlineLevel="0" collapsed="false">
      <c r="A178" s="16" t="n">
        <v>177</v>
      </c>
      <c r="B178" s="16" t="n">
        <f aca="false">ROUNDUP(A178/12,0)</f>
        <v>15</v>
      </c>
      <c r="C178" s="10" t="n">
        <f aca="false">F177</f>
        <v>302885.062669213</v>
      </c>
      <c r="D178" s="10" t="n">
        <f aca="false">IF(AND(A178&lt;=Inputs!$B$9*12,C178&gt;0.000001),C178*Inputs!$B$10/12,0)</f>
        <v>1837.50271352656</v>
      </c>
      <c r="E178" s="10" t="n">
        <f aca="false">IF(AND(A178&lt;=Inputs!$B$9*12,C178&gt;0.000001),MIN(C178,Inputs!$B$41-D178),0)</f>
        <v>899.346415454147</v>
      </c>
      <c r="F178" s="10" t="n">
        <f aca="false">C178-E178</f>
        <v>301985.716253759</v>
      </c>
      <c r="G178" s="10" t="n">
        <f aca="false">IF(AND(Inputs!$B$43=1,C178&gt;0.78*Inputs!$B$7,A178&lt;=Inputs!$B$9*6),Inputs!$B$16*Inputs!$B$39/12,0)</f>
        <v>0</v>
      </c>
      <c r="H178" s="10" t="n">
        <f aca="false">IF(B178=1,Inputs!$B$7,INDEX(Annual!$AC$2:$AC$51,B178-1))</f>
        <v>865838.223801402</v>
      </c>
      <c r="I178" s="10" t="n">
        <f aca="false">Inputs!$B$12*IF(Inputs!$B$35="",H178,MIN(H178,Inputs!$B$7*(1+Inputs!$B$35)^(B178-1)))/12</f>
        <v>649.378667851052</v>
      </c>
      <c r="J178" s="10" t="n">
        <f aca="false">Inputs!$B$13*Inputs!$B$7*(1+Inputs!$B$22)^(B178-1)/12</f>
        <v>306.663697581889</v>
      </c>
      <c r="K178" s="10" t="n">
        <f aca="false">Inputs!$B$14*Inputs!$B$7*(1+Inputs!$B$22)^(B178-1)/12</f>
        <v>613.327395163778</v>
      </c>
      <c r="L178" s="10" t="n">
        <f aca="false">Inputs!$B$15*(1+Inputs!$B$22)^(B178-1)</f>
        <v>0</v>
      </c>
      <c r="M178" s="10" t="n">
        <f aca="false">INDEX(Annual!$N$2:$N$51,B178)/12</f>
        <v>0</v>
      </c>
      <c r="N178" s="10" t="n">
        <f aca="false">D178+E178+G178+I178+J178+K178+L178-M178</f>
        <v>4306.21888957742</v>
      </c>
      <c r="O178" s="10" t="n">
        <f aca="false">Inputs!$B$17*(1+Inputs!$B$18)^(B178-1)+Inputs!$B$19*(1+Inputs!$B$22)^(B178-1)</f>
        <v>4068.81609239053</v>
      </c>
      <c r="P178" s="10" t="n">
        <f aca="false">N178-O178</f>
        <v>237.402797186891</v>
      </c>
      <c r="Q178" s="10" t="n">
        <f aca="false">Q177*(1+Inputs!$B$42)-U178+MAX(P178,0)</f>
        <v>553954.071414536</v>
      </c>
      <c r="R178" s="10" t="n">
        <f aca="false">R177+Q177*Inputs!$B$48-U178+MAX(P178,0)</f>
        <v>292777.245028129</v>
      </c>
      <c r="S178" s="10" t="n">
        <f aca="false">S177*(1+Inputs!$B$42)-V178+MAX(-P178,0)</f>
        <v>0</v>
      </c>
      <c r="T178" s="10" t="n">
        <f aca="false">T177+S177*Inputs!$B$48-V178+MAX(-P178,0)</f>
        <v>0</v>
      </c>
      <c r="U178" s="10" t="n">
        <f aca="false">Q177*Inputs!$B$48*Inputs!$B$29</f>
        <v>75.718330754785</v>
      </c>
      <c r="V178" s="10" t="n">
        <f aca="false">S177*Inputs!$B$48*Inputs!$B$29</f>
        <v>0</v>
      </c>
    </row>
    <row r="179" customFormat="false" ht="15" hidden="false" customHeight="false" outlineLevel="0" collapsed="false">
      <c r="A179" s="16" t="n">
        <v>178</v>
      </c>
      <c r="B179" s="16" t="n">
        <f aca="false">ROUNDUP(A179/12,0)</f>
        <v>15</v>
      </c>
      <c r="C179" s="10" t="n">
        <f aca="false">F178</f>
        <v>301985.716253759</v>
      </c>
      <c r="D179" s="10" t="n">
        <f aca="false">IF(AND(A179&lt;=Inputs!$B$9*12,C179&gt;0.000001),C179*Inputs!$B$10/12,0)</f>
        <v>1832.04667860614</v>
      </c>
      <c r="E179" s="10" t="n">
        <f aca="false">IF(AND(A179&lt;=Inputs!$B$9*12,C179&gt;0.000001),MIN(C179,Inputs!$B$41-D179),0)</f>
        <v>904.802450374569</v>
      </c>
      <c r="F179" s="10" t="n">
        <f aca="false">C179-E179</f>
        <v>301080.913803384</v>
      </c>
      <c r="G179" s="10" t="n">
        <f aca="false">IF(AND(Inputs!$B$43=1,C179&gt;0.78*Inputs!$B$7,A179&lt;=Inputs!$B$9*6),Inputs!$B$16*Inputs!$B$39/12,0)</f>
        <v>0</v>
      </c>
      <c r="H179" s="10" t="n">
        <f aca="false">IF(B179=1,Inputs!$B$7,INDEX(Annual!$AC$2:$AC$51,B179-1))</f>
        <v>865838.223801402</v>
      </c>
      <c r="I179" s="10" t="n">
        <f aca="false">Inputs!$B$12*IF(Inputs!$B$35="",H179,MIN(H179,Inputs!$B$7*(1+Inputs!$B$35)^(B179-1)))/12</f>
        <v>649.378667851052</v>
      </c>
      <c r="J179" s="10" t="n">
        <f aca="false">Inputs!$B$13*Inputs!$B$7*(1+Inputs!$B$22)^(B179-1)/12</f>
        <v>306.663697581889</v>
      </c>
      <c r="K179" s="10" t="n">
        <f aca="false">Inputs!$B$14*Inputs!$B$7*(1+Inputs!$B$22)^(B179-1)/12</f>
        <v>613.327395163778</v>
      </c>
      <c r="L179" s="10" t="n">
        <f aca="false">Inputs!$B$15*(1+Inputs!$B$22)^(B179-1)</f>
        <v>0</v>
      </c>
      <c r="M179" s="10" t="n">
        <f aca="false">INDEX(Annual!$N$2:$N$51,B179)/12</f>
        <v>0</v>
      </c>
      <c r="N179" s="10" t="n">
        <f aca="false">D179+E179+G179+I179+J179+K179+L179-M179</f>
        <v>4306.21888957742</v>
      </c>
      <c r="O179" s="10" t="n">
        <f aca="false">Inputs!$B$17*(1+Inputs!$B$18)^(B179-1)+Inputs!$B$19*(1+Inputs!$B$22)^(B179-1)</f>
        <v>4068.81609239053</v>
      </c>
      <c r="P179" s="10" t="n">
        <f aca="false">N179-O179</f>
        <v>237.402797186891</v>
      </c>
      <c r="Q179" s="10" t="n">
        <f aca="false">Q178*(1+Inputs!$B$42)-U179+MAX(P179,0)</f>
        <v>557247.442384626</v>
      </c>
      <c r="R179" s="10" t="n">
        <f aca="false">R178+Q178*Inputs!$B$48-U179+MAX(P179,0)</f>
        <v>293446.270372627</v>
      </c>
      <c r="S179" s="10" t="n">
        <f aca="false">S178*(1+Inputs!$B$42)-V179+MAX(-P179,0)</f>
        <v>0</v>
      </c>
      <c r="T179" s="10" t="n">
        <f aca="false">T178+S178*Inputs!$B$48-V179+MAX(-P179,0)</f>
        <v>0</v>
      </c>
      <c r="U179" s="10" t="n">
        <f aca="false">Q178*Inputs!$B$48*Inputs!$B$29</f>
        <v>76.1686848194987</v>
      </c>
      <c r="V179" s="10" t="n">
        <f aca="false">S178*Inputs!$B$48*Inputs!$B$29</f>
        <v>0</v>
      </c>
    </row>
    <row r="180" customFormat="false" ht="15" hidden="false" customHeight="false" outlineLevel="0" collapsed="false">
      <c r="A180" s="16" t="n">
        <v>179</v>
      </c>
      <c r="B180" s="16" t="n">
        <f aca="false">ROUNDUP(A180/12,0)</f>
        <v>15</v>
      </c>
      <c r="C180" s="10" t="n">
        <f aca="false">F179</f>
        <v>301080.913803384</v>
      </c>
      <c r="D180" s="10" t="n">
        <f aca="false">IF(AND(A180&lt;=Inputs!$B$9*12,C180&gt;0.000001),C180*Inputs!$B$10/12,0)</f>
        <v>1826.55754374053</v>
      </c>
      <c r="E180" s="10" t="n">
        <f aca="false">IF(AND(A180&lt;=Inputs!$B$9*12,C180&gt;0.000001),MIN(C180,Inputs!$B$41-D180),0)</f>
        <v>910.291585240175</v>
      </c>
      <c r="F180" s="10" t="n">
        <f aca="false">C180-E180</f>
        <v>300170.622218144</v>
      </c>
      <c r="G180" s="10" t="n">
        <f aca="false">IF(AND(Inputs!$B$43=1,C180&gt;0.78*Inputs!$B$7,A180&lt;=Inputs!$B$9*6),Inputs!$B$16*Inputs!$B$39/12,0)</f>
        <v>0</v>
      </c>
      <c r="H180" s="10" t="n">
        <f aca="false">IF(B180=1,Inputs!$B$7,INDEX(Annual!$AC$2:$AC$51,B180-1))</f>
        <v>865838.223801402</v>
      </c>
      <c r="I180" s="10" t="n">
        <f aca="false">Inputs!$B$12*IF(Inputs!$B$35="",H180,MIN(H180,Inputs!$B$7*(1+Inputs!$B$35)^(B180-1)))/12</f>
        <v>649.378667851052</v>
      </c>
      <c r="J180" s="10" t="n">
        <f aca="false">Inputs!$B$13*Inputs!$B$7*(1+Inputs!$B$22)^(B180-1)/12</f>
        <v>306.663697581889</v>
      </c>
      <c r="K180" s="10" t="n">
        <f aca="false">Inputs!$B$14*Inputs!$B$7*(1+Inputs!$B$22)^(B180-1)/12</f>
        <v>613.327395163778</v>
      </c>
      <c r="L180" s="10" t="n">
        <f aca="false">Inputs!$B$15*(1+Inputs!$B$22)^(B180-1)</f>
        <v>0</v>
      </c>
      <c r="M180" s="10" t="n">
        <f aca="false">INDEX(Annual!$N$2:$N$51,B180)/12</f>
        <v>0</v>
      </c>
      <c r="N180" s="10" t="n">
        <f aca="false">D180+E180+G180+I180+J180+K180+L180-M180</f>
        <v>4306.21888957742</v>
      </c>
      <c r="O180" s="10" t="n">
        <f aca="false">Inputs!$B$17*(1+Inputs!$B$18)^(B180-1)+Inputs!$B$19*(1+Inputs!$B$22)^(B180-1)</f>
        <v>4068.81609239053</v>
      </c>
      <c r="P180" s="10" t="n">
        <f aca="false">N180-O180</f>
        <v>237.402797186891</v>
      </c>
      <c r="Q180" s="10" t="n">
        <f aca="false">Q179*(1+Inputs!$B$42)-U180+MAX(P180,0)</f>
        <v>560558.981714487</v>
      </c>
      <c r="R180" s="10" t="n">
        <f aca="false">R179+Q179*Inputs!$B$48-U180+MAX(P180,0)</f>
        <v>294117.861802005</v>
      </c>
      <c r="S180" s="10" t="n">
        <f aca="false">S179*(1+Inputs!$B$42)-V180+MAX(-P180,0)</f>
        <v>0</v>
      </c>
      <c r="T180" s="10" t="n">
        <f aca="false">T179+S179*Inputs!$B$48-V180+MAX(-P180,0)</f>
        <v>0</v>
      </c>
      <c r="U180" s="10" t="n">
        <f aca="false">Q179*Inputs!$B$48*Inputs!$B$29</f>
        <v>76.6215233278861</v>
      </c>
      <c r="V180" s="10" t="n">
        <f aca="false">S179*Inputs!$B$48*Inputs!$B$29</f>
        <v>0</v>
      </c>
    </row>
    <row r="181" customFormat="false" ht="15" hidden="false" customHeight="false" outlineLevel="0" collapsed="false">
      <c r="A181" s="16" t="n">
        <v>180</v>
      </c>
      <c r="B181" s="16" t="n">
        <f aca="false">ROUNDUP(A181/12,0)</f>
        <v>15</v>
      </c>
      <c r="C181" s="10" t="n">
        <f aca="false">F180</f>
        <v>300170.622218144</v>
      </c>
      <c r="D181" s="10" t="n">
        <f aca="false">IF(AND(A181&lt;=Inputs!$B$9*12,C181&gt;0.000001),C181*Inputs!$B$10/12,0)</f>
        <v>1821.03510812341</v>
      </c>
      <c r="E181" s="10" t="n">
        <f aca="false">IF(AND(A181&lt;=Inputs!$B$9*12,C181&gt;0.000001),MIN(C181,Inputs!$B$41-D181),0)</f>
        <v>915.814020857299</v>
      </c>
      <c r="F181" s="10" t="n">
        <f aca="false">C181-E181</f>
        <v>299254.808197287</v>
      </c>
      <c r="G181" s="10" t="n">
        <f aca="false">IF(AND(Inputs!$B$43=1,C181&gt;0.78*Inputs!$B$7,A181&lt;=Inputs!$B$9*6),Inputs!$B$16*Inputs!$B$39/12,0)</f>
        <v>0</v>
      </c>
      <c r="H181" s="10" t="n">
        <f aca="false">IF(B181=1,Inputs!$B$7,INDEX(Annual!$AC$2:$AC$51,B181-1))</f>
        <v>865838.223801402</v>
      </c>
      <c r="I181" s="10" t="n">
        <f aca="false">Inputs!$B$12*IF(Inputs!$B$35="",H181,MIN(H181,Inputs!$B$7*(1+Inputs!$B$35)^(B181-1)))/12</f>
        <v>649.378667851052</v>
      </c>
      <c r="J181" s="10" t="n">
        <f aca="false">Inputs!$B$13*Inputs!$B$7*(1+Inputs!$B$22)^(B181-1)/12</f>
        <v>306.663697581889</v>
      </c>
      <c r="K181" s="10" t="n">
        <f aca="false">Inputs!$B$14*Inputs!$B$7*(1+Inputs!$B$22)^(B181-1)/12</f>
        <v>613.327395163778</v>
      </c>
      <c r="L181" s="10" t="n">
        <f aca="false">Inputs!$B$15*(1+Inputs!$B$22)^(B181-1)</f>
        <v>0</v>
      </c>
      <c r="M181" s="10" t="n">
        <f aca="false">INDEX(Annual!$N$2:$N$51,B181)/12</f>
        <v>0</v>
      </c>
      <c r="N181" s="10" t="n">
        <f aca="false">D181+E181+G181+I181+J181+K181+L181-M181</f>
        <v>4306.21888957742</v>
      </c>
      <c r="O181" s="10" t="n">
        <f aca="false">Inputs!$B$17*(1+Inputs!$B$18)^(B181-1)+Inputs!$B$19*(1+Inputs!$B$22)^(B181-1)</f>
        <v>4068.81609239053</v>
      </c>
      <c r="P181" s="10" t="n">
        <f aca="false">N181-O181</f>
        <v>237.402797186891</v>
      </c>
      <c r="Q181" s="10" t="n">
        <f aca="false">Q180*(1+Inputs!$B$42)-U181+MAX(P181,0)</f>
        <v>563888.789632518</v>
      </c>
      <c r="R181" s="10" t="n">
        <f aca="false">R180+Q180*Inputs!$B$48-U181+MAX(P181,0)</f>
        <v>294792.033472444</v>
      </c>
      <c r="S181" s="10" t="n">
        <f aca="false">S180*(1+Inputs!$B$42)-V181+MAX(-P181,0)</f>
        <v>0</v>
      </c>
      <c r="T181" s="10" t="n">
        <f aca="false">T180+S180*Inputs!$B$48-V181+MAX(-P181,0)</f>
        <v>0</v>
      </c>
      <c r="U181" s="10" t="n">
        <f aca="false">Q180*Inputs!$B$48*Inputs!$B$29</f>
        <v>77.076859985742</v>
      </c>
      <c r="V181" s="10" t="n">
        <f aca="false">S180*Inputs!$B$48*Inputs!$B$29</f>
        <v>0</v>
      </c>
    </row>
    <row r="182" customFormat="false" ht="15" hidden="false" customHeight="false" outlineLevel="0" collapsed="false">
      <c r="A182" s="16" t="n">
        <v>181</v>
      </c>
      <c r="B182" s="16" t="n">
        <f aca="false">ROUNDUP(A182/12,0)</f>
        <v>16</v>
      </c>
      <c r="C182" s="10" t="n">
        <f aca="false">F181</f>
        <v>299254.808197287</v>
      </c>
      <c r="D182" s="10" t="n">
        <f aca="false">IF(AND(A182&lt;=Inputs!$B$9*12,C182&gt;0.000001),C182*Inputs!$B$10/12,0)</f>
        <v>1815.47916973021</v>
      </c>
      <c r="E182" s="10" t="n">
        <f aca="false">IF(AND(A182&lt;=Inputs!$B$9*12,C182&gt;0.000001),MIN(C182,Inputs!$B$41-D182),0)</f>
        <v>921.3699592505</v>
      </c>
      <c r="F182" s="10" t="n">
        <f aca="false">C182-E182</f>
        <v>298333.438238036</v>
      </c>
      <c r="G182" s="10" t="n">
        <f aca="false">IF(AND(Inputs!$B$43=1,C182&gt;0.78*Inputs!$B$7,A182&lt;=Inputs!$B$9*6),Inputs!$B$16*Inputs!$B$39/12,0)</f>
        <v>0</v>
      </c>
      <c r="H182" s="10" t="n">
        <f aca="false">IF(B182=1,Inputs!$B$7,INDEX(Annual!$AC$2:$AC$51,B182-1))</f>
        <v>900471.752753458</v>
      </c>
      <c r="I182" s="10" t="n">
        <f aca="false">Inputs!$B$12*IF(Inputs!$B$35="",H182,MIN(H182,Inputs!$B$7*(1+Inputs!$B$35)^(B182-1)))/12</f>
        <v>675.353814565094</v>
      </c>
      <c r="J182" s="10" t="n">
        <f aca="false">Inputs!$B$13*Inputs!$B$7*(1+Inputs!$B$22)^(B182-1)/12</f>
        <v>315.250281114182</v>
      </c>
      <c r="K182" s="10" t="n">
        <f aca="false">Inputs!$B$14*Inputs!$B$7*(1+Inputs!$B$22)^(B182-1)/12</f>
        <v>630.500562228364</v>
      </c>
      <c r="L182" s="10" t="n">
        <f aca="false">Inputs!$B$15*(1+Inputs!$B$22)^(B182-1)</f>
        <v>0</v>
      </c>
      <c r="M182" s="10" t="n">
        <f aca="false">INDEX(Annual!$N$2:$N$51,B182)/12</f>
        <v>0</v>
      </c>
      <c r="N182" s="10" t="n">
        <f aca="false">D182+E182+G182+I182+J182+K182+L182-M182</f>
        <v>4357.95378688834</v>
      </c>
      <c r="O182" s="10" t="n">
        <f aca="false">Inputs!$B$17*(1+Inputs!$B$18)^(B182-1)+Inputs!$B$19*(1+Inputs!$B$22)^(B182-1)</f>
        <v>4211.07009712062</v>
      </c>
      <c r="P182" s="10" t="n">
        <f aca="false">N182-O182</f>
        <v>146.883689767725</v>
      </c>
      <c r="Q182" s="10" t="n">
        <f aca="false">Q181*(1+Inputs!$B$42)-U182+MAX(P182,0)</f>
        <v>567146.447812622</v>
      </c>
      <c r="R182" s="10" t="n">
        <f aca="false">R181+Q181*Inputs!$B$48-U182+MAX(P182,0)</f>
        <v>295378.280510801</v>
      </c>
      <c r="S182" s="10" t="n">
        <f aca="false">S181*(1+Inputs!$B$42)-V182+MAX(-P182,0)</f>
        <v>0</v>
      </c>
      <c r="T182" s="10" t="n">
        <f aca="false">T181+S181*Inputs!$B$48-V182+MAX(-P182,0)</f>
        <v>0</v>
      </c>
      <c r="U182" s="10" t="n">
        <f aca="false">Q181*Inputs!$B$48*Inputs!$B$29</f>
        <v>77.5347085744712</v>
      </c>
      <c r="V182" s="10" t="n">
        <f aca="false">S181*Inputs!$B$48*Inputs!$B$29</f>
        <v>0</v>
      </c>
    </row>
    <row r="183" customFormat="false" ht="15" hidden="false" customHeight="false" outlineLevel="0" collapsed="false">
      <c r="A183" s="16" t="n">
        <v>182</v>
      </c>
      <c r="B183" s="16" t="n">
        <f aca="false">ROUNDUP(A183/12,0)</f>
        <v>16</v>
      </c>
      <c r="C183" s="10" t="n">
        <f aca="false">F182</f>
        <v>298333.438238036</v>
      </c>
      <c r="D183" s="10" t="n">
        <f aca="false">IF(AND(A183&lt;=Inputs!$B$9*12,C183&gt;0.000001),C183*Inputs!$B$10/12,0)</f>
        <v>1809.88952531075</v>
      </c>
      <c r="E183" s="10" t="n">
        <f aca="false">IF(AND(A183&lt;=Inputs!$B$9*12,C183&gt;0.000001),MIN(C183,Inputs!$B$41-D183),0)</f>
        <v>926.959603669953</v>
      </c>
      <c r="F183" s="10" t="n">
        <f aca="false">C183-E183</f>
        <v>297406.478634366</v>
      </c>
      <c r="G183" s="10" t="n">
        <f aca="false">IF(AND(Inputs!$B$43=1,C183&gt;0.78*Inputs!$B$7,A183&lt;=Inputs!$B$9*6),Inputs!$B$16*Inputs!$B$39/12,0)</f>
        <v>0</v>
      </c>
      <c r="H183" s="10" t="n">
        <f aca="false">IF(B183=1,Inputs!$B$7,INDEX(Annual!$AC$2:$AC$51,B183-1))</f>
        <v>900471.752753458</v>
      </c>
      <c r="I183" s="10" t="n">
        <f aca="false">Inputs!$B$12*IF(Inputs!$B$35="",H183,MIN(H183,Inputs!$B$7*(1+Inputs!$B$35)^(B183-1)))/12</f>
        <v>675.353814565094</v>
      </c>
      <c r="J183" s="10" t="n">
        <f aca="false">Inputs!$B$13*Inputs!$B$7*(1+Inputs!$B$22)^(B183-1)/12</f>
        <v>315.250281114182</v>
      </c>
      <c r="K183" s="10" t="n">
        <f aca="false">Inputs!$B$14*Inputs!$B$7*(1+Inputs!$B$22)^(B183-1)/12</f>
        <v>630.500562228364</v>
      </c>
      <c r="L183" s="10" t="n">
        <f aca="false">Inputs!$B$15*(1+Inputs!$B$22)^(B183-1)</f>
        <v>0</v>
      </c>
      <c r="M183" s="10" t="n">
        <f aca="false">INDEX(Annual!$N$2:$N$51,B183)/12</f>
        <v>0</v>
      </c>
      <c r="N183" s="10" t="n">
        <f aca="false">D183+E183+G183+I183+J183+K183+L183-M183</f>
        <v>4357.95378688834</v>
      </c>
      <c r="O183" s="10" t="n">
        <f aca="false">Inputs!$B$17*(1+Inputs!$B$18)^(B183-1)+Inputs!$B$19*(1+Inputs!$B$22)^(B183-1)</f>
        <v>4211.07009712062</v>
      </c>
      <c r="P183" s="10" t="n">
        <f aca="false">N183-O183</f>
        <v>146.883689767725</v>
      </c>
      <c r="Q183" s="10" t="n">
        <f aca="false">Q182*(1+Inputs!$B$42)-U183+MAX(P183,0)</f>
        <v>570422.077337698</v>
      </c>
      <c r="R183" s="10" t="n">
        <f aca="false">R182+Q182*Inputs!$B$48-U183+MAX(P183,0)</f>
        <v>295967.065807822</v>
      </c>
      <c r="S183" s="10" t="n">
        <f aca="false">S182*(1+Inputs!$B$42)-V183+MAX(-P183,0)</f>
        <v>0</v>
      </c>
      <c r="T183" s="10" t="n">
        <f aca="false">T182+S182*Inputs!$B$48-V183+MAX(-P183,0)</f>
        <v>0</v>
      </c>
      <c r="U183" s="10" t="n">
        <f aca="false">Q182*Inputs!$B$48*Inputs!$B$29</f>
        <v>77.9826365742355</v>
      </c>
      <c r="V183" s="10" t="n">
        <f aca="false">S182*Inputs!$B$48*Inputs!$B$29</f>
        <v>0</v>
      </c>
    </row>
    <row r="184" customFormat="false" ht="15" hidden="false" customHeight="false" outlineLevel="0" collapsed="false">
      <c r="A184" s="16" t="n">
        <v>183</v>
      </c>
      <c r="B184" s="16" t="n">
        <f aca="false">ROUNDUP(A184/12,0)</f>
        <v>16</v>
      </c>
      <c r="C184" s="10" t="n">
        <f aca="false">F183</f>
        <v>297406.478634366</v>
      </c>
      <c r="D184" s="10" t="n">
        <f aca="false">IF(AND(A184&lt;=Inputs!$B$9*12,C184&gt;0.000001),C184*Inputs!$B$10/12,0)</f>
        <v>1804.26597038182</v>
      </c>
      <c r="E184" s="10" t="n">
        <f aca="false">IF(AND(A184&lt;=Inputs!$B$9*12,C184&gt;0.000001),MIN(C184,Inputs!$B$41-D184),0)</f>
        <v>932.583158598883</v>
      </c>
      <c r="F184" s="10" t="n">
        <f aca="false">C184-E184</f>
        <v>296473.895475767</v>
      </c>
      <c r="G184" s="10" t="n">
        <f aca="false">IF(AND(Inputs!$B$43=1,C184&gt;0.78*Inputs!$B$7,A184&lt;=Inputs!$B$9*6),Inputs!$B$16*Inputs!$B$39/12,0)</f>
        <v>0</v>
      </c>
      <c r="H184" s="10" t="n">
        <f aca="false">IF(B184=1,Inputs!$B$7,INDEX(Annual!$AC$2:$AC$51,B184-1))</f>
        <v>900471.752753458</v>
      </c>
      <c r="I184" s="10" t="n">
        <f aca="false">Inputs!$B$12*IF(Inputs!$B$35="",H184,MIN(H184,Inputs!$B$7*(1+Inputs!$B$35)^(B184-1)))/12</f>
        <v>675.353814565094</v>
      </c>
      <c r="J184" s="10" t="n">
        <f aca="false">Inputs!$B$13*Inputs!$B$7*(1+Inputs!$B$22)^(B184-1)/12</f>
        <v>315.250281114182</v>
      </c>
      <c r="K184" s="10" t="n">
        <f aca="false">Inputs!$B$14*Inputs!$B$7*(1+Inputs!$B$22)^(B184-1)/12</f>
        <v>630.500562228364</v>
      </c>
      <c r="L184" s="10" t="n">
        <f aca="false">Inputs!$B$15*(1+Inputs!$B$22)^(B184-1)</f>
        <v>0</v>
      </c>
      <c r="M184" s="10" t="n">
        <f aca="false">INDEX(Annual!$N$2:$N$51,B184)/12</f>
        <v>0</v>
      </c>
      <c r="N184" s="10" t="n">
        <f aca="false">D184+E184+G184+I184+J184+K184+L184-M184</f>
        <v>4357.95378688834</v>
      </c>
      <c r="O184" s="10" t="n">
        <f aca="false">Inputs!$B$17*(1+Inputs!$B$18)^(B184-1)+Inputs!$B$19*(1+Inputs!$B$22)^(B184-1)</f>
        <v>4211.07009712062</v>
      </c>
      <c r="P184" s="10" t="n">
        <f aca="false">N184-O184</f>
        <v>146.883689767725</v>
      </c>
      <c r="Q184" s="10" t="n">
        <f aca="false">Q183*(1+Inputs!$B$42)-U184+MAX(P184,0)</f>
        <v>573715.777349285</v>
      </c>
      <c r="R184" s="10" t="n">
        <f aca="false">R183+Q183*Inputs!$B$48-U184+MAX(P184,0)</f>
        <v>296558.403366182</v>
      </c>
      <c r="S184" s="10" t="n">
        <f aca="false">S183*(1+Inputs!$B$42)-V184+MAX(-P184,0)</f>
        <v>0</v>
      </c>
      <c r="T184" s="10" t="n">
        <f aca="false">T183+S183*Inputs!$B$48-V184+MAX(-P184,0)</f>
        <v>0</v>
      </c>
      <c r="U184" s="10" t="n">
        <f aca="false">Q183*Inputs!$B$48*Inputs!$B$29</f>
        <v>78.4330356339335</v>
      </c>
      <c r="V184" s="10" t="n">
        <f aca="false">S183*Inputs!$B$48*Inputs!$B$29</f>
        <v>0</v>
      </c>
    </row>
    <row r="185" customFormat="false" ht="15" hidden="false" customHeight="false" outlineLevel="0" collapsed="false">
      <c r="A185" s="16" t="n">
        <v>184</v>
      </c>
      <c r="B185" s="16" t="n">
        <f aca="false">ROUNDUP(A185/12,0)</f>
        <v>16</v>
      </c>
      <c r="C185" s="10" t="n">
        <f aca="false">F184</f>
        <v>296473.895475767</v>
      </c>
      <c r="D185" s="10" t="n">
        <f aca="false">IF(AND(A185&lt;=Inputs!$B$9*12,C185&gt;0.000001),C185*Inputs!$B$10/12,0)</f>
        <v>1798.60829921966</v>
      </c>
      <c r="E185" s="10" t="n">
        <f aca="false">IF(AND(A185&lt;=Inputs!$B$9*12,C185&gt;0.000001),MIN(C185,Inputs!$B$41-D185),0)</f>
        <v>938.24082976105</v>
      </c>
      <c r="F185" s="10" t="n">
        <f aca="false">C185-E185</f>
        <v>295535.654646006</v>
      </c>
      <c r="G185" s="10" t="n">
        <f aca="false">IF(AND(Inputs!$B$43=1,C185&gt;0.78*Inputs!$B$7,A185&lt;=Inputs!$B$9*6),Inputs!$B$16*Inputs!$B$39/12,0)</f>
        <v>0</v>
      </c>
      <c r="H185" s="10" t="n">
        <f aca="false">IF(B185=1,Inputs!$B$7,INDEX(Annual!$AC$2:$AC$51,B185-1))</f>
        <v>900471.752753458</v>
      </c>
      <c r="I185" s="10" t="n">
        <f aca="false">Inputs!$B$12*IF(Inputs!$B$35="",H185,MIN(H185,Inputs!$B$7*(1+Inputs!$B$35)^(B185-1)))/12</f>
        <v>675.353814565094</v>
      </c>
      <c r="J185" s="10" t="n">
        <f aca="false">Inputs!$B$13*Inputs!$B$7*(1+Inputs!$B$22)^(B185-1)/12</f>
        <v>315.250281114182</v>
      </c>
      <c r="K185" s="10" t="n">
        <f aca="false">Inputs!$B$14*Inputs!$B$7*(1+Inputs!$B$22)^(B185-1)/12</f>
        <v>630.500562228364</v>
      </c>
      <c r="L185" s="10" t="n">
        <f aca="false">Inputs!$B$15*(1+Inputs!$B$22)^(B185-1)</f>
        <v>0</v>
      </c>
      <c r="M185" s="10" t="n">
        <f aca="false">INDEX(Annual!$N$2:$N$51,B185)/12</f>
        <v>0</v>
      </c>
      <c r="N185" s="10" t="n">
        <f aca="false">D185+E185+G185+I185+J185+K185+L185-M185</f>
        <v>4357.95378688834</v>
      </c>
      <c r="O185" s="10" t="n">
        <f aca="false">Inputs!$B$17*(1+Inputs!$B$18)^(B185-1)+Inputs!$B$19*(1+Inputs!$B$22)^(B185-1)</f>
        <v>4211.07009712062</v>
      </c>
      <c r="P185" s="10" t="n">
        <f aca="false">N185-O185</f>
        <v>146.883689767725</v>
      </c>
      <c r="Q185" s="10" t="n">
        <f aca="false">Q184*(1+Inputs!$B$42)-U185+MAX(P185,0)</f>
        <v>577027.647535848</v>
      </c>
      <c r="R185" s="10" t="n">
        <f aca="false">R184+Q184*Inputs!$B$48-U185+MAX(P185,0)</f>
        <v>297152.307265802</v>
      </c>
      <c r="S185" s="10" t="n">
        <f aca="false">S184*(1+Inputs!$B$42)-V185+MAX(-P185,0)</f>
        <v>0</v>
      </c>
      <c r="T185" s="10" t="n">
        <f aca="false">T184+S184*Inputs!$B$48-V185+MAX(-P185,0)</f>
        <v>0</v>
      </c>
      <c r="U185" s="10" t="n">
        <f aca="false">Q184*Inputs!$B$48*Inputs!$B$29</f>
        <v>78.8859193855267</v>
      </c>
      <c r="V185" s="10" t="n">
        <f aca="false">S184*Inputs!$B$48*Inputs!$B$29</f>
        <v>0</v>
      </c>
    </row>
    <row r="186" customFormat="false" ht="15" hidden="false" customHeight="false" outlineLevel="0" collapsed="false">
      <c r="A186" s="16" t="n">
        <v>185</v>
      </c>
      <c r="B186" s="16" t="n">
        <f aca="false">ROUNDUP(A186/12,0)</f>
        <v>16</v>
      </c>
      <c r="C186" s="10" t="n">
        <f aca="false">F185</f>
        <v>295535.654646006</v>
      </c>
      <c r="D186" s="10" t="n">
        <f aca="false">IF(AND(A186&lt;=Inputs!$B$9*12,C186&gt;0.000001),C186*Inputs!$B$10/12,0)</f>
        <v>1792.91630485244</v>
      </c>
      <c r="E186" s="10" t="n">
        <f aca="false">IF(AND(A186&lt;=Inputs!$B$9*12,C186&gt;0.000001),MIN(C186,Inputs!$B$41-D186),0)</f>
        <v>943.932824128267</v>
      </c>
      <c r="F186" s="10" t="n">
        <f aca="false">C186-E186</f>
        <v>294591.721821878</v>
      </c>
      <c r="G186" s="10" t="n">
        <f aca="false">IF(AND(Inputs!$B$43=1,C186&gt;0.78*Inputs!$B$7,A186&lt;=Inputs!$B$9*6),Inputs!$B$16*Inputs!$B$39/12,0)</f>
        <v>0</v>
      </c>
      <c r="H186" s="10" t="n">
        <f aca="false">IF(B186=1,Inputs!$B$7,INDEX(Annual!$AC$2:$AC$51,B186-1))</f>
        <v>900471.752753458</v>
      </c>
      <c r="I186" s="10" t="n">
        <f aca="false">Inputs!$B$12*IF(Inputs!$B$35="",H186,MIN(H186,Inputs!$B$7*(1+Inputs!$B$35)^(B186-1)))/12</f>
        <v>675.353814565094</v>
      </c>
      <c r="J186" s="10" t="n">
        <f aca="false">Inputs!$B$13*Inputs!$B$7*(1+Inputs!$B$22)^(B186-1)/12</f>
        <v>315.250281114182</v>
      </c>
      <c r="K186" s="10" t="n">
        <f aca="false">Inputs!$B$14*Inputs!$B$7*(1+Inputs!$B$22)^(B186-1)/12</f>
        <v>630.500562228364</v>
      </c>
      <c r="L186" s="10" t="n">
        <f aca="false">Inputs!$B$15*(1+Inputs!$B$22)^(B186-1)</f>
        <v>0</v>
      </c>
      <c r="M186" s="10" t="n">
        <f aca="false">INDEX(Annual!$N$2:$N$51,B186)/12</f>
        <v>0</v>
      </c>
      <c r="N186" s="10" t="n">
        <f aca="false">D186+E186+G186+I186+J186+K186+L186-M186</f>
        <v>4357.95378688834</v>
      </c>
      <c r="O186" s="10" t="n">
        <f aca="false">Inputs!$B$17*(1+Inputs!$B$18)^(B186-1)+Inputs!$B$19*(1+Inputs!$B$22)^(B186-1)</f>
        <v>4211.07009712062</v>
      </c>
      <c r="P186" s="10" t="n">
        <f aca="false">N186-O186</f>
        <v>146.883689767725</v>
      </c>
      <c r="Q186" s="10" t="n">
        <f aca="false">Q185*(1+Inputs!$B$42)-U186+MAX(P186,0)</f>
        <v>580357.7881358</v>
      </c>
      <c r="R186" s="10" t="n">
        <f aca="false">R185+Q185*Inputs!$B$48-U186+MAX(P186,0)</f>
        <v>297748.791664274</v>
      </c>
      <c r="S186" s="10" t="n">
        <f aca="false">S185*(1+Inputs!$B$42)-V186+MAX(-P186,0)</f>
        <v>0</v>
      </c>
      <c r="T186" s="10" t="n">
        <f aca="false">T185+S185*Inputs!$B$48-V186+MAX(-P186,0)</f>
        <v>0</v>
      </c>
      <c r="U186" s="10" t="n">
        <f aca="false">Q185*Inputs!$B$48*Inputs!$B$29</f>
        <v>79.3413015361791</v>
      </c>
      <c r="V186" s="10" t="n">
        <f aca="false">S185*Inputs!$B$48*Inputs!$B$29</f>
        <v>0</v>
      </c>
    </row>
    <row r="187" customFormat="false" ht="15" hidden="false" customHeight="false" outlineLevel="0" collapsed="false">
      <c r="A187" s="16" t="n">
        <v>186</v>
      </c>
      <c r="B187" s="16" t="n">
        <f aca="false">ROUNDUP(A187/12,0)</f>
        <v>16</v>
      </c>
      <c r="C187" s="10" t="n">
        <f aca="false">F186</f>
        <v>294591.721821878</v>
      </c>
      <c r="D187" s="10" t="n">
        <f aca="false">IF(AND(A187&lt;=Inputs!$B$9*12,C187&gt;0.000001),C187*Inputs!$B$10/12,0)</f>
        <v>1787.18977905273</v>
      </c>
      <c r="E187" s="10" t="n">
        <f aca="false">IF(AND(A187&lt;=Inputs!$B$9*12,C187&gt;0.000001),MIN(C187,Inputs!$B$41-D187),0)</f>
        <v>949.659349927978</v>
      </c>
      <c r="F187" s="10" t="n">
        <f aca="false">C187-E187</f>
        <v>293642.06247195</v>
      </c>
      <c r="G187" s="10" t="n">
        <f aca="false">IF(AND(Inputs!$B$43=1,C187&gt;0.78*Inputs!$B$7,A187&lt;=Inputs!$B$9*6),Inputs!$B$16*Inputs!$B$39/12,0)</f>
        <v>0</v>
      </c>
      <c r="H187" s="10" t="n">
        <f aca="false">IF(B187=1,Inputs!$B$7,INDEX(Annual!$AC$2:$AC$51,B187-1))</f>
        <v>900471.752753458</v>
      </c>
      <c r="I187" s="10" t="n">
        <f aca="false">Inputs!$B$12*IF(Inputs!$B$35="",H187,MIN(H187,Inputs!$B$7*(1+Inputs!$B$35)^(B187-1)))/12</f>
        <v>675.353814565094</v>
      </c>
      <c r="J187" s="10" t="n">
        <f aca="false">Inputs!$B$13*Inputs!$B$7*(1+Inputs!$B$22)^(B187-1)/12</f>
        <v>315.250281114182</v>
      </c>
      <c r="K187" s="10" t="n">
        <f aca="false">Inputs!$B$14*Inputs!$B$7*(1+Inputs!$B$22)^(B187-1)/12</f>
        <v>630.500562228364</v>
      </c>
      <c r="L187" s="10" t="n">
        <f aca="false">Inputs!$B$15*(1+Inputs!$B$22)^(B187-1)</f>
        <v>0</v>
      </c>
      <c r="M187" s="10" t="n">
        <f aca="false">INDEX(Annual!$N$2:$N$51,B187)/12</f>
        <v>0</v>
      </c>
      <c r="N187" s="10" t="n">
        <f aca="false">D187+E187+G187+I187+J187+K187+L187-M187</f>
        <v>4357.95378688834</v>
      </c>
      <c r="O187" s="10" t="n">
        <f aca="false">Inputs!$B$17*(1+Inputs!$B$18)^(B187-1)+Inputs!$B$19*(1+Inputs!$B$22)^(B187-1)</f>
        <v>4211.07009712062</v>
      </c>
      <c r="P187" s="10" t="n">
        <f aca="false">N187-O187</f>
        <v>146.883689767725</v>
      </c>
      <c r="Q187" s="10" t="n">
        <f aca="false">Q186*(1+Inputs!$B$42)-U187+MAX(P187,0)</f>
        <v>583706.299940532</v>
      </c>
      <c r="R187" s="10" t="n">
        <f aca="false">R186+Q186*Inputs!$B$48-U187+MAX(P187,0)</f>
        <v>298347.870797298</v>
      </c>
      <c r="S187" s="10" t="n">
        <f aca="false">S186*(1+Inputs!$B$42)-V187+MAX(-P187,0)</f>
        <v>0</v>
      </c>
      <c r="T187" s="10" t="n">
        <f aca="false">T186+S186*Inputs!$B$48-V187+MAX(-P187,0)</f>
        <v>0</v>
      </c>
      <c r="U187" s="10" t="n">
        <f aca="false">Q186*Inputs!$B$48*Inputs!$B$29</f>
        <v>79.7991958686725</v>
      </c>
      <c r="V187" s="10" t="n">
        <f aca="false">S186*Inputs!$B$48*Inputs!$B$29</f>
        <v>0</v>
      </c>
    </row>
    <row r="188" customFormat="false" ht="15" hidden="false" customHeight="false" outlineLevel="0" collapsed="false">
      <c r="A188" s="16" t="n">
        <v>187</v>
      </c>
      <c r="B188" s="16" t="n">
        <f aca="false">ROUNDUP(A188/12,0)</f>
        <v>16</v>
      </c>
      <c r="C188" s="10" t="n">
        <f aca="false">F187</f>
        <v>293642.06247195</v>
      </c>
      <c r="D188" s="10" t="n">
        <f aca="false">IF(AND(A188&lt;=Inputs!$B$9*12,C188&gt;0.000001),C188*Inputs!$B$10/12,0)</f>
        <v>1781.42851232983</v>
      </c>
      <c r="E188" s="10" t="n">
        <f aca="false">IF(AND(A188&lt;=Inputs!$B$9*12,C188&gt;0.000001),MIN(C188,Inputs!$B$41-D188),0)</f>
        <v>955.420616650874</v>
      </c>
      <c r="F188" s="10" t="n">
        <f aca="false">C188-E188</f>
        <v>292686.641855299</v>
      </c>
      <c r="G188" s="10" t="n">
        <f aca="false">IF(AND(Inputs!$B$43=1,C188&gt;0.78*Inputs!$B$7,A188&lt;=Inputs!$B$9*6),Inputs!$B$16*Inputs!$B$39/12,0)</f>
        <v>0</v>
      </c>
      <c r="H188" s="10" t="n">
        <f aca="false">IF(B188=1,Inputs!$B$7,INDEX(Annual!$AC$2:$AC$51,B188-1))</f>
        <v>900471.752753458</v>
      </c>
      <c r="I188" s="10" t="n">
        <f aca="false">Inputs!$B$12*IF(Inputs!$B$35="",H188,MIN(H188,Inputs!$B$7*(1+Inputs!$B$35)^(B188-1)))/12</f>
        <v>675.353814565094</v>
      </c>
      <c r="J188" s="10" t="n">
        <f aca="false">Inputs!$B$13*Inputs!$B$7*(1+Inputs!$B$22)^(B188-1)/12</f>
        <v>315.250281114182</v>
      </c>
      <c r="K188" s="10" t="n">
        <f aca="false">Inputs!$B$14*Inputs!$B$7*(1+Inputs!$B$22)^(B188-1)/12</f>
        <v>630.500562228364</v>
      </c>
      <c r="L188" s="10" t="n">
        <f aca="false">Inputs!$B$15*(1+Inputs!$B$22)^(B188-1)</f>
        <v>0</v>
      </c>
      <c r="M188" s="10" t="n">
        <f aca="false">INDEX(Annual!$N$2:$N$51,B188)/12</f>
        <v>0</v>
      </c>
      <c r="N188" s="10" t="n">
        <f aca="false">D188+E188+G188+I188+J188+K188+L188-M188</f>
        <v>4357.95378688834</v>
      </c>
      <c r="O188" s="10" t="n">
        <f aca="false">Inputs!$B$17*(1+Inputs!$B$18)^(B188-1)+Inputs!$B$19*(1+Inputs!$B$22)^(B188-1)</f>
        <v>4211.07009712062</v>
      </c>
      <c r="P188" s="10" t="n">
        <f aca="false">N188-O188</f>
        <v>146.883689767725</v>
      </c>
      <c r="Q188" s="10" t="n">
        <f aca="false">Q187*(1+Inputs!$B$42)-U188+MAX(P188,0)</f>
        <v>587073.284297466</v>
      </c>
      <c r="R188" s="10" t="n">
        <f aca="false">R187+Q187*Inputs!$B$48-U188+MAX(P188,0)</f>
        <v>298949.558979103</v>
      </c>
      <c r="S188" s="10" t="n">
        <f aca="false">S187*(1+Inputs!$B$42)-V188+MAX(-P188,0)</f>
        <v>0</v>
      </c>
      <c r="T188" s="10" t="n">
        <f aca="false">T187+S187*Inputs!$B$48-V188+MAX(-P188,0)</f>
        <v>0</v>
      </c>
      <c r="U188" s="10" t="n">
        <f aca="false">Q187*Inputs!$B$48*Inputs!$B$29</f>
        <v>80.2596162418231</v>
      </c>
      <c r="V188" s="10" t="n">
        <f aca="false">S187*Inputs!$B$48*Inputs!$B$29</f>
        <v>0</v>
      </c>
    </row>
    <row r="189" customFormat="false" ht="15" hidden="false" customHeight="false" outlineLevel="0" collapsed="false">
      <c r="A189" s="16" t="n">
        <v>188</v>
      </c>
      <c r="B189" s="16" t="n">
        <f aca="false">ROUNDUP(A189/12,0)</f>
        <v>16</v>
      </c>
      <c r="C189" s="10" t="n">
        <f aca="false">F188</f>
        <v>292686.641855299</v>
      </c>
      <c r="D189" s="10" t="n">
        <f aca="false">IF(AND(A189&lt;=Inputs!$B$9*12,C189&gt;0.000001),C189*Inputs!$B$10/12,0)</f>
        <v>1775.63229392215</v>
      </c>
      <c r="E189" s="10" t="n">
        <f aca="false">IF(AND(A189&lt;=Inputs!$B$9*12,C189&gt;0.000001),MIN(C189,Inputs!$B$41-D189),0)</f>
        <v>961.216835058557</v>
      </c>
      <c r="F189" s="10" t="n">
        <f aca="false">C189-E189</f>
        <v>291725.425020241</v>
      </c>
      <c r="G189" s="10" t="n">
        <f aca="false">IF(AND(Inputs!$B$43=1,C189&gt;0.78*Inputs!$B$7,A189&lt;=Inputs!$B$9*6),Inputs!$B$16*Inputs!$B$39/12,0)</f>
        <v>0</v>
      </c>
      <c r="H189" s="10" t="n">
        <f aca="false">IF(B189=1,Inputs!$B$7,INDEX(Annual!$AC$2:$AC$51,B189-1))</f>
        <v>900471.752753458</v>
      </c>
      <c r="I189" s="10" t="n">
        <f aca="false">Inputs!$B$12*IF(Inputs!$B$35="",H189,MIN(H189,Inputs!$B$7*(1+Inputs!$B$35)^(B189-1)))/12</f>
        <v>675.353814565094</v>
      </c>
      <c r="J189" s="10" t="n">
        <f aca="false">Inputs!$B$13*Inputs!$B$7*(1+Inputs!$B$22)^(B189-1)/12</f>
        <v>315.250281114182</v>
      </c>
      <c r="K189" s="10" t="n">
        <f aca="false">Inputs!$B$14*Inputs!$B$7*(1+Inputs!$B$22)^(B189-1)/12</f>
        <v>630.500562228364</v>
      </c>
      <c r="L189" s="10" t="n">
        <f aca="false">Inputs!$B$15*(1+Inputs!$B$22)^(B189-1)</f>
        <v>0</v>
      </c>
      <c r="M189" s="10" t="n">
        <f aca="false">INDEX(Annual!$N$2:$N$51,B189)/12</f>
        <v>0</v>
      </c>
      <c r="N189" s="10" t="n">
        <f aca="false">D189+E189+G189+I189+J189+K189+L189-M189</f>
        <v>4357.95378688834</v>
      </c>
      <c r="O189" s="10" t="n">
        <f aca="false">Inputs!$B$17*(1+Inputs!$B$18)^(B189-1)+Inputs!$B$19*(1+Inputs!$B$22)^(B189-1)</f>
        <v>4211.07009712062</v>
      </c>
      <c r="P189" s="10" t="n">
        <f aca="false">N189-O189</f>
        <v>146.883689767725</v>
      </c>
      <c r="Q189" s="10" t="n">
        <f aca="false">Q188*(1+Inputs!$B$42)-U189+MAX(P189,0)</f>
        <v>590458.843113122</v>
      </c>
      <c r="R189" s="10" t="n">
        <f aca="false">R188+Q188*Inputs!$B$48-U189+MAX(P189,0)</f>
        <v>299553.870602885</v>
      </c>
      <c r="S189" s="10" t="n">
        <f aca="false">S188*(1+Inputs!$B$42)-V189+MAX(-P189,0)</f>
        <v>0</v>
      </c>
      <c r="T189" s="10" t="n">
        <f aca="false">T188+S188*Inputs!$B$48-V189+MAX(-P189,0)</f>
        <v>0</v>
      </c>
      <c r="U189" s="10" t="n">
        <f aca="false">Q188*Inputs!$B$48*Inputs!$B$29</f>
        <v>80.7225765909016</v>
      </c>
      <c r="V189" s="10" t="n">
        <f aca="false">S188*Inputs!$B$48*Inputs!$B$29</f>
        <v>0</v>
      </c>
    </row>
    <row r="190" customFormat="false" ht="15" hidden="false" customHeight="false" outlineLevel="0" collapsed="false">
      <c r="A190" s="16" t="n">
        <v>189</v>
      </c>
      <c r="B190" s="16" t="n">
        <f aca="false">ROUNDUP(A190/12,0)</f>
        <v>16</v>
      </c>
      <c r="C190" s="10" t="n">
        <f aca="false">F189</f>
        <v>291725.425020241</v>
      </c>
      <c r="D190" s="10" t="n">
        <f aca="false">IF(AND(A190&lt;=Inputs!$B$9*12,C190&gt;0.000001),C190*Inputs!$B$10/12,0)</f>
        <v>1769.80091178946</v>
      </c>
      <c r="E190" s="10" t="n">
        <f aca="false">IF(AND(A190&lt;=Inputs!$B$9*12,C190&gt;0.000001),MIN(C190,Inputs!$B$41-D190),0)</f>
        <v>967.048217191245</v>
      </c>
      <c r="F190" s="10" t="n">
        <f aca="false">C190-E190</f>
        <v>290758.376803049</v>
      </c>
      <c r="G190" s="10" t="n">
        <f aca="false">IF(AND(Inputs!$B$43=1,C190&gt;0.78*Inputs!$B$7,A190&lt;=Inputs!$B$9*6),Inputs!$B$16*Inputs!$B$39/12,0)</f>
        <v>0</v>
      </c>
      <c r="H190" s="10" t="n">
        <f aca="false">IF(B190=1,Inputs!$B$7,INDEX(Annual!$AC$2:$AC$51,B190-1))</f>
        <v>900471.752753458</v>
      </c>
      <c r="I190" s="10" t="n">
        <f aca="false">Inputs!$B$12*IF(Inputs!$B$35="",H190,MIN(H190,Inputs!$B$7*(1+Inputs!$B$35)^(B190-1)))/12</f>
        <v>675.353814565094</v>
      </c>
      <c r="J190" s="10" t="n">
        <f aca="false">Inputs!$B$13*Inputs!$B$7*(1+Inputs!$B$22)^(B190-1)/12</f>
        <v>315.250281114182</v>
      </c>
      <c r="K190" s="10" t="n">
        <f aca="false">Inputs!$B$14*Inputs!$B$7*(1+Inputs!$B$22)^(B190-1)/12</f>
        <v>630.500562228364</v>
      </c>
      <c r="L190" s="10" t="n">
        <f aca="false">Inputs!$B$15*(1+Inputs!$B$22)^(B190-1)</f>
        <v>0</v>
      </c>
      <c r="M190" s="10" t="n">
        <f aca="false">INDEX(Annual!$N$2:$N$51,B190)/12</f>
        <v>0</v>
      </c>
      <c r="N190" s="10" t="n">
        <f aca="false">D190+E190+G190+I190+J190+K190+L190-M190</f>
        <v>4357.95378688834</v>
      </c>
      <c r="O190" s="10" t="n">
        <f aca="false">Inputs!$B$17*(1+Inputs!$B$18)^(B190-1)+Inputs!$B$19*(1+Inputs!$B$22)^(B190-1)</f>
        <v>4211.07009712062</v>
      </c>
      <c r="P190" s="10" t="n">
        <f aca="false">N190-O190</f>
        <v>146.883689767725</v>
      </c>
      <c r="Q190" s="10" t="n">
        <f aca="false">Q189*(1+Inputs!$B$42)-U190+MAX(P190,0)</f>
        <v>593863.078856202</v>
      </c>
      <c r="R190" s="10" t="n">
        <f aca="false">R189+Q189*Inputs!$B$48-U190+MAX(P190,0)</f>
        <v>300160.820141245</v>
      </c>
      <c r="S190" s="10" t="n">
        <f aca="false">S189*(1+Inputs!$B$42)-V190+MAX(-P190,0)</f>
        <v>0</v>
      </c>
      <c r="T190" s="10" t="n">
        <f aca="false">T189+S189*Inputs!$B$48-V190+MAX(-P190,0)</f>
        <v>0</v>
      </c>
      <c r="U190" s="10" t="n">
        <f aca="false">Q189*Inputs!$B$48*Inputs!$B$29</f>
        <v>81.1880909280543</v>
      </c>
      <c r="V190" s="10" t="n">
        <f aca="false">S189*Inputs!$B$48*Inputs!$B$29</f>
        <v>0</v>
      </c>
    </row>
    <row r="191" customFormat="false" ht="15" hidden="false" customHeight="false" outlineLevel="0" collapsed="false">
      <c r="A191" s="16" t="n">
        <v>190</v>
      </c>
      <c r="B191" s="16" t="n">
        <f aca="false">ROUNDUP(A191/12,0)</f>
        <v>16</v>
      </c>
      <c r="C191" s="10" t="n">
        <f aca="false">F190</f>
        <v>290758.376803049</v>
      </c>
      <c r="D191" s="10" t="n">
        <f aca="false">IF(AND(A191&lt;=Inputs!$B$9*12,C191&gt;0.000001),C191*Inputs!$B$10/12,0)</f>
        <v>1763.93415260517</v>
      </c>
      <c r="E191" s="10" t="n">
        <f aca="false">IF(AND(A191&lt;=Inputs!$B$9*12,C191&gt;0.000001),MIN(C191,Inputs!$B$41-D191),0)</f>
        <v>972.914976375539</v>
      </c>
      <c r="F191" s="10" t="n">
        <f aca="false">C191-E191</f>
        <v>289785.461826674</v>
      </c>
      <c r="G191" s="10" t="n">
        <f aca="false">IF(AND(Inputs!$B$43=1,C191&gt;0.78*Inputs!$B$7,A191&lt;=Inputs!$B$9*6),Inputs!$B$16*Inputs!$B$39/12,0)</f>
        <v>0</v>
      </c>
      <c r="H191" s="10" t="n">
        <f aca="false">IF(B191=1,Inputs!$B$7,INDEX(Annual!$AC$2:$AC$51,B191-1))</f>
        <v>900471.752753458</v>
      </c>
      <c r="I191" s="10" t="n">
        <f aca="false">Inputs!$B$12*IF(Inputs!$B$35="",H191,MIN(H191,Inputs!$B$7*(1+Inputs!$B$35)^(B191-1)))/12</f>
        <v>675.353814565094</v>
      </c>
      <c r="J191" s="10" t="n">
        <f aca="false">Inputs!$B$13*Inputs!$B$7*(1+Inputs!$B$22)^(B191-1)/12</f>
        <v>315.250281114182</v>
      </c>
      <c r="K191" s="10" t="n">
        <f aca="false">Inputs!$B$14*Inputs!$B$7*(1+Inputs!$B$22)^(B191-1)/12</f>
        <v>630.500562228364</v>
      </c>
      <c r="L191" s="10" t="n">
        <f aca="false">Inputs!$B$15*(1+Inputs!$B$22)^(B191-1)</f>
        <v>0</v>
      </c>
      <c r="M191" s="10" t="n">
        <f aca="false">INDEX(Annual!$N$2:$N$51,B191)/12</f>
        <v>0</v>
      </c>
      <c r="N191" s="10" t="n">
        <f aca="false">D191+E191+G191+I191+J191+K191+L191-M191</f>
        <v>4357.95378688834</v>
      </c>
      <c r="O191" s="10" t="n">
        <f aca="false">Inputs!$B$17*(1+Inputs!$B$18)^(B191-1)+Inputs!$B$19*(1+Inputs!$B$22)^(B191-1)</f>
        <v>4211.07009712062</v>
      </c>
      <c r="P191" s="10" t="n">
        <f aca="false">N191-O191</f>
        <v>146.883689767725</v>
      </c>
      <c r="Q191" s="10" t="n">
        <f aca="false">Q190*(1+Inputs!$B$42)-U191+MAX(P191,0)</f>
        <v>597286.094560692</v>
      </c>
      <c r="R191" s="10" t="n">
        <f aca="false">R190+Q190*Inputs!$B$48-U191+MAX(P191,0)</f>
        <v>300770.422146622</v>
      </c>
      <c r="S191" s="10" t="n">
        <f aca="false">S190*(1+Inputs!$B$42)-V191+MAX(-P191,0)</f>
        <v>0</v>
      </c>
      <c r="T191" s="10" t="n">
        <f aca="false">T190+S190*Inputs!$B$48-V191+MAX(-P191,0)</f>
        <v>0</v>
      </c>
      <c r="U191" s="10" t="n">
        <f aca="false">Q190*Inputs!$B$48*Inputs!$B$29</f>
        <v>81.6561733427278</v>
      </c>
      <c r="V191" s="10" t="n">
        <f aca="false">S190*Inputs!$B$48*Inputs!$B$29</f>
        <v>0</v>
      </c>
    </row>
    <row r="192" customFormat="false" ht="15" hidden="false" customHeight="false" outlineLevel="0" collapsed="false">
      <c r="A192" s="16" t="n">
        <v>191</v>
      </c>
      <c r="B192" s="16" t="n">
        <f aca="false">ROUNDUP(A192/12,0)</f>
        <v>16</v>
      </c>
      <c r="C192" s="10" t="n">
        <f aca="false">F191</f>
        <v>289785.461826674</v>
      </c>
      <c r="D192" s="10" t="n">
        <f aca="false">IF(AND(A192&lt;=Inputs!$B$9*12,C192&gt;0.000001),C192*Inputs!$B$10/12,0)</f>
        <v>1758.03180174849</v>
      </c>
      <c r="E192" s="10" t="n">
        <f aca="false">IF(AND(A192&lt;=Inputs!$B$9*12,C192&gt;0.000001),MIN(C192,Inputs!$B$41-D192),0)</f>
        <v>978.817327232217</v>
      </c>
      <c r="F192" s="10" t="n">
        <f aca="false">C192-E192</f>
        <v>288806.644499442</v>
      </c>
      <c r="G192" s="10" t="n">
        <f aca="false">IF(AND(Inputs!$B$43=1,C192&gt;0.78*Inputs!$B$7,A192&lt;=Inputs!$B$9*6),Inputs!$B$16*Inputs!$B$39/12,0)</f>
        <v>0</v>
      </c>
      <c r="H192" s="10" t="n">
        <f aca="false">IF(B192=1,Inputs!$B$7,INDEX(Annual!$AC$2:$AC$51,B192-1))</f>
        <v>900471.752753458</v>
      </c>
      <c r="I192" s="10" t="n">
        <f aca="false">Inputs!$B$12*IF(Inputs!$B$35="",H192,MIN(H192,Inputs!$B$7*(1+Inputs!$B$35)^(B192-1)))/12</f>
        <v>675.353814565094</v>
      </c>
      <c r="J192" s="10" t="n">
        <f aca="false">Inputs!$B$13*Inputs!$B$7*(1+Inputs!$B$22)^(B192-1)/12</f>
        <v>315.250281114182</v>
      </c>
      <c r="K192" s="10" t="n">
        <f aca="false">Inputs!$B$14*Inputs!$B$7*(1+Inputs!$B$22)^(B192-1)/12</f>
        <v>630.500562228364</v>
      </c>
      <c r="L192" s="10" t="n">
        <f aca="false">Inputs!$B$15*(1+Inputs!$B$22)^(B192-1)</f>
        <v>0</v>
      </c>
      <c r="M192" s="10" t="n">
        <f aca="false">INDEX(Annual!$N$2:$N$51,B192)/12</f>
        <v>0</v>
      </c>
      <c r="N192" s="10" t="n">
        <f aca="false">D192+E192+G192+I192+J192+K192+L192-M192</f>
        <v>4357.95378688834</v>
      </c>
      <c r="O192" s="10" t="n">
        <f aca="false">Inputs!$B$17*(1+Inputs!$B$18)^(B192-1)+Inputs!$B$19*(1+Inputs!$B$22)^(B192-1)</f>
        <v>4211.07009712062</v>
      </c>
      <c r="P192" s="10" t="n">
        <f aca="false">N192-O192</f>
        <v>146.883689767725</v>
      </c>
      <c r="Q192" s="10" t="n">
        <f aca="false">Q191*(1+Inputs!$B$42)-U192+MAX(P192,0)</f>
        <v>600727.99382898</v>
      </c>
      <c r="R192" s="10" t="n">
        <f aca="false">R191+Q191*Inputs!$B$48-U192+MAX(P192,0)</f>
        <v>301382.691251735</v>
      </c>
      <c r="S192" s="10" t="n">
        <f aca="false">S191*(1+Inputs!$B$42)-V192+MAX(-P192,0)</f>
        <v>0</v>
      </c>
      <c r="T192" s="10" t="n">
        <f aca="false">T191+S191*Inputs!$B$48-V192+MAX(-P192,0)</f>
        <v>0</v>
      </c>
      <c r="U192" s="10" t="n">
        <f aca="false">Q191*Inputs!$B$48*Inputs!$B$29</f>
        <v>82.1268380020952</v>
      </c>
      <c r="V192" s="10" t="n">
        <f aca="false">S191*Inputs!$B$48*Inputs!$B$29</f>
        <v>0</v>
      </c>
    </row>
    <row r="193" customFormat="false" ht="15" hidden="false" customHeight="false" outlineLevel="0" collapsed="false">
      <c r="A193" s="16" t="n">
        <v>192</v>
      </c>
      <c r="B193" s="16" t="n">
        <f aca="false">ROUNDUP(A193/12,0)</f>
        <v>16</v>
      </c>
      <c r="C193" s="10" t="n">
        <f aca="false">F192</f>
        <v>288806.644499442</v>
      </c>
      <c r="D193" s="10" t="n">
        <f aca="false">IF(AND(A193&lt;=Inputs!$B$9*12,C193&gt;0.000001),C193*Inputs!$B$10/12,0)</f>
        <v>1752.09364329661</v>
      </c>
      <c r="E193" s="10" t="n">
        <f aca="false">IF(AND(A193&lt;=Inputs!$B$9*12,C193&gt;0.000001),MIN(C193,Inputs!$B$41-D193),0)</f>
        <v>984.755485684092</v>
      </c>
      <c r="F193" s="10" t="n">
        <f aca="false">C193-E193</f>
        <v>287821.889013758</v>
      </c>
      <c r="G193" s="10" t="n">
        <f aca="false">IF(AND(Inputs!$B$43=1,C193&gt;0.78*Inputs!$B$7,A193&lt;=Inputs!$B$9*6),Inputs!$B$16*Inputs!$B$39/12,0)</f>
        <v>0</v>
      </c>
      <c r="H193" s="10" t="n">
        <f aca="false">IF(B193=1,Inputs!$B$7,INDEX(Annual!$AC$2:$AC$51,B193-1))</f>
        <v>900471.752753458</v>
      </c>
      <c r="I193" s="10" t="n">
        <f aca="false">Inputs!$B$12*IF(Inputs!$B$35="",H193,MIN(H193,Inputs!$B$7*(1+Inputs!$B$35)^(B193-1)))/12</f>
        <v>675.353814565094</v>
      </c>
      <c r="J193" s="10" t="n">
        <f aca="false">Inputs!$B$13*Inputs!$B$7*(1+Inputs!$B$22)^(B193-1)/12</f>
        <v>315.250281114182</v>
      </c>
      <c r="K193" s="10" t="n">
        <f aca="false">Inputs!$B$14*Inputs!$B$7*(1+Inputs!$B$22)^(B193-1)/12</f>
        <v>630.500562228364</v>
      </c>
      <c r="L193" s="10" t="n">
        <f aca="false">Inputs!$B$15*(1+Inputs!$B$22)^(B193-1)</f>
        <v>0</v>
      </c>
      <c r="M193" s="10" t="n">
        <f aca="false">INDEX(Annual!$N$2:$N$51,B193)/12</f>
        <v>0</v>
      </c>
      <c r="N193" s="10" t="n">
        <f aca="false">D193+E193+G193+I193+J193+K193+L193-M193</f>
        <v>4357.95378688834</v>
      </c>
      <c r="O193" s="10" t="n">
        <f aca="false">Inputs!$B$17*(1+Inputs!$B$18)^(B193-1)+Inputs!$B$19*(1+Inputs!$B$22)^(B193-1)</f>
        <v>4211.07009712062</v>
      </c>
      <c r="P193" s="10" t="n">
        <f aca="false">N193-O193</f>
        <v>146.883689767725</v>
      </c>
      <c r="Q193" s="10" t="n">
        <f aca="false">Q192*(1+Inputs!$B$42)-U193+MAX(P193,0)</f>
        <v>604188.880834989</v>
      </c>
      <c r="R193" s="10" t="n">
        <f aca="false">R192+Q192*Inputs!$B$48-U193+MAX(P193,0)</f>
        <v>301997.642170028</v>
      </c>
      <c r="S193" s="10" t="n">
        <f aca="false">S192*(1+Inputs!$B$42)-V193+MAX(-P193,0)</f>
        <v>0</v>
      </c>
      <c r="T193" s="10" t="n">
        <f aca="false">T192+S192*Inputs!$B$48-V193+MAX(-P193,0)</f>
        <v>0</v>
      </c>
      <c r="U193" s="10" t="n">
        <f aca="false">Q192*Inputs!$B$48*Inputs!$B$29</f>
        <v>82.6000991514847</v>
      </c>
      <c r="V193" s="10" t="n">
        <f aca="false">S192*Inputs!$B$48*Inputs!$B$29</f>
        <v>0</v>
      </c>
    </row>
    <row r="194" customFormat="false" ht="15" hidden="false" customHeight="false" outlineLevel="0" collapsed="false">
      <c r="A194" s="16" t="n">
        <v>193</v>
      </c>
      <c r="B194" s="16" t="n">
        <f aca="false">ROUNDUP(A194/12,0)</f>
        <v>17</v>
      </c>
      <c r="C194" s="10" t="n">
        <f aca="false">F193</f>
        <v>287821.889013758</v>
      </c>
      <c r="D194" s="10" t="n">
        <f aca="false">IF(AND(A194&lt;=Inputs!$B$9*12,C194&gt;0.000001),C194*Inputs!$B$10/12,0)</f>
        <v>1746.1194600168</v>
      </c>
      <c r="E194" s="10" t="n">
        <f aca="false">IF(AND(A194&lt;=Inputs!$B$9*12,C194&gt;0.000001),MIN(C194,Inputs!$B$41-D194),0)</f>
        <v>990.729668963909</v>
      </c>
      <c r="F194" s="10" t="n">
        <f aca="false">C194-E194</f>
        <v>286831.159344794</v>
      </c>
      <c r="G194" s="10" t="n">
        <f aca="false">IF(AND(Inputs!$B$43=1,C194&gt;0.78*Inputs!$B$7,A194&lt;=Inputs!$B$9*6),Inputs!$B$16*Inputs!$B$39/12,0)</f>
        <v>0</v>
      </c>
      <c r="H194" s="10" t="n">
        <f aca="false">IF(B194=1,Inputs!$B$7,INDEX(Annual!$AC$2:$AC$51,B194-1))</f>
        <v>936490.622863596</v>
      </c>
      <c r="I194" s="10" t="n">
        <f aca="false">Inputs!$B$12*IF(Inputs!$B$35="",H194,MIN(H194,Inputs!$B$7*(1+Inputs!$B$35)^(B194-1)))/12</f>
        <v>702.367967147697</v>
      </c>
      <c r="J194" s="10" t="n">
        <f aca="false">Inputs!$B$13*Inputs!$B$7*(1+Inputs!$B$22)^(B194-1)/12</f>
        <v>324.077288985379</v>
      </c>
      <c r="K194" s="10" t="n">
        <f aca="false">Inputs!$B$14*Inputs!$B$7*(1+Inputs!$B$22)^(B194-1)/12</f>
        <v>648.154577970758</v>
      </c>
      <c r="L194" s="10" t="n">
        <f aca="false">Inputs!$B$15*(1+Inputs!$B$22)^(B194-1)</f>
        <v>0</v>
      </c>
      <c r="M194" s="10" t="n">
        <f aca="false">INDEX(Annual!$N$2:$N$51,B194)/12</f>
        <v>0</v>
      </c>
      <c r="N194" s="10" t="n">
        <f aca="false">D194+E194+G194+I194+J194+K194+L194-M194</f>
        <v>4411.44896308454</v>
      </c>
      <c r="O194" s="10" t="n">
        <f aca="false">Inputs!$B$17*(1+Inputs!$B$18)^(B194-1)+Inputs!$B$19*(1+Inputs!$B$22)^(B194-1)</f>
        <v>4358.29866437816</v>
      </c>
      <c r="P194" s="10" t="n">
        <f aca="false">N194-O194</f>
        <v>53.1502987063805</v>
      </c>
      <c r="Q194" s="10" t="n">
        <f aca="false">Q193*(1+Inputs!$B$42)-U194+MAX(P194,0)</f>
        <v>607575.126936275</v>
      </c>
      <c r="R194" s="10" t="n">
        <f aca="false">R193+Q193*Inputs!$B$48-U194+MAX(P194,0)</f>
        <v>302521.556305051</v>
      </c>
      <c r="S194" s="10" t="n">
        <f aca="false">S193*(1+Inputs!$B$42)-V194+MAX(-P194,0)</f>
        <v>0</v>
      </c>
      <c r="T194" s="10" t="n">
        <f aca="false">T193+S193*Inputs!$B$48-V194+MAX(-P194,0)</f>
        <v>0</v>
      </c>
      <c r="U194" s="10" t="n">
        <f aca="false">Q193*Inputs!$B$48*Inputs!$B$29</f>
        <v>83.075971114811</v>
      </c>
      <c r="V194" s="10" t="n">
        <f aca="false">S193*Inputs!$B$48*Inputs!$B$29</f>
        <v>0</v>
      </c>
    </row>
    <row r="195" customFormat="false" ht="15" hidden="false" customHeight="false" outlineLevel="0" collapsed="false">
      <c r="A195" s="16" t="n">
        <v>194</v>
      </c>
      <c r="B195" s="16" t="n">
        <f aca="false">ROUNDUP(A195/12,0)</f>
        <v>17</v>
      </c>
      <c r="C195" s="10" t="n">
        <f aca="false">F194</f>
        <v>286831.159344794</v>
      </c>
      <c r="D195" s="10" t="n">
        <f aca="false">IF(AND(A195&lt;=Inputs!$B$9*12,C195&gt;0.000001),C195*Inputs!$B$10/12,0)</f>
        <v>1740.10903335842</v>
      </c>
      <c r="E195" s="10" t="n">
        <f aca="false">IF(AND(A195&lt;=Inputs!$B$9*12,C195&gt;0.000001),MIN(C195,Inputs!$B$41-D195),0)</f>
        <v>996.740095622291</v>
      </c>
      <c r="F195" s="10" t="n">
        <f aca="false">C195-E195</f>
        <v>285834.419249171</v>
      </c>
      <c r="G195" s="10" t="n">
        <f aca="false">IF(AND(Inputs!$B$43=1,C195&gt;0.78*Inputs!$B$7,A195&lt;=Inputs!$B$9*6),Inputs!$B$16*Inputs!$B$39/12,0)</f>
        <v>0</v>
      </c>
      <c r="H195" s="10" t="n">
        <f aca="false">IF(B195=1,Inputs!$B$7,INDEX(Annual!$AC$2:$AC$51,B195-1))</f>
        <v>936490.622863596</v>
      </c>
      <c r="I195" s="10" t="n">
        <f aca="false">Inputs!$B$12*IF(Inputs!$B$35="",H195,MIN(H195,Inputs!$B$7*(1+Inputs!$B$35)^(B195-1)))/12</f>
        <v>702.367967147697</v>
      </c>
      <c r="J195" s="10" t="n">
        <f aca="false">Inputs!$B$13*Inputs!$B$7*(1+Inputs!$B$22)^(B195-1)/12</f>
        <v>324.077288985379</v>
      </c>
      <c r="K195" s="10" t="n">
        <f aca="false">Inputs!$B$14*Inputs!$B$7*(1+Inputs!$B$22)^(B195-1)/12</f>
        <v>648.154577970758</v>
      </c>
      <c r="L195" s="10" t="n">
        <f aca="false">Inputs!$B$15*(1+Inputs!$B$22)^(B195-1)</f>
        <v>0</v>
      </c>
      <c r="M195" s="10" t="n">
        <f aca="false">INDEX(Annual!$N$2:$N$51,B195)/12</f>
        <v>0</v>
      </c>
      <c r="N195" s="10" t="n">
        <f aca="false">D195+E195+G195+I195+J195+K195+L195-M195</f>
        <v>4411.44896308454</v>
      </c>
      <c r="O195" s="10" t="n">
        <f aca="false">Inputs!$B$17*(1+Inputs!$B$18)^(B195-1)+Inputs!$B$19*(1+Inputs!$B$22)^(B195-1)</f>
        <v>4358.29866437816</v>
      </c>
      <c r="P195" s="10" t="n">
        <f aca="false">N195-O195</f>
        <v>53.1502987063805</v>
      </c>
      <c r="Q195" s="10" t="n">
        <f aca="false">Q194*(1+Inputs!$B$42)-U195+MAX(P195,0)</f>
        <v>610980.053756497</v>
      </c>
      <c r="R195" s="10" t="n">
        <f aca="false">R194+Q194*Inputs!$B$48-U195+MAX(P195,0)</f>
        <v>303048.108890162</v>
      </c>
      <c r="S195" s="10" t="n">
        <f aca="false">S194*(1+Inputs!$B$42)-V195+MAX(-P195,0)</f>
        <v>0</v>
      </c>
      <c r="T195" s="10" t="n">
        <f aca="false">T194+S194*Inputs!$B$48-V195+MAX(-P195,0)</f>
        <v>0</v>
      </c>
      <c r="U195" s="10" t="n">
        <f aca="false">Q194*Inputs!$B$48*Inputs!$B$29</f>
        <v>83.5415799537379</v>
      </c>
      <c r="V195" s="10" t="n">
        <f aca="false">S194*Inputs!$B$48*Inputs!$B$29</f>
        <v>0</v>
      </c>
    </row>
    <row r="196" customFormat="false" ht="15" hidden="false" customHeight="false" outlineLevel="0" collapsed="false">
      <c r="A196" s="16" t="n">
        <v>195</v>
      </c>
      <c r="B196" s="16" t="n">
        <f aca="false">ROUNDUP(A196/12,0)</f>
        <v>17</v>
      </c>
      <c r="C196" s="10" t="n">
        <f aca="false">F195</f>
        <v>285834.419249171</v>
      </c>
      <c r="D196" s="10" t="n">
        <f aca="false">IF(AND(A196&lt;=Inputs!$B$9*12,C196&gt;0.000001),C196*Inputs!$B$10/12,0)</f>
        <v>1734.06214344497</v>
      </c>
      <c r="E196" s="10" t="n">
        <f aca="false">IF(AND(A196&lt;=Inputs!$B$9*12,C196&gt;0.000001),MIN(C196,Inputs!$B$41-D196),0)</f>
        <v>1002.78698553573</v>
      </c>
      <c r="F196" s="10" t="n">
        <f aca="false">C196-E196</f>
        <v>284831.632263636</v>
      </c>
      <c r="G196" s="10" t="n">
        <f aca="false">IF(AND(Inputs!$B$43=1,C196&gt;0.78*Inputs!$B$7,A196&lt;=Inputs!$B$9*6),Inputs!$B$16*Inputs!$B$39/12,0)</f>
        <v>0</v>
      </c>
      <c r="H196" s="10" t="n">
        <f aca="false">IF(B196=1,Inputs!$B$7,INDEX(Annual!$AC$2:$AC$51,B196-1))</f>
        <v>936490.622863596</v>
      </c>
      <c r="I196" s="10" t="n">
        <f aca="false">Inputs!$B$12*IF(Inputs!$B$35="",H196,MIN(H196,Inputs!$B$7*(1+Inputs!$B$35)^(B196-1)))/12</f>
        <v>702.367967147697</v>
      </c>
      <c r="J196" s="10" t="n">
        <f aca="false">Inputs!$B$13*Inputs!$B$7*(1+Inputs!$B$22)^(B196-1)/12</f>
        <v>324.077288985379</v>
      </c>
      <c r="K196" s="10" t="n">
        <f aca="false">Inputs!$B$14*Inputs!$B$7*(1+Inputs!$B$22)^(B196-1)/12</f>
        <v>648.154577970758</v>
      </c>
      <c r="L196" s="10" t="n">
        <f aca="false">Inputs!$B$15*(1+Inputs!$B$22)^(B196-1)</f>
        <v>0</v>
      </c>
      <c r="M196" s="10" t="n">
        <f aca="false">INDEX(Annual!$N$2:$N$51,B196)/12</f>
        <v>0</v>
      </c>
      <c r="N196" s="10" t="n">
        <f aca="false">D196+E196+G196+I196+J196+K196+L196-M196</f>
        <v>4411.44896308454</v>
      </c>
      <c r="O196" s="10" t="n">
        <f aca="false">Inputs!$B$17*(1+Inputs!$B$18)^(B196-1)+Inputs!$B$19*(1+Inputs!$B$22)^(B196-1)</f>
        <v>4358.29866437816</v>
      </c>
      <c r="P196" s="10" t="n">
        <f aca="false">N196-O196</f>
        <v>53.1502987063805</v>
      </c>
      <c r="Q196" s="10" t="n">
        <f aca="false">Q195*(1+Inputs!$B$42)-U196+MAX(P196,0)</f>
        <v>614403.764350556</v>
      </c>
      <c r="R196" s="10" t="n">
        <f aca="false">R195+Q195*Inputs!$B$48-U196+MAX(P196,0)</f>
        <v>303577.314480754</v>
      </c>
      <c r="S196" s="10" t="n">
        <f aca="false">S195*(1+Inputs!$B$42)-V196+MAX(-P196,0)</f>
        <v>0</v>
      </c>
      <c r="T196" s="10" t="n">
        <f aca="false">T195+S195*Inputs!$B$48-V196+MAX(-P196,0)</f>
        <v>0</v>
      </c>
      <c r="U196" s="10" t="n">
        <f aca="false">Q195*Inputs!$B$48*Inputs!$B$29</f>
        <v>84.0097573915183</v>
      </c>
      <c r="V196" s="10" t="n">
        <f aca="false">S195*Inputs!$B$48*Inputs!$B$29</f>
        <v>0</v>
      </c>
    </row>
    <row r="197" customFormat="false" ht="15" hidden="false" customHeight="false" outlineLevel="0" collapsed="false">
      <c r="A197" s="16" t="n">
        <v>196</v>
      </c>
      <c r="B197" s="16" t="n">
        <f aca="false">ROUNDUP(A197/12,0)</f>
        <v>17</v>
      </c>
      <c r="C197" s="10" t="n">
        <f aca="false">F196</f>
        <v>284831.632263636</v>
      </c>
      <c r="D197" s="10" t="n">
        <f aca="false">IF(AND(A197&lt;=Inputs!$B$9*12,C197&gt;0.000001),C197*Inputs!$B$10/12,0)</f>
        <v>1727.97856906606</v>
      </c>
      <c r="E197" s="10" t="n">
        <f aca="false">IF(AND(A197&lt;=Inputs!$B$9*12,C197&gt;0.000001),MIN(C197,Inputs!$B$41-D197),0)</f>
        <v>1008.87055991465</v>
      </c>
      <c r="F197" s="10" t="n">
        <f aca="false">C197-E197</f>
        <v>283822.761703721</v>
      </c>
      <c r="G197" s="10" t="n">
        <f aca="false">IF(AND(Inputs!$B$43=1,C197&gt;0.78*Inputs!$B$7,A197&lt;=Inputs!$B$9*6),Inputs!$B$16*Inputs!$B$39/12,0)</f>
        <v>0</v>
      </c>
      <c r="H197" s="10" t="n">
        <f aca="false">IF(B197=1,Inputs!$B$7,INDEX(Annual!$AC$2:$AC$51,B197-1))</f>
        <v>936490.622863596</v>
      </c>
      <c r="I197" s="10" t="n">
        <f aca="false">Inputs!$B$12*IF(Inputs!$B$35="",H197,MIN(H197,Inputs!$B$7*(1+Inputs!$B$35)^(B197-1)))/12</f>
        <v>702.367967147697</v>
      </c>
      <c r="J197" s="10" t="n">
        <f aca="false">Inputs!$B$13*Inputs!$B$7*(1+Inputs!$B$22)^(B197-1)/12</f>
        <v>324.077288985379</v>
      </c>
      <c r="K197" s="10" t="n">
        <f aca="false">Inputs!$B$14*Inputs!$B$7*(1+Inputs!$B$22)^(B197-1)/12</f>
        <v>648.154577970758</v>
      </c>
      <c r="L197" s="10" t="n">
        <f aca="false">Inputs!$B$15*(1+Inputs!$B$22)^(B197-1)</f>
        <v>0</v>
      </c>
      <c r="M197" s="10" t="n">
        <f aca="false">INDEX(Annual!$N$2:$N$51,B197)/12</f>
        <v>0</v>
      </c>
      <c r="N197" s="10" t="n">
        <f aca="false">D197+E197+G197+I197+J197+K197+L197-M197</f>
        <v>4411.44896308454</v>
      </c>
      <c r="O197" s="10" t="n">
        <f aca="false">Inputs!$B$17*(1+Inputs!$B$18)^(B197-1)+Inputs!$B$19*(1+Inputs!$B$22)^(B197-1)</f>
        <v>4358.29866437816</v>
      </c>
      <c r="P197" s="10" t="n">
        <f aca="false">N197-O197</f>
        <v>53.1502987063805</v>
      </c>
      <c r="Q197" s="10" t="n">
        <f aca="false">Q196*(1+Inputs!$B$42)-U197+MAX(P197,0)</f>
        <v>617846.362341871</v>
      </c>
      <c r="R197" s="10" t="n">
        <f aca="false">R196+Q196*Inputs!$B$48-U197+MAX(P197,0)</f>
        <v>304109.187712517</v>
      </c>
      <c r="S197" s="10" t="n">
        <f aca="false">S196*(1+Inputs!$B$42)-V197+MAX(-P197,0)</f>
        <v>0</v>
      </c>
      <c r="T197" s="10" t="n">
        <f aca="false">T196+S196*Inputs!$B$48-V197+MAX(-P197,0)</f>
        <v>0</v>
      </c>
      <c r="U197" s="10" t="n">
        <f aca="false">Q196*Inputs!$B$48*Inputs!$B$29</f>
        <v>84.4805175982014</v>
      </c>
      <c r="V197" s="10" t="n">
        <f aca="false">S196*Inputs!$B$48*Inputs!$B$29</f>
        <v>0</v>
      </c>
    </row>
    <row r="198" customFormat="false" ht="15" hidden="false" customHeight="false" outlineLevel="0" collapsed="false">
      <c r="A198" s="16" t="n">
        <v>197</v>
      </c>
      <c r="B198" s="16" t="n">
        <f aca="false">ROUNDUP(A198/12,0)</f>
        <v>17</v>
      </c>
      <c r="C198" s="10" t="n">
        <f aca="false">F197</f>
        <v>283822.761703721</v>
      </c>
      <c r="D198" s="10" t="n">
        <f aca="false">IF(AND(A198&lt;=Inputs!$B$9*12,C198&gt;0.000001),C198*Inputs!$B$10/12,0)</f>
        <v>1721.85808766924</v>
      </c>
      <c r="E198" s="10" t="n">
        <f aca="false">IF(AND(A198&lt;=Inputs!$B$9*12,C198&gt;0.000001),MIN(C198,Inputs!$B$41-D198),0)</f>
        <v>1014.99104131147</v>
      </c>
      <c r="F198" s="10" t="n">
        <f aca="false">C198-E198</f>
        <v>282807.77066241</v>
      </c>
      <c r="G198" s="10" t="n">
        <f aca="false">IF(AND(Inputs!$B$43=1,C198&gt;0.78*Inputs!$B$7,A198&lt;=Inputs!$B$9*6),Inputs!$B$16*Inputs!$B$39/12,0)</f>
        <v>0</v>
      </c>
      <c r="H198" s="10" t="n">
        <f aca="false">IF(B198=1,Inputs!$B$7,INDEX(Annual!$AC$2:$AC$51,B198-1))</f>
        <v>936490.622863596</v>
      </c>
      <c r="I198" s="10" t="n">
        <f aca="false">Inputs!$B$12*IF(Inputs!$B$35="",H198,MIN(H198,Inputs!$B$7*(1+Inputs!$B$35)^(B198-1)))/12</f>
        <v>702.367967147697</v>
      </c>
      <c r="J198" s="10" t="n">
        <f aca="false">Inputs!$B$13*Inputs!$B$7*(1+Inputs!$B$22)^(B198-1)/12</f>
        <v>324.077288985379</v>
      </c>
      <c r="K198" s="10" t="n">
        <f aca="false">Inputs!$B$14*Inputs!$B$7*(1+Inputs!$B$22)^(B198-1)/12</f>
        <v>648.154577970758</v>
      </c>
      <c r="L198" s="10" t="n">
        <f aca="false">Inputs!$B$15*(1+Inputs!$B$22)^(B198-1)</f>
        <v>0</v>
      </c>
      <c r="M198" s="10" t="n">
        <f aca="false">INDEX(Annual!$N$2:$N$51,B198)/12</f>
        <v>0</v>
      </c>
      <c r="N198" s="10" t="n">
        <f aca="false">D198+E198+G198+I198+J198+K198+L198-M198</f>
        <v>4411.44896308454</v>
      </c>
      <c r="O198" s="10" t="n">
        <f aca="false">Inputs!$B$17*(1+Inputs!$B$18)^(B198-1)+Inputs!$B$19*(1+Inputs!$B$22)^(B198-1)</f>
        <v>4358.29866437816</v>
      </c>
      <c r="P198" s="10" t="n">
        <f aca="false">N198-O198</f>
        <v>53.1502987063805</v>
      </c>
      <c r="Q198" s="10" t="n">
        <f aca="false">Q197*(1+Inputs!$B$42)-U198+MAX(P198,0)</f>
        <v>621307.951925516</v>
      </c>
      <c r="R198" s="10" t="n">
        <f aca="false">R197+Q197*Inputs!$B$48-U198+MAX(P198,0)</f>
        <v>304643.743301881</v>
      </c>
      <c r="S198" s="10" t="n">
        <f aca="false">S197*(1+Inputs!$B$42)-V198+MAX(-P198,0)</f>
        <v>0</v>
      </c>
      <c r="T198" s="10" t="n">
        <f aca="false">T197+S197*Inputs!$B$48-V198+MAX(-P198,0)</f>
        <v>0</v>
      </c>
      <c r="U198" s="10" t="n">
        <f aca="false">Q197*Inputs!$B$48*Inputs!$B$29</f>
        <v>84.9538748220073</v>
      </c>
      <c r="V198" s="10" t="n">
        <f aca="false">S197*Inputs!$B$48*Inputs!$B$29</f>
        <v>0</v>
      </c>
    </row>
    <row r="199" customFormat="false" ht="15" hidden="false" customHeight="false" outlineLevel="0" collapsed="false">
      <c r="A199" s="16" t="n">
        <v>198</v>
      </c>
      <c r="B199" s="16" t="n">
        <f aca="false">ROUNDUP(A199/12,0)</f>
        <v>17</v>
      </c>
      <c r="C199" s="10" t="n">
        <f aca="false">F198</f>
        <v>282807.77066241</v>
      </c>
      <c r="D199" s="10" t="n">
        <f aca="false">IF(AND(A199&lt;=Inputs!$B$9*12,C199&gt;0.000001),C199*Inputs!$B$10/12,0)</f>
        <v>1715.70047535195</v>
      </c>
      <c r="E199" s="10" t="n">
        <f aca="false">IF(AND(A199&lt;=Inputs!$B$9*12,C199&gt;0.000001),MIN(C199,Inputs!$B$41-D199),0)</f>
        <v>1021.14865362875</v>
      </c>
      <c r="F199" s="10" t="n">
        <f aca="false">C199-E199</f>
        <v>281786.622008781</v>
      </c>
      <c r="G199" s="10" t="n">
        <f aca="false">IF(AND(Inputs!$B$43=1,C199&gt;0.78*Inputs!$B$7,A199&lt;=Inputs!$B$9*6),Inputs!$B$16*Inputs!$B$39/12,0)</f>
        <v>0</v>
      </c>
      <c r="H199" s="10" t="n">
        <f aca="false">IF(B199=1,Inputs!$B$7,INDEX(Annual!$AC$2:$AC$51,B199-1))</f>
        <v>936490.622863596</v>
      </c>
      <c r="I199" s="10" t="n">
        <f aca="false">Inputs!$B$12*IF(Inputs!$B$35="",H199,MIN(H199,Inputs!$B$7*(1+Inputs!$B$35)^(B199-1)))/12</f>
        <v>702.367967147697</v>
      </c>
      <c r="J199" s="10" t="n">
        <f aca="false">Inputs!$B$13*Inputs!$B$7*(1+Inputs!$B$22)^(B199-1)/12</f>
        <v>324.077288985379</v>
      </c>
      <c r="K199" s="10" t="n">
        <f aca="false">Inputs!$B$14*Inputs!$B$7*(1+Inputs!$B$22)^(B199-1)/12</f>
        <v>648.154577970758</v>
      </c>
      <c r="L199" s="10" t="n">
        <f aca="false">Inputs!$B$15*(1+Inputs!$B$22)^(B199-1)</f>
        <v>0</v>
      </c>
      <c r="M199" s="10" t="n">
        <f aca="false">INDEX(Annual!$N$2:$N$51,B199)/12</f>
        <v>0</v>
      </c>
      <c r="N199" s="10" t="n">
        <f aca="false">D199+E199+G199+I199+J199+K199+L199-M199</f>
        <v>4411.44896308454</v>
      </c>
      <c r="O199" s="10" t="n">
        <f aca="false">Inputs!$B$17*(1+Inputs!$B$18)^(B199-1)+Inputs!$B$19*(1+Inputs!$B$22)^(B199-1)</f>
        <v>4358.29866437816</v>
      </c>
      <c r="P199" s="10" t="n">
        <f aca="false">N199-O199</f>
        <v>53.1502987063805</v>
      </c>
      <c r="Q199" s="10" t="n">
        <f aca="false">Q198*(1+Inputs!$B$42)-U199+MAX(P199,0)</f>
        <v>624788.63787137</v>
      </c>
      <c r="R199" s="10" t="n">
        <f aca="false">R198+Q198*Inputs!$B$48-U199+MAX(P199,0)</f>
        <v>305180.996046463</v>
      </c>
      <c r="S199" s="10" t="n">
        <f aca="false">S198*(1+Inputs!$B$42)-V199+MAX(-P199,0)</f>
        <v>0</v>
      </c>
      <c r="T199" s="10" t="n">
        <f aca="false">T198+S198*Inputs!$B$48-V199+MAX(-P199,0)</f>
        <v>0</v>
      </c>
      <c r="U199" s="10" t="n">
        <f aca="false">Q198*Inputs!$B$48*Inputs!$B$29</f>
        <v>85.4298433897584</v>
      </c>
      <c r="V199" s="10" t="n">
        <f aca="false">S198*Inputs!$B$48*Inputs!$B$29</f>
        <v>0</v>
      </c>
    </row>
    <row r="200" customFormat="false" ht="15" hidden="false" customHeight="false" outlineLevel="0" collapsed="false">
      <c r="A200" s="16" t="n">
        <v>199</v>
      </c>
      <c r="B200" s="16" t="n">
        <f aca="false">ROUNDUP(A200/12,0)</f>
        <v>17</v>
      </c>
      <c r="C200" s="10" t="n">
        <f aca="false">F199</f>
        <v>281786.622008781</v>
      </c>
      <c r="D200" s="10" t="n">
        <f aca="false">IF(AND(A200&lt;=Inputs!$B$9*12,C200&gt;0.000001),C200*Inputs!$B$10/12,0)</f>
        <v>1709.50550685327</v>
      </c>
      <c r="E200" s="10" t="n">
        <f aca="false">IF(AND(A200&lt;=Inputs!$B$9*12,C200&gt;0.000001),MIN(C200,Inputs!$B$41-D200),0)</f>
        <v>1027.34362212744</v>
      </c>
      <c r="F200" s="10" t="n">
        <f aca="false">C200-E200</f>
        <v>280759.278386653</v>
      </c>
      <c r="G200" s="10" t="n">
        <f aca="false">IF(AND(Inputs!$B$43=1,C200&gt;0.78*Inputs!$B$7,A200&lt;=Inputs!$B$9*6),Inputs!$B$16*Inputs!$B$39/12,0)</f>
        <v>0</v>
      </c>
      <c r="H200" s="10" t="n">
        <f aca="false">IF(B200=1,Inputs!$B$7,INDEX(Annual!$AC$2:$AC$51,B200-1))</f>
        <v>936490.622863596</v>
      </c>
      <c r="I200" s="10" t="n">
        <f aca="false">Inputs!$B$12*IF(Inputs!$B$35="",H200,MIN(H200,Inputs!$B$7*(1+Inputs!$B$35)^(B200-1)))/12</f>
        <v>702.367967147697</v>
      </c>
      <c r="J200" s="10" t="n">
        <f aca="false">Inputs!$B$13*Inputs!$B$7*(1+Inputs!$B$22)^(B200-1)/12</f>
        <v>324.077288985379</v>
      </c>
      <c r="K200" s="10" t="n">
        <f aca="false">Inputs!$B$14*Inputs!$B$7*(1+Inputs!$B$22)^(B200-1)/12</f>
        <v>648.154577970758</v>
      </c>
      <c r="L200" s="10" t="n">
        <f aca="false">Inputs!$B$15*(1+Inputs!$B$22)^(B200-1)</f>
        <v>0</v>
      </c>
      <c r="M200" s="10" t="n">
        <f aca="false">INDEX(Annual!$N$2:$N$51,B200)/12</f>
        <v>0</v>
      </c>
      <c r="N200" s="10" t="n">
        <f aca="false">D200+E200+G200+I200+J200+K200+L200-M200</f>
        <v>4411.44896308454</v>
      </c>
      <c r="O200" s="10" t="n">
        <f aca="false">Inputs!$B$17*(1+Inputs!$B$18)^(B200-1)+Inputs!$B$19*(1+Inputs!$B$22)^(B200-1)</f>
        <v>4358.29866437816</v>
      </c>
      <c r="P200" s="10" t="n">
        <f aca="false">N200-O200</f>
        <v>53.1502987063805</v>
      </c>
      <c r="Q200" s="10" t="n">
        <f aca="false">Q199*(1+Inputs!$B$42)-U200+MAX(P200,0)</f>
        <v>628288.525527293</v>
      </c>
      <c r="R200" s="10" t="n">
        <f aca="false">R199+Q199*Inputs!$B$48-U200+MAX(P200,0)</f>
        <v>305720.960825511</v>
      </c>
      <c r="S200" s="10" t="n">
        <f aca="false">S199*(1+Inputs!$B$42)-V200+MAX(-P200,0)</f>
        <v>0</v>
      </c>
      <c r="T200" s="10" t="n">
        <f aca="false">T199+S199*Inputs!$B$48-V200+MAX(-P200,0)</f>
        <v>0</v>
      </c>
      <c r="U200" s="10" t="n">
        <f aca="false">Q199*Inputs!$B$48*Inputs!$B$29</f>
        <v>85.9084377073134</v>
      </c>
      <c r="V200" s="10" t="n">
        <f aca="false">S199*Inputs!$B$48*Inputs!$B$29</f>
        <v>0</v>
      </c>
    </row>
    <row r="201" customFormat="false" ht="15" hidden="false" customHeight="false" outlineLevel="0" collapsed="false">
      <c r="A201" s="16" t="n">
        <v>200</v>
      </c>
      <c r="B201" s="16" t="n">
        <f aca="false">ROUNDUP(A201/12,0)</f>
        <v>17</v>
      </c>
      <c r="C201" s="10" t="n">
        <f aca="false">F200</f>
        <v>280759.278386653</v>
      </c>
      <c r="D201" s="10" t="n">
        <f aca="false">IF(AND(A201&lt;=Inputs!$B$9*12,C201&gt;0.000001),C201*Inputs!$B$10/12,0)</f>
        <v>1703.2729555457</v>
      </c>
      <c r="E201" s="10" t="n">
        <f aca="false">IF(AND(A201&lt;=Inputs!$B$9*12,C201&gt;0.000001),MIN(C201,Inputs!$B$41-D201),0)</f>
        <v>1033.57617343501</v>
      </c>
      <c r="F201" s="10" t="n">
        <f aca="false">C201-E201</f>
        <v>279725.702213218</v>
      </c>
      <c r="G201" s="10" t="n">
        <f aca="false">IF(AND(Inputs!$B$43=1,C201&gt;0.78*Inputs!$B$7,A201&lt;=Inputs!$B$9*6),Inputs!$B$16*Inputs!$B$39/12,0)</f>
        <v>0</v>
      </c>
      <c r="H201" s="10" t="n">
        <f aca="false">IF(B201=1,Inputs!$B$7,INDEX(Annual!$AC$2:$AC$51,B201-1))</f>
        <v>936490.622863596</v>
      </c>
      <c r="I201" s="10" t="n">
        <f aca="false">Inputs!$B$12*IF(Inputs!$B$35="",H201,MIN(H201,Inputs!$B$7*(1+Inputs!$B$35)^(B201-1)))/12</f>
        <v>702.367967147697</v>
      </c>
      <c r="J201" s="10" t="n">
        <f aca="false">Inputs!$B$13*Inputs!$B$7*(1+Inputs!$B$22)^(B201-1)/12</f>
        <v>324.077288985379</v>
      </c>
      <c r="K201" s="10" t="n">
        <f aca="false">Inputs!$B$14*Inputs!$B$7*(1+Inputs!$B$22)^(B201-1)/12</f>
        <v>648.154577970758</v>
      </c>
      <c r="L201" s="10" t="n">
        <f aca="false">Inputs!$B$15*(1+Inputs!$B$22)^(B201-1)</f>
        <v>0</v>
      </c>
      <c r="M201" s="10" t="n">
        <f aca="false">INDEX(Annual!$N$2:$N$51,B201)/12</f>
        <v>0</v>
      </c>
      <c r="N201" s="10" t="n">
        <f aca="false">D201+E201+G201+I201+J201+K201+L201-M201</f>
        <v>4411.44896308454</v>
      </c>
      <c r="O201" s="10" t="n">
        <f aca="false">Inputs!$B$17*(1+Inputs!$B$18)^(B201-1)+Inputs!$B$19*(1+Inputs!$B$22)^(B201-1)</f>
        <v>4358.29866437816</v>
      </c>
      <c r="P201" s="10" t="n">
        <f aca="false">N201-O201</f>
        <v>53.1502987063805</v>
      </c>
      <c r="Q201" s="10" t="n">
        <f aca="false">Q200*(1+Inputs!$B$42)-U201+MAX(P201,0)</f>
        <v>631807.720822309</v>
      </c>
      <c r="R201" s="10" t="n">
        <f aca="false">R200+Q200*Inputs!$B$48-U201+MAX(P201,0)</f>
        <v>306263.652600357</v>
      </c>
      <c r="S201" s="10" t="n">
        <f aca="false">S200*(1+Inputs!$B$42)-V201+MAX(-P201,0)</f>
        <v>0</v>
      </c>
      <c r="T201" s="10" t="n">
        <f aca="false">T200+S200*Inputs!$B$48-V201+MAX(-P201,0)</f>
        <v>0</v>
      </c>
      <c r="U201" s="10" t="n">
        <f aca="false">Q200*Inputs!$B$48*Inputs!$B$29</f>
        <v>86.3896722600028</v>
      </c>
      <c r="V201" s="10" t="n">
        <f aca="false">S200*Inputs!$B$48*Inputs!$B$29</f>
        <v>0</v>
      </c>
    </row>
    <row r="202" customFormat="false" ht="15" hidden="false" customHeight="false" outlineLevel="0" collapsed="false">
      <c r="A202" s="16" t="n">
        <v>201</v>
      </c>
      <c r="B202" s="16" t="n">
        <f aca="false">ROUNDUP(A202/12,0)</f>
        <v>17</v>
      </c>
      <c r="C202" s="10" t="n">
        <f aca="false">F201</f>
        <v>279725.702213218</v>
      </c>
      <c r="D202" s="10" t="n">
        <f aca="false">IF(AND(A202&lt;=Inputs!$B$9*12,C202&gt;0.000001),C202*Inputs!$B$10/12,0)</f>
        <v>1697.00259342686</v>
      </c>
      <c r="E202" s="10" t="n">
        <f aca="false">IF(AND(A202&lt;=Inputs!$B$9*12,C202&gt;0.000001),MIN(C202,Inputs!$B$41-D202),0)</f>
        <v>1039.84653555385</v>
      </c>
      <c r="F202" s="10" t="n">
        <f aca="false">C202-E202</f>
        <v>278685.855677664</v>
      </c>
      <c r="G202" s="10" t="n">
        <f aca="false">IF(AND(Inputs!$B$43=1,C202&gt;0.78*Inputs!$B$7,A202&lt;=Inputs!$B$9*6),Inputs!$B$16*Inputs!$B$39/12,0)</f>
        <v>0</v>
      </c>
      <c r="H202" s="10" t="n">
        <f aca="false">IF(B202=1,Inputs!$B$7,INDEX(Annual!$AC$2:$AC$51,B202-1))</f>
        <v>936490.622863596</v>
      </c>
      <c r="I202" s="10" t="n">
        <f aca="false">Inputs!$B$12*IF(Inputs!$B$35="",H202,MIN(H202,Inputs!$B$7*(1+Inputs!$B$35)^(B202-1)))/12</f>
        <v>702.367967147697</v>
      </c>
      <c r="J202" s="10" t="n">
        <f aca="false">Inputs!$B$13*Inputs!$B$7*(1+Inputs!$B$22)^(B202-1)/12</f>
        <v>324.077288985379</v>
      </c>
      <c r="K202" s="10" t="n">
        <f aca="false">Inputs!$B$14*Inputs!$B$7*(1+Inputs!$B$22)^(B202-1)/12</f>
        <v>648.154577970758</v>
      </c>
      <c r="L202" s="10" t="n">
        <f aca="false">Inputs!$B$15*(1+Inputs!$B$22)^(B202-1)</f>
        <v>0</v>
      </c>
      <c r="M202" s="10" t="n">
        <f aca="false">INDEX(Annual!$N$2:$N$51,B202)/12</f>
        <v>0</v>
      </c>
      <c r="N202" s="10" t="n">
        <f aca="false">D202+E202+G202+I202+J202+K202+L202-M202</f>
        <v>4411.44896308454</v>
      </c>
      <c r="O202" s="10" t="n">
        <f aca="false">Inputs!$B$17*(1+Inputs!$B$18)^(B202-1)+Inputs!$B$19*(1+Inputs!$B$22)^(B202-1)</f>
        <v>4358.29866437816</v>
      </c>
      <c r="P202" s="10" t="n">
        <f aca="false">N202-O202</f>
        <v>53.1502987063805</v>
      </c>
      <c r="Q202" s="10" t="n">
        <f aca="false">Q201*(1+Inputs!$B$42)-U202+MAX(P202,0)</f>
        <v>635346.330269817</v>
      </c>
      <c r="R202" s="10" t="n">
        <f aca="false">R201+Q201*Inputs!$B$48-U202+MAX(P202,0)</f>
        <v>306809.086414871</v>
      </c>
      <c r="S202" s="10" t="n">
        <f aca="false">S201*(1+Inputs!$B$42)-V202+MAX(-P202,0)</f>
        <v>0</v>
      </c>
      <c r="T202" s="10" t="n">
        <f aca="false">T201+S201*Inputs!$B$48-V202+MAX(-P202,0)</f>
        <v>0</v>
      </c>
      <c r="U202" s="10" t="n">
        <f aca="false">Q201*Inputs!$B$48*Inputs!$B$29</f>
        <v>86.8735616130675</v>
      </c>
      <c r="V202" s="10" t="n">
        <f aca="false">S201*Inputs!$B$48*Inputs!$B$29</f>
        <v>0</v>
      </c>
    </row>
    <row r="203" customFormat="false" ht="15" hidden="false" customHeight="false" outlineLevel="0" collapsed="false">
      <c r="A203" s="16" t="n">
        <v>202</v>
      </c>
      <c r="B203" s="16" t="n">
        <f aca="false">ROUNDUP(A203/12,0)</f>
        <v>17</v>
      </c>
      <c r="C203" s="10" t="n">
        <f aca="false">F202</f>
        <v>278685.855677664</v>
      </c>
      <c r="D203" s="10" t="n">
        <f aca="false">IF(AND(A203&lt;=Inputs!$B$9*12,C203&gt;0.000001),C203*Inputs!$B$10/12,0)</f>
        <v>1690.69419111116</v>
      </c>
      <c r="E203" s="10" t="n">
        <f aca="false">IF(AND(A203&lt;=Inputs!$B$9*12,C203&gt;0.000001),MIN(C203,Inputs!$B$41-D203),0)</f>
        <v>1046.15493786954</v>
      </c>
      <c r="F203" s="10" t="n">
        <f aca="false">C203-E203</f>
        <v>277639.700739795</v>
      </c>
      <c r="G203" s="10" t="n">
        <f aca="false">IF(AND(Inputs!$B$43=1,C203&gt;0.78*Inputs!$B$7,A203&lt;=Inputs!$B$9*6),Inputs!$B$16*Inputs!$B$39/12,0)</f>
        <v>0</v>
      </c>
      <c r="H203" s="10" t="n">
        <f aca="false">IF(B203=1,Inputs!$B$7,INDEX(Annual!$AC$2:$AC$51,B203-1))</f>
        <v>936490.622863596</v>
      </c>
      <c r="I203" s="10" t="n">
        <f aca="false">Inputs!$B$12*IF(Inputs!$B$35="",H203,MIN(H203,Inputs!$B$7*(1+Inputs!$B$35)^(B203-1)))/12</f>
        <v>702.367967147697</v>
      </c>
      <c r="J203" s="10" t="n">
        <f aca="false">Inputs!$B$13*Inputs!$B$7*(1+Inputs!$B$22)^(B203-1)/12</f>
        <v>324.077288985379</v>
      </c>
      <c r="K203" s="10" t="n">
        <f aca="false">Inputs!$B$14*Inputs!$B$7*(1+Inputs!$B$22)^(B203-1)/12</f>
        <v>648.154577970758</v>
      </c>
      <c r="L203" s="10" t="n">
        <f aca="false">Inputs!$B$15*(1+Inputs!$B$22)^(B203-1)</f>
        <v>0</v>
      </c>
      <c r="M203" s="10" t="n">
        <f aca="false">INDEX(Annual!$N$2:$N$51,B203)/12</f>
        <v>0</v>
      </c>
      <c r="N203" s="10" t="n">
        <f aca="false">D203+E203+G203+I203+J203+K203+L203-M203</f>
        <v>4411.44896308454</v>
      </c>
      <c r="O203" s="10" t="n">
        <f aca="false">Inputs!$B$17*(1+Inputs!$B$18)^(B203-1)+Inputs!$B$19*(1+Inputs!$B$22)^(B203-1)</f>
        <v>4358.29866437816</v>
      </c>
      <c r="P203" s="10" t="n">
        <f aca="false">N203-O203</f>
        <v>53.1502987063805</v>
      </c>
      <c r="Q203" s="10" t="n">
        <f aca="false">Q202*(1+Inputs!$B$42)-U203+MAX(P203,0)</f>
        <v>638904.460970811</v>
      </c>
      <c r="R203" s="10" t="n">
        <f aca="false">R202+Q202*Inputs!$B$48-U203+MAX(P203,0)</f>
        <v>307357.277395912</v>
      </c>
      <c r="S203" s="10" t="n">
        <f aca="false">S202*(1+Inputs!$B$42)-V203+MAX(-P203,0)</f>
        <v>0</v>
      </c>
      <c r="T203" s="10" t="n">
        <f aca="false">T202+S202*Inputs!$B$48-V203+MAX(-P203,0)</f>
        <v>0</v>
      </c>
      <c r="U203" s="10" t="n">
        <f aca="false">Q202*Inputs!$B$48*Inputs!$B$29</f>
        <v>87.3601204120998</v>
      </c>
      <c r="V203" s="10" t="n">
        <f aca="false">S202*Inputs!$B$48*Inputs!$B$29</f>
        <v>0</v>
      </c>
    </row>
    <row r="204" customFormat="false" ht="15" hidden="false" customHeight="false" outlineLevel="0" collapsed="false">
      <c r="A204" s="16" t="n">
        <v>203</v>
      </c>
      <c r="B204" s="16" t="n">
        <f aca="false">ROUNDUP(A204/12,0)</f>
        <v>17</v>
      </c>
      <c r="C204" s="10" t="n">
        <f aca="false">F203</f>
        <v>277639.700739795</v>
      </c>
      <c r="D204" s="10" t="n">
        <f aca="false">IF(AND(A204&lt;=Inputs!$B$9*12,C204&gt;0.000001),C204*Inputs!$B$10/12,0)</f>
        <v>1684.34751782142</v>
      </c>
      <c r="E204" s="10" t="n">
        <f aca="false">IF(AND(A204&lt;=Inputs!$B$9*12,C204&gt;0.000001),MIN(C204,Inputs!$B$41-D204),0)</f>
        <v>1052.50161115928</v>
      </c>
      <c r="F204" s="10" t="n">
        <f aca="false">C204-E204</f>
        <v>276587.199128636</v>
      </c>
      <c r="G204" s="10" t="n">
        <f aca="false">IF(AND(Inputs!$B$43=1,C204&gt;0.78*Inputs!$B$7,A204&lt;=Inputs!$B$9*6),Inputs!$B$16*Inputs!$B$39/12,0)</f>
        <v>0</v>
      </c>
      <c r="H204" s="10" t="n">
        <f aca="false">IF(B204=1,Inputs!$B$7,INDEX(Annual!$AC$2:$AC$51,B204-1))</f>
        <v>936490.622863596</v>
      </c>
      <c r="I204" s="10" t="n">
        <f aca="false">Inputs!$B$12*IF(Inputs!$B$35="",H204,MIN(H204,Inputs!$B$7*(1+Inputs!$B$35)^(B204-1)))/12</f>
        <v>702.367967147697</v>
      </c>
      <c r="J204" s="10" t="n">
        <f aca="false">Inputs!$B$13*Inputs!$B$7*(1+Inputs!$B$22)^(B204-1)/12</f>
        <v>324.077288985379</v>
      </c>
      <c r="K204" s="10" t="n">
        <f aca="false">Inputs!$B$14*Inputs!$B$7*(1+Inputs!$B$22)^(B204-1)/12</f>
        <v>648.154577970758</v>
      </c>
      <c r="L204" s="10" t="n">
        <f aca="false">Inputs!$B$15*(1+Inputs!$B$22)^(B204-1)</f>
        <v>0</v>
      </c>
      <c r="M204" s="10" t="n">
        <f aca="false">INDEX(Annual!$N$2:$N$51,B204)/12</f>
        <v>0</v>
      </c>
      <c r="N204" s="10" t="n">
        <f aca="false">D204+E204+G204+I204+J204+K204+L204-M204</f>
        <v>4411.44896308454</v>
      </c>
      <c r="O204" s="10" t="n">
        <f aca="false">Inputs!$B$17*(1+Inputs!$B$18)^(B204-1)+Inputs!$B$19*(1+Inputs!$B$22)^(B204-1)</f>
        <v>4358.29866437816</v>
      </c>
      <c r="P204" s="10" t="n">
        <f aca="false">N204-O204</f>
        <v>53.1502987063805</v>
      </c>
      <c r="Q204" s="10" t="n">
        <f aca="false">Q203*(1+Inputs!$B$42)-U204+MAX(P204,0)</f>
        <v>642482.220617125</v>
      </c>
      <c r="R204" s="10" t="n">
        <f aca="false">R203+Q203*Inputs!$B$48-U204+MAX(P204,0)</f>
        <v>307908.240753792</v>
      </c>
      <c r="S204" s="10" t="n">
        <f aca="false">S203*(1+Inputs!$B$42)-V204+MAX(-P204,0)</f>
        <v>0</v>
      </c>
      <c r="T204" s="10" t="n">
        <f aca="false">T203+S203*Inputs!$B$48-V204+MAX(-P204,0)</f>
        <v>0</v>
      </c>
      <c r="U204" s="10" t="n">
        <f aca="false">Q203*Inputs!$B$48*Inputs!$B$29</f>
        <v>87.8493633834866</v>
      </c>
      <c r="V204" s="10" t="n">
        <f aca="false">S203*Inputs!$B$48*Inputs!$B$29</f>
        <v>0</v>
      </c>
    </row>
    <row r="205" customFormat="false" ht="15" hidden="false" customHeight="false" outlineLevel="0" collapsed="false">
      <c r="A205" s="16" t="n">
        <v>204</v>
      </c>
      <c r="B205" s="16" t="n">
        <f aca="false">ROUNDUP(A205/12,0)</f>
        <v>17</v>
      </c>
      <c r="C205" s="10" t="n">
        <f aca="false">F204</f>
        <v>276587.199128636</v>
      </c>
      <c r="D205" s="10" t="n">
        <f aca="false">IF(AND(A205&lt;=Inputs!$B$9*12,C205&gt;0.000001),C205*Inputs!$B$10/12,0)</f>
        <v>1677.96234138039</v>
      </c>
      <c r="E205" s="10" t="n">
        <f aca="false">IF(AND(A205&lt;=Inputs!$B$9*12,C205&gt;0.000001),MIN(C205,Inputs!$B$41-D205),0)</f>
        <v>1058.88678760032</v>
      </c>
      <c r="F205" s="10" t="n">
        <f aca="false">C205-E205</f>
        <v>275528.312341035</v>
      </c>
      <c r="G205" s="10" t="n">
        <f aca="false">IF(AND(Inputs!$B$43=1,C205&gt;0.78*Inputs!$B$7,A205&lt;=Inputs!$B$9*6),Inputs!$B$16*Inputs!$B$39/12,0)</f>
        <v>0</v>
      </c>
      <c r="H205" s="10" t="n">
        <f aca="false">IF(B205=1,Inputs!$B$7,INDEX(Annual!$AC$2:$AC$51,B205-1))</f>
        <v>936490.622863596</v>
      </c>
      <c r="I205" s="10" t="n">
        <f aca="false">Inputs!$B$12*IF(Inputs!$B$35="",H205,MIN(H205,Inputs!$B$7*(1+Inputs!$B$35)^(B205-1)))/12</f>
        <v>702.367967147697</v>
      </c>
      <c r="J205" s="10" t="n">
        <f aca="false">Inputs!$B$13*Inputs!$B$7*(1+Inputs!$B$22)^(B205-1)/12</f>
        <v>324.077288985379</v>
      </c>
      <c r="K205" s="10" t="n">
        <f aca="false">Inputs!$B$14*Inputs!$B$7*(1+Inputs!$B$22)^(B205-1)/12</f>
        <v>648.154577970758</v>
      </c>
      <c r="L205" s="10" t="n">
        <f aca="false">Inputs!$B$15*(1+Inputs!$B$22)^(B205-1)</f>
        <v>0</v>
      </c>
      <c r="M205" s="10" t="n">
        <f aca="false">INDEX(Annual!$N$2:$N$51,B205)/12</f>
        <v>0</v>
      </c>
      <c r="N205" s="10" t="n">
        <f aca="false">D205+E205+G205+I205+J205+K205+L205-M205</f>
        <v>4411.44896308454</v>
      </c>
      <c r="O205" s="10" t="n">
        <f aca="false">Inputs!$B$17*(1+Inputs!$B$18)^(B205-1)+Inputs!$B$19*(1+Inputs!$B$22)^(B205-1)</f>
        <v>4358.29866437816</v>
      </c>
      <c r="P205" s="10" t="n">
        <f aca="false">N205-O205</f>
        <v>53.1502987063805</v>
      </c>
      <c r="Q205" s="10" t="n">
        <f aca="false">Q204*(1+Inputs!$B$42)-U205+MAX(P205,0)</f>
        <v>646079.717494689</v>
      </c>
      <c r="R205" s="10" t="n">
        <f aca="false">R204+Q204*Inputs!$B$48-U205+MAX(P205,0)</f>
        <v>308461.991782729</v>
      </c>
      <c r="S205" s="10" t="n">
        <f aca="false">S204*(1+Inputs!$B$42)-V205+MAX(-P205,0)</f>
        <v>0</v>
      </c>
      <c r="T205" s="10" t="n">
        <f aca="false">T204+S204*Inputs!$B$48-V205+MAX(-P205,0)</f>
        <v>0</v>
      </c>
      <c r="U205" s="10" t="n">
        <f aca="false">Q204*Inputs!$B$48*Inputs!$B$29</f>
        <v>88.3413053348547</v>
      </c>
      <c r="V205" s="10" t="n">
        <f aca="false">S204*Inputs!$B$48*Inputs!$B$29</f>
        <v>0</v>
      </c>
    </row>
    <row r="206" customFormat="false" ht="15" hidden="false" customHeight="false" outlineLevel="0" collapsed="false">
      <c r="A206" s="16" t="n">
        <v>205</v>
      </c>
      <c r="B206" s="16" t="n">
        <f aca="false">ROUNDUP(A206/12,0)</f>
        <v>18</v>
      </c>
      <c r="C206" s="10" t="n">
        <f aca="false">F205</f>
        <v>275528.312341035</v>
      </c>
      <c r="D206" s="10" t="n">
        <f aca="false">IF(AND(A206&lt;=Inputs!$B$9*12,C206&gt;0.000001),C206*Inputs!$B$10/12,0)</f>
        <v>1671.53842820228</v>
      </c>
      <c r="E206" s="10" t="n">
        <f aca="false">IF(AND(A206&lt;=Inputs!$B$9*12,C206&gt;0.000001),MIN(C206,Inputs!$B$41-D206),0)</f>
        <v>1065.31070077843</v>
      </c>
      <c r="F206" s="10" t="n">
        <f aca="false">C206-E206</f>
        <v>274463.001640257</v>
      </c>
      <c r="G206" s="10" t="n">
        <f aca="false">IF(AND(Inputs!$B$43=1,C206&gt;0.78*Inputs!$B$7,A206&lt;=Inputs!$B$9*6),Inputs!$B$16*Inputs!$B$39/12,0)</f>
        <v>0</v>
      </c>
      <c r="H206" s="10" t="n">
        <f aca="false">IF(B206=1,Inputs!$B$7,INDEX(Annual!$AC$2:$AC$51,B206-1))</f>
        <v>973950.24777814</v>
      </c>
      <c r="I206" s="10" t="n">
        <f aca="false">Inputs!$B$12*IF(Inputs!$B$35="",H206,MIN(H206,Inputs!$B$7*(1+Inputs!$B$35)^(B206-1)))/12</f>
        <v>730.462685833605</v>
      </c>
      <c r="J206" s="10" t="n">
        <f aca="false">Inputs!$B$13*Inputs!$B$7*(1+Inputs!$B$22)^(B206-1)/12</f>
        <v>333.15145307697</v>
      </c>
      <c r="K206" s="10" t="n">
        <f aca="false">Inputs!$B$14*Inputs!$B$7*(1+Inputs!$B$22)^(B206-1)/12</f>
        <v>666.302906153939</v>
      </c>
      <c r="L206" s="10" t="n">
        <f aca="false">Inputs!$B$15*(1+Inputs!$B$22)^(B206-1)</f>
        <v>0</v>
      </c>
      <c r="M206" s="10" t="n">
        <f aca="false">INDEX(Annual!$N$2:$N$51,B206)/12</f>
        <v>0</v>
      </c>
      <c r="N206" s="10" t="n">
        <f aca="false">D206+E206+G206+I206+J206+K206+L206-M206</f>
        <v>4466.76617404522</v>
      </c>
      <c r="O206" s="10" t="n">
        <f aca="false">Inputs!$B$17*(1+Inputs!$B$18)^(B206-1)+Inputs!$B$19*(1+Inputs!$B$22)^(B206-1)</f>
        <v>4510.67578267775</v>
      </c>
      <c r="P206" s="10" t="n">
        <f aca="false">N206-O206</f>
        <v>-43.9096086325262</v>
      </c>
      <c r="Q206" s="10" t="n">
        <f aca="false">Q205*(1+Inputs!$B$42)-U206+MAX(P206,0)</f>
        <v>649643.910188102</v>
      </c>
      <c r="R206" s="10" t="n">
        <f aca="false">R205+Q205*Inputs!$B$48-U206+MAX(P206,0)</f>
        <v>308965.39556261</v>
      </c>
      <c r="S206" s="10" t="n">
        <f aca="false">S205*(1+Inputs!$B$42)-V206+MAX(-P206,0)</f>
        <v>43.9096086325262</v>
      </c>
      <c r="T206" s="10" t="n">
        <f aca="false">T205+S205*Inputs!$B$48-V206+MAX(-P206,0)</f>
        <v>43.9096086325262</v>
      </c>
      <c r="U206" s="10" t="n">
        <f aca="false">Q205*Inputs!$B$48*Inputs!$B$29</f>
        <v>88.8359611555197</v>
      </c>
      <c r="V206" s="10" t="n">
        <f aca="false">S205*Inputs!$B$48*Inputs!$B$29</f>
        <v>0</v>
      </c>
    </row>
    <row r="207" customFormat="false" ht="15" hidden="false" customHeight="false" outlineLevel="0" collapsed="false">
      <c r="A207" s="16" t="n">
        <v>206</v>
      </c>
      <c r="B207" s="16" t="n">
        <f aca="false">ROUNDUP(A207/12,0)</f>
        <v>18</v>
      </c>
      <c r="C207" s="10" t="n">
        <f aca="false">F206</f>
        <v>274463.001640257</v>
      </c>
      <c r="D207" s="10" t="n">
        <f aca="false">IF(AND(A207&lt;=Inputs!$B$9*12,C207&gt;0.000001),C207*Inputs!$B$10/12,0)</f>
        <v>1665.07554328423</v>
      </c>
      <c r="E207" s="10" t="n">
        <f aca="false">IF(AND(A207&lt;=Inputs!$B$9*12,C207&gt;0.000001),MIN(C207,Inputs!$B$41-D207),0)</f>
        <v>1071.77358569648</v>
      </c>
      <c r="F207" s="10" t="n">
        <f aca="false">C207-E207</f>
        <v>273391.22805456</v>
      </c>
      <c r="G207" s="10" t="n">
        <f aca="false">IF(AND(Inputs!$B$43=1,C207&gt;0.78*Inputs!$B$7,A207&lt;=Inputs!$B$9*6),Inputs!$B$16*Inputs!$B$39/12,0)</f>
        <v>0</v>
      </c>
      <c r="H207" s="10" t="n">
        <f aca="false">IF(B207=1,Inputs!$B$7,INDEX(Annual!$AC$2:$AC$51,B207-1))</f>
        <v>973950.24777814</v>
      </c>
      <c r="I207" s="10" t="n">
        <f aca="false">Inputs!$B$12*IF(Inputs!$B$35="",H207,MIN(H207,Inputs!$B$7*(1+Inputs!$B$35)^(B207-1)))/12</f>
        <v>730.462685833605</v>
      </c>
      <c r="J207" s="10" t="n">
        <f aca="false">Inputs!$B$13*Inputs!$B$7*(1+Inputs!$B$22)^(B207-1)/12</f>
        <v>333.15145307697</v>
      </c>
      <c r="K207" s="10" t="n">
        <f aca="false">Inputs!$B$14*Inputs!$B$7*(1+Inputs!$B$22)^(B207-1)/12</f>
        <v>666.302906153939</v>
      </c>
      <c r="L207" s="10" t="n">
        <f aca="false">Inputs!$B$15*(1+Inputs!$B$22)^(B207-1)</f>
        <v>0</v>
      </c>
      <c r="M207" s="10" t="n">
        <f aca="false">INDEX(Annual!$N$2:$N$51,B207)/12</f>
        <v>0</v>
      </c>
      <c r="N207" s="10" t="n">
        <f aca="false">D207+E207+G207+I207+J207+K207+L207-M207</f>
        <v>4466.76617404522</v>
      </c>
      <c r="O207" s="10" t="n">
        <f aca="false">Inputs!$B$17*(1+Inputs!$B$18)^(B207-1)+Inputs!$B$19*(1+Inputs!$B$22)^(B207-1)</f>
        <v>4510.67578267775</v>
      </c>
      <c r="P207" s="10" t="n">
        <f aca="false">N207-O207</f>
        <v>-43.9096086325262</v>
      </c>
      <c r="Q207" s="10" t="n">
        <f aca="false">Q206*(1+Inputs!$B$42)-U207+MAX(P207,0)</f>
        <v>653227.765268697</v>
      </c>
      <c r="R207" s="10" t="n">
        <f aca="false">R206+Q206*Inputs!$B$48-U207+MAX(P207,0)</f>
        <v>309471.576442632</v>
      </c>
      <c r="S207" s="10" t="n">
        <f aca="false">S206*(1+Inputs!$B$42)-V207+MAX(-P207,0)</f>
        <v>88.0614510049778</v>
      </c>
      <c r="T207" s="10" t="n">
        <f aca="false">T206+S206*Inputs!$B$48-V207+MAX(-P207,0)</f>
        <v>87.8534301684453</v>
      </c>
      <c r="U207" s="10" t="n">
        <f aca="false">Q206*Inputs!$B$48*Inputs!$B$29</f>
        <v>89.326037650864</v>
      </c>
      <c r="V207" s="10" t="n">
        <f aca="false">S206*Inputs!$B$48*Inputs!$B$29</f>
        <v>0.00603757118697235</v>
      </c>
    </row>
    <row r="208" customFormat="false" ht="15" hidden="false" customHeight="false" outlineLevel="0" collapsed="false">
      <c r="A208" s="16" t="n">
        <v>207</v>
      </c>
      <c r="B208" s="16" t="n">
        <f aca="false">ROUNDUP(A208/12,0)</f>
        <v>18</v>
      </c>
      <c r="C208" s="10" t="n">
        <f aca="false">F207</f>
        <v>273391.22805456</v>
      </c>
      <c r="D208" s="10" t="n">
        <f aca="false">IF(AND(A208&lt;=Inputs!$B$9*12,C208&gt;0.000001),C208*Inputs!$B$10/12,0)</f>
        <v>1658.57345019767</v>
      </c>
      <c r="E208" s="10" t="n">
        <f aca="false">IF(AND(A208&lt;=Inputs!$B$9*12,C208&gt;0.000001),MIN(C208,Inputs!$B$41-D208),0)</f>
        <v>1078.27567878304</v>
      </c>
      <c r="F208" s="10" t="n">
        <f aca="false">C208-E208</f>
        <v>272312.952375777</v>
      </c>
      <c r="G208" s="10" t="n">
        <f aca="false">IF(AND(Inputs!$B$43=1,C208&gt;0.78*Inputs!$B$7,A208&lt;=Inputs!$B$9*6),Inputs!$B$16*Inputs!$B$39/12,0)</f>
        <v>0</v>
      </c>
      <c r="H208" s="10" t="n">
        <f aca="false">IF(B208=1,Inputs!$B$7,INDEX(Annual!$AC$2:$AC$51,B208-1))</f>
        <v>973950.24777814</v>
      </c>
      <c r="I208" s="10" t="n">
        <f aca="false">Inputs!$B$12*IF(Inputs!$B$35="",H208,MIN(H208,Inputs!$B$7*(1+Inputs!$B$35)^(B208-1)))/12</f>
        <v>730.462685833605</v>
      </c>
      <c r="J208" s="10" t="n">
        <f aca="false">Inputs!$B$13*Inputs!$B$7*(1+Inputs!$B$22)^(B208-1)/12</f>
        <v>333.15145307697</v>
      </c>
      <c r="K208" s="10" t="n">
        <f aca="false">Inputs!$B$14*Inputs!$B$7*(1+Inputs!$B$22)^(B208-1)/12</f>
        <v>666.302906153939</v>
      </c>
      <c r="L208" s="10" t="n">
        <f aca="false">Inputs!$B$15*(1+Inputs!$B$22)^(B208-1)</f>
        <v>0</v>
      </c>
      <c r="M208" s="10" t="n">
        <f aca="false">INDEX(Annual!$N$2:$N$51,B208)/12</f>
        <v>0</v>
      </c>
      <c r="N208" s="10" t="n">
        <f aca="false">D208+E208+G208+I208+J208+K208+L208-M208</f>
        <v>4466.76617404522</v>
      </c>
      <c r="O208" s="10" t="n">
        <f aca="false">Inputs!$B$17*(1+Inputs!$B$18)^(B208-1)+Inputs!$B$19*(1+Inputs!$B$22)^(B208-1)</f>
        <v>4510.67578267775</v>
      </c>
      <c r="P208" s="10" t="n">
        <f aca="false">N208-O208</f>
        <v>-43.9096086325262</v>
      </c>
      <c r="Q208" s="10" t="n">
        <f aca="false">Q207*(1+Inputs!$B$42)-U208+MAX(P208,0)</f>
        <v>656831.391206892</v>
      </c>
      <c r="R208" s="10" t="n">
        <f aca="false">R207+Q207*Inputs!$B$48-U208+MAX(P208,0)</f>
        <v>309980.54974307</v>
      </c>
      <c r="S208" s="10" t="n">
        <f aca="false">S207*(1+Inputs!$B$42)-V208+MAX(-P208,0)</f>
        <v>132.456863434999</v>
      </c>
      <c r="T208" s="10" t="n">
        <f aca="false">T207+S207*Inputs!$B$48-V208+MAX(-P208,0)</f>
        <v>131.831653348213</v>
      </c>
      <c r="U208" s="10" t="n">
        <f aca="false">Q207*Inputs!$B$48*Inputs!$B$29</f>
        <v>89.8188177244459</v>
      </c>
      <c r="V208" s="10" t="n">
        <f aca="false">S207*Inputs!$B$48*Inputs!$B$29</f>
        <v>0.0121084495131845</v>
      </c>
    </row>
    <row r="209" customFormat="false" ht="15" hidden="false" customHeight="false" outlineLevel="0" collapsed="false">
      <c r="A209" s="16" t="n">
        <v>208</v>
      </c>
      <c r="B209" s="16" t="n">
        <f aca="false">ROUNDUP(A209/12,0)</f>
        <v>18</v>
      </c>
      <c r="C209" s="10" t="n">
        <f aca="false">F208</f>
        <v>272312.952375777</v>
      </c>
      <c r="D209" s="10" t="n">
        <f aca="false">IF(AND(A209&lt;=Inputs!$B$9*12,C209&gt;0.000001),C209*Inputs!$B$10/12,0)</f>
        <v>1652.03191107972</v>
      </c>
      <c r="E209" s="10" t="n">
        <f aca="false">IF(AND(A209&lt;=Inputs!$B$9*12,C209&gt;0.000001),MIN(C209,Inputs!$B$41-D209),0)</f>
        <v>1084.81721790099</v>
      </c>
      <c r="F209" s="10" t="n">
        <f aca="false">C209-E209</f>
        <v>271228.135157876</v>
      </c>
      <c r="G209" s="10" t="n">
        <f aca="false">IF(AND(Inputs!$B$43=1,C209&gt;0.78*Inputs!$B$7,A209&lt;=Inputs!$B$9*6),Inputs!$B$16*Inputs!$B$39/12,0)</f>
        <v>0</v>
      </c>
      <c r="H209" s="10" t="n">
        <f aca="false">IF(B209=1,Inputs!$B$7,INDEX(Annual!$AC$2:$AC$51,B209-1))</f>
        <v>973950.24777814</v>
      </c>
      <c r="I209" s="10" t="n">
        <f aca="false">Inputs!$B$12*IF(Inputs!$B$35="",H209,MIN(H209,Inputs!$B$7*(1+Inputs!$B$35)^(B209-1)))/12</f>
        <v>730.462685833605</v>
      </c>
      <c r="J209" s="10" t="n">
        <f aca="false">Inputs!$B$13*Inputs!$B$7*(1+Inputs!$B$22)^(B209-1)/12</f>
        <v>333.15145307697</v>
      </c>
      <c r="K209" s="10" t="n">
        <f aca="false">Inputs!$B$14*Inputs!$B$7*(1+Inputs!$B$22)^(B209-1)/12</f>
        <v>666.302906153939</v>
      </c>
      <c r="L209" s="10" t="n">
        <f aca="false">Inputs!$B$15*(1+Inputs!$B$22)^(B209-1)</f>
        <v>0</v>
      </c>
      <c r="M209" s="10" t="n">
        <f aca="false">INDEX(Annual!$N$2:$N$51,B209)/12</f>
        <v>0</v>
      </c>
      <c r="N209" s="10" t="n">
        <f aca="false">D209+E209+G209+I209+J209+K209+L209-M209</f>
        <v>4466.76617404522</v>
      </c>
      <c r="O209" s="10" t="n">
        <f aca="false">Inputs!$B$17*(1+Inputs!$B$18)^(B209-1)+Inputs!$B$19*(1+Inputs!$B$22)^(B209-1)</f>
        <v>4510.67578267775</v>
      </c>
      <c r="P209" s="10" t="n">
        <f aca="false">N209-O209</f>
        <v>-43.9096086325262</v>
      </c>
      <c r="Q209" s="10" t="n">
        <f aca="false">Q208*(1+Inputs!$B$42)-U209+MAX(P209,0)</f>
        <v>660454.897071496</v>
      </c>
      <c r="R209" s="10" t="n">
        <f aca="false">R208+Q208*Inputs!$B$48-U209+MAX(P209,0)</f>
        <v>310492.330868719</v>
      </c>
      <c r="S209" s="10" t="n">
        <f aca="false">S208*(1+Inputs!$B$42)-V209+MAX(-P209,0)</f>
        <v>177.097189612224</v>
      </c>
      <c r="T209" s="10" t="n">
        <f aca="false">T208+S208*Inputs!$B$48-V209+MAX(-P209,0)</f>
        <v>175.844467953499</v>
      </c>
      <c r="U209" s="10" t="n">
        <f aca="false">Q208*Inputs!$B$48*Inputs!$B$29</f>
        <v>90.3143162909476</v>
      </c>
      <c r="V209" s="10" t="n">
        <f aca="false">S208*Inputs!$B$48*Inputs!$B$29</f>
        <v>0.0182128187223123</v>
      </c>
    </row>
    <row r="210" customFormat="false" ht="15" hidden="false" customHeight="false" outlineLevel="0" collapsed="false">
      <c r="A210" s="16" t="n">
        <v>209</v>
      </c>
      <c r="B210" s="16" t="n">
        <f aca="false">ROUNDUP(A210/12,0)</f>
        <v>18</v>
      </c>
      <c r="C210" s="10" t="n">
        <f aca="false">F209</f>
        <v>271228.135157876</v>
      </c>
      <c r="D210" s="10" t="n">
        <f aca="false">IF(AND(A210&lt;=Inputs!$B$9*12,C210&gt;0.000001),C210*Inputs!$B$10/12,0)</f>
        <v>1645.45068662445</v>
      </c>
      <c r="E210" s="10" t="n">
        <f aca="false">IF(AND(A210&lt;=Inputs!$B$9*12,C210&gt;0.000001),MIN(C210,Inputs!$B$41-D210),0)</f>
        <v>1091.39844235626</v>
      </c>
      <c r="F210" s="10" t="n">
        <f aca="false">C210-E210</f>
        <v>270136.73671552</v>
      </c>
      <c r="G210" s="10" t="n">
        <f aca="false">IF(AND(Inputs!$B$43=1,C210&gt;0.78*Inputs!$B$7,A210&lt;=Inputs!$B$9*6),Inputs!$B$16*Inputs!$B$39/12,0)</f>
        <v>0</v>
      </c>
      <c r="H210" s="10" t="n">
        <f aca="false">IF(B210=1,Inputs!$B$7,INDEX(Annual!$AC$2:$AC$51,B210-1))</f>
        <v>973950.24777814</v>
      </c>
      <c r="I210" s="10" t="n">
        <f aca="false">Inputs!$B$12*IF(Inputs!$B$35="",H210,MIN(H210,Inputs!$B$7*(1+Inputs!$B$35)^(B210-1)))/12</f>
        <v>730.462685833605</v>
      </c>
      <c r="J210" s="10" t="n">
        <f aca="false">Inputs!$B$13*Inputs!$B$7*(1+Inputs!$B$22)^(B210-1)/12</f>
        <v>333.15145307697</v>
      </c>
      <c r="K210" s="10" t="n">
        <f aca="false">Inputs!$B$14*Inputs!$B$7*(1+Inputs!$B$22)^(B210-1)/12</f>
        <v>666.302906153939</v>
      </c>
      <c r="L210" s="10" t="n">
        <f aca="false">Inputs!$B$15*(1+Inputs!$B$22)^(B210-1)</f>
        <v>0</v>
      </c>
      <c r="M210" s="10" t="n">
        <f aca="false">INDEX(Annual!$N$2:$N$51,B210)/12</f>
        <v>0</v>
      </c>
      <c r="N210" s="10" t="n">
        <f aca="false">D210+E210+G210+I210+J210+K210+L210-M210</f>
        <v>4466.76617404522</v>
      </c>
      <c r="O210" s="10" t="n">
        <f aca="false">Inputs!$B$17*(1+Inputs!$B$18)^(B210-1)+Inputs!$B$19*(1+Inputs!$B$22)^(B210-1)</f>
        <v>4510.67578267775</v>
      </c>
      <c r="P210" s="10" t="n">
        <f aca="false">N210-O210</f>
        <v>-43.9096086325262</v>
      </c>
      <c r="Q210" s="10" t="n">
        <f aca="false">Q209*(1+Inputs!$B$42)-U210+MAX(P210,0)</f>
        <v>664098.392533015</v>
      </c>
      <c r="R210" s="10" t="n">
        <f aca="false">R209+Q209*Inputs!$B$48-U210+MAX(P210,0)</f>
        <v>311006.935309354</v>
      </c>
      <c r="S210" s="10" t="n">
        <f aca="false">S209*(1+Inputs!$B$42)-V210+MAX(-P210,0)</f>
        <v>221.983780638947</v>
      </c>
      <c r="T210" s="10" t="n">
        <f aca="false">T209+S209*Inputs!$B$48-V210+MAX(-P210,0)</f>
        <v>219.892064812931</v>
      </c>
      <c r="U210" s="10" t="n">
        <f aca="false">Q209*Inputs!$B$48*Inputs!$B$29</f>
        <v>90.8125483473307</v>
      </c>
      <c r="V210" s="10" t="n">
        <f aca="false">S209*Inputs!$B$48*Inputs!$B$29</f>
        <v>0.0243508635716808</v>
      </c>
    </row>
    <row r="211" customFormat="false" ht="15" hidden="false" customHeight="false" outlineLevel="0" collapsed="false">
      <c r="A211" s="16" t="n">
        <v>210</v>
      </c>
      <c r="B211" s="16" t="n">
        <f aca="false">ROUNDUP(A211/12,0)</f>
        <v>18</v>
      </c>
      <c r="C211" s="10" t="n">
        <f aca="false">F210</f>
        <v>270136.73671552</v>
      </c>
      <c r="D211" s="10" t="n">
        <f aca="false">IF(AND(A211&lt;=Inputs!$B$9*12,C211&gt;0.000001),C211*Inputs!$B$10/12,0)</f>
        <v>1638.82953607416</v>
      </c>
      <c r="E211" s="10" t="n">
        <f aca="false">IF(AND(A211&lt;=Inputs!$B$9*12,C211&gt;0.000001),MIN(C211,Inputs!$B$41-D211),0)</f>
        <v>1098.01959290655</v>
      </c>
      <c r="F211" s="10" t="n">
        <f aca="false">C211-E211</f>
        <v>269038.717122614</v>
      </c>
      <c r="G211" s="10" t="n">
        <f aca="false">IF(AND(Inputs!$B$43=1,C211&gt;0.78*Inputs!$B$7,A211&lt;=Inputs!$B$9*6),Inputs!$B$16*Inputs!$B$39/12,0)</f>
        <v>0</v>
      </c>
      <c r="H211" s="10" t="n">
        <f aca="false">IF(B211=1,Inputs!$B$7,INDEX(Annual!$AC$2:$AC$51,B211-1))</f>
        <v>973950.24777814</v>
      </c>
      <c r="I211" s="10" t="n">
        <f aca="false">Inputs!$B$12*IF(Inputs!$B$35="",H211,MIN(H211,Inputs!$B$7*(1+Inputs!$B$35)^(B211-1)))/12</f>
        <v>730.462685833605</v>
      </c>
      <c r="J211" s="10" t="n">
        <f aca="false">Inputs!$B$13*Inputs!$B$7*(1+Inputs!$B$22)^(B211-1)/12</f>
        <v>333.15145307697</v>
      </c>
      <c r="K211" s="10" t="n">
        <f aca="false">Inputs!$B$14*Inputs!$B$7*(1+Inputs!$B$22)^(B211-1)/12</f>
        <v>666.302906153939</v>
      </c>
      <c r="L211" s="10" t="n">
        <f aca="false">Inputs!$B$15*(1+Inputs!$B$22)^(B211-1)</f>
        <v>0</v>
      </c>
      <c r="M211" s="10" t="n">
        <f aca="false">INDEX(Annual!$N$2:$N$51,B211)/12</f>
        <v>0</v>
      </c>
      <c r="N211" s="10" t="n">
        <f aca="false">D211+E211+G211+I211+J211+K211+L211-M211</f>
        <v>4466.76617404522</v>
      </c>
      <c r="O211" s="10" t="n">
        <f aca="false">Inputs!$B$17*(1+Inputs!$B$18)^(B211-1)+Inputs!$B$19*(1+Inputs!$B$22)^(B211-1)</f>
        <v>4510.67578267775</v>
      </c>
      <c r="P211" s="10" t="n">
        <f aca="false">N211-O211</f>
        <v>-43.9096086325262</v>
      </c>
      <c r="Q211" s="10" t="n">
        <f aca="false">Q210*(1+Inputs!$B$42)-U211+MAX(P211,0)</f>
        <v>667761.987866966</v>
      </c>
      <c r="R211" s="10" t="n">
        <f aca="false">R210+Q210*Inputs!$B$48-U211+MAX(P211,0)</f>
        <v>311524.378640203</v>
      </c>
      <c r="S211" s="10" t="n">
        <f aca="false">S210*(1+Inputs!$B$42)-V211+MAX(-P211,0)</f>
        <v>267.117995071014</v>
      </c>
      <c r="T211" s="10" t="n">
        <f aca="false">T210+S210*Inputs!$B$48-V211+MAX(-P211,0)</f>
        <v>263.974635807872</v>
      </c>
      <c r="U211" s="10" t="n">
        <f aca="false">Q210*Inputs!$B$48*Inputs!$B$29</f>
        <v>91.3135289732896</v>
      </c>
      <c r="V211" s="10" t="n">
        <f aca="false">S210*Inputs!$B$48*Inputs!$B$29</f>
        <v>0.0305227698378552</v>
      </c>
    </row>
    <row r="212" customFormat="false" ht="15" hidden="false" customHeight="false" outlineLevel="0" collapsed="false">
      <c r="A212" s="16" t="n">
        <v>211</v>
      </c>
      <c r="B212" s="16" t="n">
        <f aca="false">ROUNDUP(A212/12,0)</f>
        <v>18</v>
      </c>
      <c r="C212" s="10" t="n">
        <f aca="false">F211</f>
        <v>269038.717122614</v>
      </c>
      <c r="D212" s="10" t="n">
        <f aca="false">IF(AND(A212&lt;=Inputs!$B$9*12,C212&gt;0.000001),C212*Inputs!$B$10/12,0)</f>
        <v>1632.16821721052</v>
      </c>
      <c r="E212" s="10" t="n">
        <f aca="false">IF(AND(A212&lt;=Inputs!$B$9*12,C212&gt;0.000001),MIN(C212,Inputs!$B$41-D212),0)</f>
        <v>1104.68091177018</v>
      </c>
      <c r="F212" s="10" t="n">
        <f aca="false">C212-E212</f>
        <v>267934.036210843</v>
      </c>
      <c r="G212" s="10" t="n">
        <f aca="false">IF(AND(Inputs!$B$43=1,C212&gt;0.78*Inputs!$B$7,A212&lt;=Inputs!$B$9*6),Inputs!$B$16*Inputs!$B$39/12,0)</f>
        <v>0</v>
      </c>
      <c r="H212" s="10" t="n">
        <f aca="false">IF(B212=1,Inputs!$B$7,INDEX(Annual!$AC$2:$AC$51,B212-1))</f>
        <v>973950.24777814</v>
      </c>
      <c r="I212" s="10" t="n">
        <f aca="false">Inputs!$B$12*IF(Inputs!$B$35="",H212,MIN(H212,Inputs!$B$7*(1+Inputs!$B$35)^(B212-1)))/12</f>
        <v>730.462685833605</v>
      </c>
      <c r="J212" s="10" t="n">
        <f aca="false">Inputs!$B$13*Inputs!$B$7*(1+Inputs!$B$22)^(B212-1)/12</f>
        <v>333.15145307697</v>
      </c>
      <c r="K212" s="10" t="n">
        <f aca="false">Inputs!$B$14*Inputs!$B$7*(1+Inputs!$B$22)^(B212-1)/12</f>
        <v>666.302906153939</v>
      </c>
      <c r="L212" s="10" t="n">
        <f aca="false">Inputs!$B$15*(1+Inputs!$B$22)^(B212-1)</f>
        <v>0</v>
      </c>
      <c r="M212" s="10" t="n">
        <f aca="false">INDEX(Annual!$N$2:$N$51,B212)/12</f>
        <v>0</v>
      </c>
      <c r="N212" s="10" t="n">
        <f aca="false">D212+E212+G212+I212+J212+K212+L212-M212</f>
        <v>4466.76617404522</v>
      </c>
      <c r="O212" s="10" t="n">
        <f aca="false">Inputs!$B$17*(1+Inputs!$B$18)^(B212-1)+Inputs!$B$19*(1+Inputs!$B$22)^(B212-1)</f>
        <v>4510.67578267775</v>
      </c>
      <c r="P212" s="10" t="n">
        <f aca="false">N212-O212</f>
        <v>-43.9096086325262</v>
      </c>
      <c r="Q212" s="10" t="n">
        <f aca="false">Q211*(1+Inputs!$B$42)-U212+MAX(P212,0)</f>
        <v>671445.793957216</v>
      </c>
      <c r="R212" s="10" t="n">
        <f aca="false">R211+Q211*Inputs!$B$48-U212+MAX(P212,0)</f>
        <v>312044.676522416</v>
      </c>
      <c r="S212" s="10" t="n">
        <f aca="false">S211*(1+Inputs!$B$42)-V212+MAX(-P212,0)</f>
        <v>312.501198958941</v>
      </c>
      <c r="T212" s="10" t="n">
        <f aca="false">T211+S211*Inputs!$B$48-V212+MAX(-P212,0)</f>
        <v>308.092373878224</v>
      </c>
      <c r="U212" s="10" t="n">
        <f aca="false">Q211*Inputs!$B$48*Inputs!$B$29</f>
        <v>91.8172733317078</v>
      </c>
      <c r="V212" s="10" t="n">
        <f aca="false">S211*Inputs!$B$48*Inputs!$B$29</f>
        <v>0.0367287243222644</v>
      </c>
    </row>
    <row r="213" customFormat="false" ht="15" hidden="false" customHeight="false" outlineLevel="0" collapsed="false">
      <c r="A213" s="16" t="n">
        <v>212</v>
      </c>
      <c r="B213" s="16" t="n">
        <f aca="false">ROUNDUP(A213/12,0)</f>
        <v>18</v>
      </c>
      <c r="C213" s="10" t="n">
        <f aca="false">F212</f>
        <v>267934.036210843</v>
      </c>
      <c r="D213" s="10" t="n">
        <f aca="false">IF(AND(A213&lt;=Inputs!$B$9*12,C213&gt;0.000001),C213*Inputs!$B$10/12,0)</f>
        <v>1625.46648634578</v>
      </c>
      <c r="E213" s="10" t="n">
        <f aca="false">IF(AND(A213&lt;=Inputs!$B$9*12,C213&gt;0.000001),MIN(C213,Inputs!$B$41-D213),0)</f>
        <v>1111.38264263492</v>
      </c>
      <c r="F213" s="10" t="n">
        <f aca="false">C213-E213</f>
        <v>266822.653568208</v>
      </c>
      <c r="G213" s="10" t="n">
        <f aca="false">IF(AND(Inputs!$B$43=1,C213&gt;0.78*Inputs!$B$7,A213&lt;=Inputs!$B$9*6),Inputs!$B$16*Inputs!$B$39/12,0)</f>
        <v>0</v>
      </c>
      <c r="H213" s="10" t="n">
        <f aca="false">IF(B213=1,Inputs!$B$7,INDEX(Annual!$AC$2:$AC$51,B213-1))</f>
        <v>973950.24777814</v>
      </c>
      <c r="I213" s="10" t="n">
        <f aca="false">Inputs!$B$12*IF(Inputs!$B$35="",H213,MIN(H213,Inputs!$B$7*(1+Inputs!$B$35)^(B213-1)))/12</f>
        <v>730.462685833605</v>
      </c>
      <c r="J213" s="10" t="n">
        <f aca="false">Inputs!$B$13*Inputs!$B$7*(1+Inputs!$B$22)^(B213-1)/12</f>
        <v>333.15145307697</v>
      </c>
      <c r="K213" s="10" t="n">
        <f aca="false">Inputs!$B$14*Inputs!$B$7*(1+Inputs!$B$22)^(B213-1)/12</f>
        <v>666.302906153939</v>
      </c>
      <c r="L213" s="10" t="n">
        <f aca="false">Inputs!$B$15*(1+Inputs!$B$22)^(B213-1)</f>
        <v>0</v>
      </c>
      <c r="M213" s="10" t="n">
        <f aca="false">INDEX(Annual!$N$2:$N$51,B213)/12</f>
        <v>0</v>
      </c>
      <c r="N213" s="10" t="n">
        <f aca="false">D213+E213+G213+I213+J213+K213+L213-M213</f>
        <v>4466.76617404522</v>
      </c>
      <c r="O213" s="10" t="n">
        <f aca="false">Inputs!$B$17*(1+Inputs!$B$18)^(B213-1)+Inputs!$B$19*(1+Inputs!$B$22)^(B213-1)</f>
        <v>4510.67578267775</v>
      </c>
      <c r="P213" s="10" t="n">
        <f aca="false">N213-O213</f>
        <v>-43.9096086325262</v>
      </c>
      <c r="Q213" s="10" t="n">
        <f aca="false">Q212*(1+Inputs!$B$42)-U213+MAX(P213,0)</f>
        <v>675149.922299343</v>
      </c>
      <c r="R213" s="10" t="n">
        <f aca="false">R212+Q212*Inputs!$B$48-U213+MAX(P213,0)</f>
        <v>312567.844703541</v>
      </c>
      <c r="S213" s="10" t="n">
        <f aca="false">S212*(1+Inputs!$B$42)-V213+MAX(-P213,0)</f>
        <v>358.134765889263</v>
      </c>
      <c r="T213" s="10" t="n">
        <f aca="false">T212+S212*Inputs!$B$48-V213+MAX(-P213,0)</f>
        <v>352.245473028273</v>
      </c>
      <c r="U213" s="10" t="n">
        <f aca="false">Q212*Inputs!$B$48*Inputs!$B$29</f>
        <v>92.3237966691172</v>
      </c>
      <c r="V213" s="10" t="n">
        <f aca="false">S212*Inputs!$B$48*Inputs!$B$29</f>
        <v>0.0429689148568544</v>
      </c>
    </row>
    <row r="214" customFormat="false" ht="15" hidden="false" customHeight="false" outlineLevel="0" collapsed="false">
      <c r="A214" s="16" t="n">
        <v>213</v>
      </c>
      <c r="B214" s="16" t="n">
        <f aca="false">ROUNDUP(A214/12,0)</f>
        <v>18</v>
      </c>
      <c r="C214" s="10" t="n">
        <f aca="false">F213</f>
        <v>266822.653568208</v>
      </c>
      <c r="D214" s="10" t="n">
        <f aca="false">IF(AND(A214&lt;=Inputs!$B$9*12,C214&gt;0.000001),C214*Inputs!$B$10/12,0)</f>
        <v>1618.7240983138</v>
      </c>
      <c r="E214" s="10" t="n">
        <f aca="false">IF(AND(A214&lt;=Inputs!$B$9*12,C214&gt;0.000001),MIN(C214,Inputs!$B$41-D214),0)</f>
        <v>1118.12503066691</v>
      </c>
      <c r="F214" s="10" t="n">
        <f aca="false">C214-E214</f>
        <v>265704.528537542</v>
      </c>
      <c r="G214" s="10" t="n">
        <f aca="false">IF(AND(Inputs!$B$43=1,C214&gt;0.78*Inputs!$B$7,A214&lt;=Inputs!$B$9*6),Inputs!$B$16*Inputs!$B$39/12,0)</f>
        <v>0</v>
      </c>
      <c r="H214" s="10" t="n">
        <f aca="false">IF(B214=1,Inputs!$B$7,INDEX(Annual!$AC$2:$AC$51,B214-1))</f>
        <v>973950.24777814</v>
      </c>
      <c r="I214" s="10" t="n">
        <f aca="false">Inputs!$B$12*IF(Inputs!$B$35="",H214,MIN(H214,Inputs!$B$7*(1+Inputs!$B$35)^(B214-1)))/12</f>
        <v>730.462685833605</v>
      </c>
      <c r="J214" s="10" t="n">
        <f aca="false">Inputs!$B$13*Inputs!$B$7*(1+Inputs!$B$22)^(B214-1)/12</f>
        <v>333.15145307697</v>
      </c>
      <c r="K214" s="10" t="n">
        <f aca="false">Inputs!$B$14*Inputs!$B$7*(1+Inputs!$B$22)^(B214-1)/12</f>
        <v>666.302906153939</v>
      </c>
      <c r="L214" s="10" t="n">
        <f aca="false">Inputs!$B$15*(1+Inputs!$B$22)^(B214-1)</f>
        <v>0</v>
      </c>
      <c r="M214" s="10" t="n">
        <f aca="false">INDEX(Annual!$N$2:$N$51,B214)/12</f>
        <v>0</v>
      </c>
      <c r="N214" s="10" t="n">
        <f aca="false">D214+E214+G214+I214+J214+K214+L214-M214</f>
        <v>4466.76617404522</v>
      </c>
      <c r="O214" s="10" t="n">
        <f aca="false">Inputs!$B$17*(1+Inputs!$B$18)^(B214-1)+Inputs!$B$19*(1+Inputs!$B$22)^(B214-1)</f>
        <v>4510.67578267775</v>
      </c>
      <c r="P214" s="10" t="n">
        <f aca="false">N214-O214</f>
        <v>-43.9096086325262</v>
      </c>
      <c r="Q214" s="10" t="n">
        <f aca="false">Q213*(1+Inputs!$B$42)-U214+MAX(P214,0)</f>
        <v>678874.485004003</v>
      </c>
      <c r="R214" s="10" t="n">
        <f aca="false">R213+Q213*Inputs!$B$48-U214+MAX(P214,0)</f>
        <v>313093.899017999</v>
      </c>
      <c r="S214" s="10" t="n">
        <f aca="false">S213*(1+Inputs!$B$42)-V214+MAX(-P214,0)</f>
        <v>404.020077026102</v>
      </c>
      <c r="T214" s="10" t="n">
        <f aca="false">T213+S213*Inputs!$B$48-V214+MAX(-P214,0)</f>
        <v>396.434128332554</v>
      </c>
      <c r="U214" s="10" t="n">
        <f aca="false">Q213*Inputs!$B$48*Inputs!$B$29</f>
        <v>92.8331143161597</v>
      </c>
      <c r="V214" s="10" t="n">
        <f aca="false">S213*Inputs!$B$48*Inputs!$B$29</f>
        <v>0.0492435303097737</v>
      </c>
    </row>
    <row r="215" customFormat="false" ht="15" hidden="false" customHeight="false" outlineLevel="0" collapsed="false">
      <c r="A215" s="16" t="n">
        <v>214</v>
      </c>
      <c r="B215" s="16" t="n">
        <f aca="false">ROUNDUP(A215/12,0)</f>
        <v>18</v>
      </c>
      <c r="C215" s="10" t="n">
        <f aca="false">F214</f>
        <v>265704.528537542</v>
      </c>
      <c r="D215" s="10" t="n">
        <f aca="false">IF(AND(A215&lt;=Inputs!$B$9*12,C215&gt;0.000001),C215*Inputs!$B$10/12,0)</f>
        <v>1611.94080646109</v>
      </c>
      <c r="E215" s="10" t="n">
        <f aca="false">IF(AND(A215&lt;=Inputs!$B$9*12,C215&gt;0.000001),MIN(C215,Inputs!$B$41-D215),0)</f>
        <v>1124.90832251962</v>
      </c>
      <c r="F215" s="10" t="n">
        <f aca="false">C215-E215</f>
        <v>264579.620215022</v>
      </c>
      <c r="G215" s="10" t="n">
        <f aca="false">IF(AND(Inputs!$B$43=1,C215&gt;0.78*Inputs!$B$7,A215&lt;=Inputs!$B$9*6),Inputs!$B$16*Inputs!$B$39/12,0)</f>
        <v>0</v>
      </c>
      <c r="H215" s="10" t="n">
        <f aca="false">IF(B215=1,Inputs!$B$7,INDEX(Annual!$AC$2:$AC$51,B215-1))</f>
        <v>973950.24777814</v>
      </c>
      <c r="I215" s="10" t="n">
        <f aca="false">Inputs!$B$12*IF(Inputs!$B$35="",H215,MIN(H215,Inputs!$B$7*(1+Inputs!$B$35)^(B215-1)))/12</f>
        <v>730.462685833605</v>
      </c>
      <c r="J215" s="10" t="n">
        <f aca="false">Inputs!$B$13*Inputs!$B$7*(1+Inputs!$B$22)^(B215-1)/12</f>
        <v>333.15145307697</v>
      </c>
      <c r="K215" s="10" t="n">
        <f aca="false">Inputs!$B$14*Inputs!$B$7*(1+Inputs!$B$22)^(B215-1)/12</f>
        <v>666.302906153939</v>
      </c>
      <c r="L215" s="10" t="n">
        <f aca="false">Inputs!$B$15*(1+Inputs!$B$22)^(B215-1)</f>
        <v>0</v>
      </c>
      <c r="M215" s="10" t="n">
        <f aca="false">INDEX(Annual!$N$2:$N$51,B215)/12</f>
        <v>0</v>
      </c>
      <c r="N215" s="10" t="n">
        <f aca="false">D215+E215+G215+I215+J215+K215+L215-M215</f>
        <v>4466.76617404522</v>
      </c>
      <c r="O215" s="10" t="n">
        <f aca="false">Inputs!$B$17*(1+Inputs!$B$18)^(B215-1)+Inputs!$B$19*(1+Inputs!$B$22)^(B215-1)</f>
        <v>4510.67578267775</v>
      </c>
      <c r="P215" s="10" t="n">
        <f aca="false">N215-O215</f>
        <v>-43.9096086325262</v>
      </c>
      <c r="Q215" s="10" t="n">
        <f aca="false">Q214*(1+Inputs!$B$42)-U215+MAX(P215,0)</f>
        <v>682619.594800327</v>
      </c>
      <c r="R215" s="10" t="n">
        <f aca="false">R214+Q214*Inputs!$B$48-U215+MAX(P215,0)</f>
        <v>313622.855387564</v>
      </c>
      <c r="S215" s="10" t="n">
        <f aca="false">S214*(1+Inputs!$B$42)-V215+MAX(-P215,0)</f>
        <v>450.158521152973</v>
      </c>
      <c r="T215" s="10" t="n">
        <f aca="false">T214+S214*Inputs!$B$48-V215+MAX(-P215,0)</f>
        <v>440.658535941764</v>
      </c>
      <c r="U215" s="10" t="n">
        <f aca="false">Q214*Inputs!$B$48*Inputs!$B$29</f>
        <v>93.3452416880504</v>
      </c>
      <c r="V215" s="10" t="n">
        <f aca="false">S214*Inputs!$B$48*Inputs!$B$29</f>
        <v>0.055552760591089</v>
      </c>
    </row>
    <row r="216" customFormat="false" ht="15" hidden="false" customHeight="false" outlineLevel="0" collapsed="false">
      <c r="A216" s="16" t="n">
        <v>215</v>
      </c>
      <c r="B216" s="16" t="n">
        <f aca="false">ROUNDUP(A216/12,0)</f>
        <v>18</v>
      </c>
      <c r="C216" s="10" t="n">
        <f aca="false">F215</f>
        <v>264579.620215022</v>
      </c>
      <c r="D216" s="10" t="n">
        <f aca="false">IF(AND(A216&lt;=Inputs!$B$9*12,C216&gt;0.000001),C216*Inputs!$B$10/12,0)</f>
        <v>1605.1163626378</v>
      </c>
      <c r="E216" s="10" t="n">
        <f aca="false">IF(AND(A216&lt;=Inputs!$B$9*12,C216&gt;0.000001),MIN(C216,Inputs!$B$41-D216),0)</f>
        <v>1131.73276634291</v>
      </c>
      <c r="F216" s="10" t="n">
        <f aca="false">C216-E216</f>
        <v>263447.887448679</v>
      </c>
      <c r="G216" s="10" t="n">
        <f aca="false">IF(AND(Inputs!$B$43=1,C216&gt;0.78*Inputs!$B$7,A216&lt;=Inputs!$B$9*6),Inputs!$B$16*Inputs!$B$39/12,0)</f>
        <v>0</v>
      </c>
      <c r="H216" s="10" t="n">
        <f aca="false">IF(B216=1,Inputs!$B$7,INDEX(Annual!$AC$2:$AC$51,B216-1))</f>
        <v>973950.24777814</v>
      </c>
      <c r="I216" s="10" t="n">
        <f aca="false">Inputs!$B$12*IF(Inputs!$B$35="",H216,MIN(H216,Inputs!$B$7*(1+Inputs!$B$35)^(B216-1)))/12</f>
        <v>730.462685833605</v>
      </c>
      <c r="J216" s="10" t="n">
        <f aca="false">Inputs!$B$13*Inputs!$B$7*(1+Inputs!$B$22)^(B216-1)/12</f>
        <v>333.15145307697</v>
      </c>
      <c r="K216" s="10" t="n">
        <f aca="false">Inputs!$B$14*Inputs!$B$7*(1+Inputs!$B$22)^(B216-1)/12</f>
        <v>666.302906153939</v>
      </c>
      <c r="L216" s="10" t="n">
        <f aca="false">Inputs!$B$15*(1+Inputs!$B$22)^(B216-1)</f>
        <v>0</v>
      </c>
      <c r="M216" s="10" t="n">
        <f aca="false">INDEX(Annual!$N$2:$N$51,B216)/12</f>
        <v>0</v>
      </c>
      <c r="N216" s="10" t="n">
        <f aca="false">D216+E216+G216+I216+J216+K216+L216-M216</f>
        <v>4466.76617404522</v>
      </c>
      <c r="O216" s="10" t="n">
        <f aca="false">Inputs!$B$17*(1+Inputs!$B$18)^(B216-1)+Inputs!$B$19*(1+Inputs!$B$22)^(B216-1)</f>
        <v>4510.67578267775</v>
      </c>
      <c r="P216" s="10" t="n">
        <f aca="false">N216-O216</f>
        <v>-43.9096086325262</v>
      </c>
      <c r="Q216" s="10" t="n">
        <f aca="false">Q215*(1+Inputs!$B$42)-U216+MAX(P216,0)</f>
        <v>686385.365039335</v>
      </c>
      <c r="R216" s="10" t="n">
        <f aca="false">R215+Q215*Inputs!$B$48-U216+MAX(P216,0)</f>
        <v>314154.729821846</v>
      </c>
      <c r="S216" s="10" t="n">
        <f aca="false">S215*(1+Inputs!$B$42)-V216+MAX(-P216,0)</f>
        <v>496.551494714819</v>
      </c>
      <c r="T216" s="10" t="n">
        <f aca="false">T215+S215*Inputs!$B$48-V216+MAX(-P216,0)</f>
        <v>484.918893088688</v>
      </c>
      <c r="U216" s="10" t="n">
        <f aca="false">Q215*Inputs!$B$48*Inputs!$B$29</f>
        <v>93.860194285045</v>
      </c>
      <c r="V216" s="10" t="n">
        <f aca="false">S215*Inputs!$B$48*Inputs!$B$29</f>
        <v>0.0618967966585338</v>
      </c>
    </row>
    <row r="217" customFormat="false" ht="15" hidden="false" customHeight="false" outlineLevel="0" collapsed="false">
      <c r="A217" s="16" t="n">
        <v>216</v>
      </c>
      <c r="B217" s="16" t="n">
        <f aca="false">ROUNDUP(A217/12,0)</f>
        <v>18</v>
      </c>
      <c r="C217" s="10" t="n">
        <f aca="false">F216</f>
        <v>263447.887448679</v>
      </c>
      <c r="D217" s="10" t="n">
        <f aca="false">IF(AND(A217&lt;=Inputs!$B$9*12,C217&gt;0.000001),C217*Inputs!$B$10/12,0)</f>
        <v>1598.25051718865</v>
      </c>
      <c r="E217" s="10" t="n">
        <f aca="false">IF(AND(A217&lt;=Inputs!$B$9*12,C217&gt;0.000001),MIN(C217,Inputs!$B$41-D217),0)</f>
        <v>1138.59861179205</v>
      </c>
      <c r="F217" s="10" t="n">
        <f aca="false">C217-E217</f>
        <v>262309.288836887</v>
      </c>
      <c r="G217" s="10" t="n">
        <f aca="false">IF(AND(Inputs!$B$43=1,C217&gt;0.78*Inputs!$B$7,A217&lt;=Inputs!$B$9*6),Inputs!$B$16*Inputs!$B$39/12,0)</f>
        <v>0</v>
      </c>
      <c r="H217" s="10" t="n">
        <f aca="false">IF(B217=1,Inputs!$B$7,INDEX(Annual!$AC$2:$AC$51,B217-1))</f>
        <v>973950.24777814</v>
      </c>
      <c r="I217" s="10" t="n">
        <f aca="false">Inputs!$B$12*IF(Inputs!$B$35="",H217,MIN(H217,Inputs!$B$7*(1+Inputs!$B$35)^(B217-1)))/12</f>
        <v>730.462685833605</v>
      </c>
      <c r="J217" s="10" t="n">
        <f aca="false">Inputs!$B$13*Inputs!$B$7*(1+Inputs!$B$22)^(B217-1)/12</f>
        <v>333.15145307697</v>
      </c>
      <c r="K217" s="10" t="n">
        <f aca="false">Inputs!$B$14*Inputs!$B$7*(1+Inputs!$B$22)^(B217-1)/12</f>
        <v>666.302906153939</v>
      </c>
      <c r="L217" s="10" t="n">
        <f aca="false">Inputs!$B$15*(1+Inputs!$B$22)^(B217-1)</f>
        <v>0</v>
      </c>
      <c r="M217" s="10" t="n">
        <f aca="false">INDEX(Annual!$N$2:$N$51,B217)/12</f>
        <v>0</v>
      </c>
      <c r="N217" s="10" t="n">
        <f aca="false">D217+E217+G217+I217+J217+K217+L217-M217</f>
        <v>4466.76617404522</v>
      </c>
      <c r="O217" s="10" t="n">
        <f aca="false">Inputs!$B$17*(1+Inputs!$B$18)^(B217-1)+Inputs!$B$19*(1+Inputs!$B$22)^(B217-1)</f>
        <v>4510.67578267775</v>
      </c>
      <c r="P217" s="10" t="n">
        <f aca="false">N217-O217</f>
        <v>-43.9096086325262</v>
      </c>
      <c r="Q217" s="10" t="n">
        <f aca="false">Q216*(1+Inputs!$B$42)-U217+MAX(P217,0)</f>
        <v>690171.909697362</v>
      </c>
      <c r="R217" s="10" t="n">
        <f aca="false">R216+Q216*Inputs!$B$48-U217+MAX(P217,0)</f>
        <v>314689.538418773</v>
      </c>
      <c r="S217" s="10" t="n">
        <f aca="false">S216*(1+Inputs!$B$42)-V217+MAX(-P217,0)</f>
        <v>543.200401860273</v>
      </c>
      <c r="T217" s="10" t="n">
        <f aca="false">T216+S216*Inputs!$B$48-V217+MAX(-P217,0)</f>
        <v>529.21539809418</v>
      </c>
      <c r="U217" s="10" t="n">
        <f aca="false">Q216*Inputs!$B$48*Inputs!$B$29</f>
        <v>94.3779876929085</v>
      </c>
      <c r="V217" s="10" t="n">
        <f aca="false">S216*Inputs!$B$48*Inputs!$B$29</f>
        <v>0.0682758305232876</v>
      </c>
    </row>
    <row r="218" customFormat="false" ht="15" hidden="false" customHeight="false" outlineLevel="0" collapsed="false">
      <c r="A218" s="16" t="n">
        <v>217</v>
      </c>
      <c r="B218" s="16" t="n">
        <f aca="false">ROUNDUP(A218/12,0)</f>
        <v>19</v>
      </c>
      <c r="C218" s="10" t="n">
        <f aca="false">F217</f>
        <v>262309.288836887</v>
      </c>
      <c r="D218" s="10" t="n">
        <f aca="false">IF(AND(A218&lt;=Inputs!$B$9*12,C218&gt;0.000001),C218*Inputs!$B$10/12,0)</f>
        <v>1591.34301894378</v>
      </c>
      <c r="E218" s="10" t="n">
        <f aca="false">IF(AND(A218&lt;=Inputs!$B$9*12,C218&gt;0.000001),MIN(C218,Inputs!$B$41-D218),0)</f>
        <v>1145.50611003692</v>
      </c>
      <c r="F218" s="10" t="n">
        <f aca="false">C218-E218</f>
        <v>261163.78272685</v>
      </c>
      <c r="G218" s="10" t="n">
        <f aca="false">IF(AND(Inputs!$B$43=1,C218&gt;0.78*Inputs!$B$7,A218&lt;=Inputs!$B$9*6),Inputs!$B$16*Inputs!$B$39/12,0)</f>
        <v>0</v>
      </c>
      <c r="H218" s="10" t="n">
        <f aca="false">IF(B218=1,Inputs!$B$7,INDEX(Annual!$AC$2:$AC$51,B218-1))</f>
        <v>1012908.25768927</v>
      </c>
      <c r="I218" s="10" t="n">
        <f aca="false">Inputs!$B$12*IF(Inputs!$B$35="",H218,MIN(H218,Inputs!$B$7*(1+Inputs!$B$35)^(B218-1)))/12</f>
        <v>759.681193266949</v>
      </c>
      <c r="J218" s="10" t="n">
        <f aca="false">Inputs!$B$13*Inputs!$B$7*(1+Inputs!$B$22)^(B218-1)/12</f>
        <v>342.479693763125</v>
      </c>
      <c r="K218" s="10" t="n">
        <f aca="false">Inputs!$B$14*Inputs!$B$7*(1+Inputs!$B$22)^(B218-1)/12</f>
        <v>684.959387526249</v>
      </c>
      <c r="L218" s="10" t="n">
        <f aca="false">Inputs!$B$15*(1+Inputs!$B$22)^(B218-1)</f>
        <v>0</v>
      </c>
      <c r="M218" s="10" t="n">
        <f aca="false">INDEX(Annual!$N$2:$N$51,B218)/12</f>
        <v>0</v>
      </c>
      <c r="N218" s="10" t="n">
        <f aca="false">D218+E218+G218+I218+J218+K218+L218-M218</f>
        <v>4523.96940353703</v>
      </c>
      <c r="O218" s="10" t="n">
        <f aca="false">Inputs!$B$17*(1+Inputs!$B$18)^(B218-1)+Inputs!$B$19*(1+Inputs!$B$22)^(B218-1)</f>
        <v>4668.38152673912</v>
      </c>
      <c r="P218" s="10" t="n">
        <f aca="false">N218-O218</f>
        <v>-144.412123202087</v>
      </c>
      <c r="Q218" s="10" t="n">
        <f aca="false">Q217*(1+Inputs!$B$42)-U218+MAX(P218,0)</f>
        <v>693979.34337951</v>
      </c>
      <c r="R218" s="10" t="n">
        <f aca="false">R217+Q217*Inputs!$B$48-U218+MAX(P218,0)</f>
        <v>315227.297365079</v>
      </c>
      <c r="S218" s="10" t="n">
        <f aca="false">S217*(1+Inputs!$B$42)-V218+MAX(-P218,0)</f>
        <v>690.609169053719</v>
      </c>
      <c r="T218" s="10" t="n">
        <f aca="false">T217+S217*Inputs!$B$48-V218+MAX(-P218,0)</f>
        <v>674.050764942716</v>
      </c>
      <c r="U218" s="10" t="n">
        <f aca="false">Q217*Inputs!$B$48*Inputs!$B$29</f>
        <v>94.8986375833872</v>
      </c>
      <c r="V218" s="10" t="n">
        <f aca="false">S217*Inputs!$B$48*Inputs!$B$29</f>
        <v>0.0746900552557876</v>
      </c>
    </row>
    <row r="219" customFormat="false" ht="15" hidden="false" customHeight="false" outlineLevel="0" collapsed="false">
      <c r="A219" s="16" t="n">
        <v>218</v>
      </c>
      <c r="B219" s="16" t="n">
        <f aca="false">ROUNDUP(A219/12,0)</f>
        <v>19</v>
      </c>
      <c r="C219" s="10" t="n">
        <f aca="false">F218</f>
        <v>261163.78272685</v>
      </c>
      <c r="D219" s="10" t="n">
        <f aca="false">IF(AND(A219&lt;=Inputs!$B$9*12,C219&gt;0.000001),C219*Inputs!$B$10/12,0)</f>
        <v>1584.39361520956</v>
      </c>
      <c r="E219" s="10" t="n">
        <f aca="false">IF(AND(A219&lt;=Inputs!$B$9*12,C219&gt;0.000001),MIN(C219,Inputs!$B$41-D219),0)</f>
        <v>1152.45551377115</v>
      </c>
      <c r="F219" s="10" t="n">
        <f aca="false">C219-E219</f>
        <v>260011.327213079</v>
      </c>
      <c r="G219" s="10" t="n">
        <f aca="false">IF(AND(Inputs!$B$43=1,C219&gt;0.78*Inputs!$B$7,A219&lt;=Inputs!$B$9*6),Inputs!$B$16*Inputs!$B$39/12,0)</f>
        <v>0</v>
      </c>
      <c r="H219" s="10" t="n">
        <f aca="false">IF(B219=1,Inputs!$B$7,INDEX(Annual!$AC$2:$AC$51,B219-1))</f>
        <v>1012908.25768927</v>
      </c>
      <c r="I219" s="10" t="n">
        <f aca="false">Inputs!$B$12*IF(Inputs!$B$35="",H219,MIN(H219,Inputs!$B$7*(1+Inputs!$B$35)^(B219-1)))/12</f>
        <v>759.681193266949</v>
      </c>
      <c r="J219" s="10" t="n">
        <f aca="false">Inputs!$B$13*Inputs!$B$7*(1+Inputs!$B$22)^(B219-1)/12</f>
        <v>342.479693763125</v>
      </c>
      <c r="K219" s="10" t="n">
        <f aca="false">Inputs!$B$14*Inputs!$B$7*(1+Inputs!$B$22)^(B219-1)/12</f>
        <v>684.959387526249</v>
      </c>
      <c r="L219" s="10" t="n">
        <f aca="false">Inputs!$B$15*(1+Inputs!$B$22)^(B219-1)</f>
        <v>0</v>
      </c>
      <c r="M219" s="10" t="n">
        <f aca="false">INDEX(Annual!$N$2:$N$51,B219)/12</f>
        <v>0</v>
      </c>
      <c r="N219" s="10" t="n">
        <f aca="false">D219+E219+G219+I219+J219+K219+L219-M219</f>
        <v>4523.96940353703</v>
      </c>
      <c r="O219" s="10" t="n">
        <f aca="false">Inputs!$B$17*(1+Inputs!$B$18)^(B219-1)+Inputs!$B$19*(1+Inputs!$B$22)^(B219-1)</f>
        <v>4668.38152673912</v>
      </c>
      <c r="P219" s="10" t="n">
        <f aca="false">N219-O219</f>
        <v>-144.412123202087</v>
      </c>
      <c r="Q219" s="10" t="n">
        <f aca="false">Q218*(1+Inputs!$B$42)-U219+MAX(P219,0)</f>
        <v>697807.781323119</v>
      </c>
      <c r="R219" s="10" t="n">
        <f aca="false">R218+Q218*Inputs!$B$48-U219+MAX(P219,0)</f>
        <v>315768.022936795</v>
      </c>
      <c r="S219" s="10" t="n">
        <f aca="false">S218*(1+Inputs!$B$42)-V219+MAX(-P219,0)</f>
        <v>838.831138142766</v>
      </c>
      <c r="T219" s="10" t="n">
        <f aca="false">T218+S218*Inputs!$B$48-V219+MAX(-P219,0)</f>
        <v>819.000987789024</v>
      </c>
      <c r="U219" s="10" t="n">
        <f aca="false">Q218*Inputs!$B$48*Inputs!$B$29</f>
        <v>95.4221597146827</v>
      </c>
      <c r="V219" s="10" t="n">
        <f aca="false">S218*Inputs!$B$48*Inputs!$B$29</f>
        <v>0.0949587607448864</v>
      </c>
    </row>
    <row r="220" customFormat="false" ht="15" hidden="false" customHeight="false" outlineLevel="0" collapsed="false">
      <c r="A220" s="16" t="n">
        <v>219</v>
      </c>
      <c r="B220" s="16" t="n">
        <f aca="false">ROUNDUP(A220/12,0)</f>
        <v>19</v>
      </c>
      <c r="C220" s="10" t="n">
        <f aca="false">F219</f>
        <v>260011.327213079</v>
      </c>
      <c r="D220" s="10" t="n">
        <f aca="false">IF(AND(A220&lt;=Inputs!$B$9*12,C220&gt;0.000001),C220*Inputs!$B$10/12,0)</f>
        <v>1577.40205175935</v>
      </c>
      <c r="E220" s="10" t="n">
        <f aca="false">IF(AND(A220&lt;=Inputs!$B$9*12,C220&gt;0.000001),MIN(C220,Inputs!$B$41-D220),0)</f>
        <v>1159.44707722136</v>
      </c>
      <c r="F220" s="10" t="n">
        <f aca="false">C220-E220</f>
        <v>258851.880135858</v>
      </c>
      <c r="G220" s="10" t="n">
        <f aca="false">IF(AND(Inputs!$B$43=1,C220&gt;0.78*Inputs!$B$7,A220&lt;=Inputs!$B$9*6),Inputs!$B$16*Inputs!$B$39/12,0)</f>
        <v>0</v>
      </c>
      <c r="H220" s="10" t="n">
        <f aca="false">IF(B220=1,Inputs!$B$7,INDEX(Annual!$AC$2:$AC$51,B220-1))</f>
        <v>1012908.25768927</v>
      </c>
      <c r="I220" s="10" t="n">
        <f aca="false">Inputs!$B$12*IF(Inputs!$B$35="",H220,MIN(H220,Inputs!$B$7*(1+Inputs!$B$35)^(B220-1)))/12</f>
        <v>759.681193266949</v>
      </c>
      <c r="J220" s="10" t="n">
        <f aca="false">Inputs!$B$13*Inputs!$B$7*(1+Inputs!$B$22)^(B220-1)/12</f>
        <v>342.479693763125</v>
      </c>
      <c r="K220" s="10" t="n">
        <f aca="false">Inputs!$B$14*Inputs!$B$7*(1+Inputs!$B$22)^(B220-1)/12</f>
        <v>684.959387526249</v>
      </c>
      <c r="L220" s="10" t="n">
        <f aca="false">Inputs!$B$15*(1+Inputs!$B$22)^(B220-1)</f>
        <v>0</v>
      </c>
      <c r="M220" s="10" t="n">
        <f aca="false">INDEX(Annual!$N$2:$N$51,B220)/12</f>
        <v>0</v>
      </c>
      <c r="N220" s="10" t="n">
        <f aca="false">D220+E220+G220+I220+J220+K220+L220-M220</f>
        <v>4523.96940353703</v>
      </c>
      <c r="O220" s="10" t="n">
        <f aca="false">Inputs!$B$17*(1+Inputs!$B$18)^(B220-1)+Inputs!$B$19*(1+Inputs!$B$22)^(B220-1)</f>
        <v>4668.38152673912</v>
      </c>
      <c r="P220" s="10" t="n">
        <f aca="false">N220-O220</f>
        <v>-144.412123202087</v>
      </c>
      <c r="Q220" s="10" t="n">
        <f aca="false">Q219*(1+Inputs!$B$42)-U220+MAX(P220,0)</f>
        <v>701657.339401251</v>
      </c>
      <c r="R220" s="10" t="n">
        <f aca="false">R219+Q219*Inputs!$B$48-U220+MAX(P220,0)</f>
        <v>316311.731499743</v>
      </c>
      <c r="S220" s="10" t="n">
        <f aca="false">S219*(1+Inputs!$B$42)-V220+MAX(-P220,0)</f>
        <v>987.870795273901</v>
      </c>
      <c r="T220" s="10" t="n">
        <f aca="false">T219+S219*Inputs!$B$48-V220+MAX(-P220,0)</f>
        <v>964.066700252914</v>
      </c>
      <c r="U220" s="10" t="n">
        <f aca="false">Q219*Inputs!$B$48*Inputs!$B$29</f>
        <v>95.9485699319289</v>
      </c>
      <c r="V220" s="10" t="n">
        <f aca="false">S219*Inputs!$B$48*Inputs!$B$29</f>
        <v>0.11533928149463</v>
      </c>
    </row>
    <row r="221" customFormat="false" ht="15" hidden="false" customHeight="false" outlineLevel="0" collapsed="false">
      <c r="A221" s="16" t="n">
        <v>220</v>
      </c>
      <c r="B221" s="16" t="n">
        <f aca="false">ROUNDUP(A221/12,0)</f>
        <v>19</v>
      </c>
      <c r="C221" s="10" t="n">
        <f aca="false">F220</f>
        <v>258851.880135858</v>
      </c>
      <c r="D221" s="10" t="n">
        <f aca="false">IF(AND(A221&lt;=Inputs!$B$9*12,C221&gt;0.000001),C221*Inputs!$B$10/12,0)</f>
        <v>1570.3680728242</v>
      </c>
      <c r="E221" s="10" t="n">
        <f aca="false">IF(AND(A221&lt;=Inputs!$B$9*12,C221&gt;0.000001),MIN(C221,Inputs!$B$41-D221),0)</f>
        <v>1166.4810561565</v>
      </c>
      <c r="F221" s="10" t="n">
        <f aca="false">C221-E221</f>
        <v>257685.399079701</v>
      </c>
      <c r="G221" s="10" t="n">
        <f aca="false">IF(AND(Inputs!$B$43=1,C221&gt;0.78*Inputs!$B$7,A221&lt;=Inputs!$B$9*6),Inputs!$B$16*Inputs!$B$39/12,0)</f>
        <v>0</v>
      </c>
      <c r="H221" s="10" t="n">
        <f aca="false">IF(B221=1,Inputs!$B$7,INDEX(Annual!$AC$2:$AC$51,B221-1))</f>
        <v>1012908.25768927</v>
      </c>
      <c r="I221" s="10" t="n">
        <f aca="false">Inputs!$B$12*IF(Inputs!$B$35="",H221,MIN(H221,Inputs!$B$7*(1+Inputs!$B$35)^(B221-1)))/12</f>
        <v>759.681193266949</v>
      </c>
      <c r="J221" s="10" t="n">
        <f aca="false">Inputs!$B$13*Inputs!$B$7*(1+Inputs!$B$22)^(B221-1)/12</f>
        <v>342.479693763125</v>
      </c>
      <c r="K221" s="10" t="n">
        <f aca="false">Inputs!$B$14*Inputs!$B$7*(1+Inputs!$B$22)^(B221-1)/12</f>
        <v>684.959387526249</v>
      </c>
      <c r="L221" s="10" t="n">
        <f aca="false">Inputs!$B$15*(1+Inputs!$B$22)^(B221-1)</f>
        <v>0</v>
      </c>
      <c r="M221" s="10" t="n">
        <f aca="false">INDEX(Annual!$N$2:$N$51,B221)/12</f>
        <v>0</v>
      </c>
      <c r="N221" s="10" t="n">
        <f aca="false">D221+E221+G221+I221+J221+K221+L221-M221</f>
        <v>4523.96940353703</v>
      </c>
      <c r="O221" s="10" t="n">
        <f aca="false">Inputs!$B$17*(1+Inputs!$B$18)^(B221-1)+Inputs!$B$19*(1+Inputs!$B$22)^(B221-1)</f>
        <v>4668.38152673912</v>
      </c>
      <c r="P221" s="10" t="n">
        <f aca="false">N221-O221</f>
        <v>-144.412123202087</v>
      </c>
      <c r="Q221" s="10" t="n">
        <f aca="false">Q220*(1+Inputs!$B$42)-U221+MAX(P221,0)</f>
        <v>705528.134126198</v>
      </c>
      <c r="R221" s="10" t="n">
        <f aca="false">R220+Q220*Inputs!$B$48-U221+MAX(P221,0)</f>
        <v>316858.439510026</v>
      </c>
      <c r="S221" s="10" t="n">
        <f aca="false">S220*(1+Inputs!$B$42)-V221+MAX(-P221,0)</f>
        <v>1137.73265134209</v>
      </c>
      <c r="T221" s="10" t="n">
        <f aca="false">T220+S220*Inputs!$B$48-V221+MAX(-P221,0)</f>
        <v>1109.24853944965</v>
      </c>
      <c r="U221" s="10" t="n">
        <f aca="false">Q220*Inputs!$B$48*Inputs!$B$29</f>
        <v>96.477884167672</v>
      </c>
      <c r="V221" s="10" t="n">
        <f aca="false">S220*Inputs!$B$48*Inputs!$B$29</f>
        <v>0.135832234350161</v>
      </c>
    </row>
    <row r="222" customFormat="false" ht="15" hidden="false" customHeight="false" outlineLevel="0" collapsed="false">
      <c r="A222" s="16" t="n">
        <v>221</v>
      </c>
      <c r="B222" s="16" t="n">
        <f aca="false">ROUNDUP(A222/12,0)</f>
        <v>19</v>
      </c>
      <c r="C222" s="10" t="n">
        <f aca="false">F221</f>
        <v>257685.399079701</v>
      </c>
      <c r="D222" s="10" t="n">
        <f aca="false">IF(AND(A222&lt;=Inputs!$B$9*12,C222&gt;0.000001),C222*Inputs!$B$10/12,0)</f>
        <v>1563.29142108352</v>
      </c>
      <c r="E222" s="10" t="n">
        <f aca="false">IF(AND(A222&lt;=Inputs!$B$9*12,C222&gt;0.000001),MIN(C222,Inputs!$B$41-D222),0)</f>
        <v>1173.55770789719</v>
      </c>
      <c r="F222" s="10" t="n">
        <f aca="false">C222-E222</f>
        <v>256511.841371804</v>
      </c>
      <c r="G222" s="10" t="n">
        <f aca="false">IF(AND(Inputs!$B$43=1,C222&gt;0.78*Inputs!$B$7,A222&lt;=Inputs!$B$9*6),Inputs!$B$16*Inputs!$B$39/12,0)</f>
        <v>0</v>
      </c>
      <c r="H222" s="10" t="n">
        <f aca="false">IF(B222=1,Inputs!$B$7,INDEX(Annual!$AC$2:$AC$51,B222-1))</f>
        <v>1012908.25768927</v>
      </c>
      <c r="I222" s="10" t="n">
        <f aca="false">Inputs!$B$12*IF(Inputs!$B$35="",H222,MIN(H222,Inputs!$B$7*(1+Inputs!$B$35)^(B222-1)))/12</f>
        <v>759.681193266949</v>
      </c>
      <c r="J222" s="10" t="n">
        <f aca="false">Inputs!$B$13*Inputs!$B$7*(1+Inputs!$B$22)^(B222-1)/12</f>
        <v>342.479693763125</v>
      </c>
      <c r="K222" s="10" t="n">
        <f aca="false">Inputs!$B$14*Inputs!$B$7*(1+Inputs!$B$22)^(B222-1)/12</f>
        <v>684.959387526249</v>
      </c>
      <c r="L222" s="10" t="n">
        <f aca="false">Inputs!$B$15*(1+Inputs!$B$22)^(B222-1)</f>
        <v>0</v>
      </c>
      <c r="M222" s="10" t="n">
        <f aca="false">INDEX(Annual!$N$2:$N$51,B222)/12</f>
        <v>0</v>
      </c>
      <c r="N222" s="10" t="n">
        <f aca="false">D222+E222+G222+I222+J222+K222+L222-M222</f>
        <v>4523.96940353703</v>
      </c>
      <c r="O222" s="10" t="n">
        <f aca="false">Inputs!$B$17*(1+Inputs!$B$18)^(B222-1)+Inputs!$B$19*(1+Inputs!$B$22)^(B222-1)</f>
        <v>4668.38152673912</v>
      </c>
      <c r="P222" s="10" t="n">
        <f aca="false">N222-O222</f>
        <v>-144.412123202087</v>
      </c>
      <c r="Q222" s="10" t="n">
        <f aca="false">Q221*(1+Inputs!$B$42)-U222+MAX(P222,0)</f>
        <v>709420.28265301</v>
      </c>
      <c r="R222" s="10" t="n">
        <f aca="false">R221+Q221*Inputs!$B$48-U222+MAX(P222,0)</f>
        <v>317408.163514533</v>
      </c>
      <c r="S222" s="10" t="n">
        <f aca="false">S221*(1+Inputs!$B$42)-V222+MAX(-P222,0)</f>
        <v>1288.4212421273</v>
      </c>
      <c r="T222" s="10" t="n">
        <f aca="false">T221+S221*Inputs!$B$48-V222+MAX(-P222,0)</f>
        <v>1254.54714600924</v>
      </c>
      <c r="U222" s="10" t="n">
        <f aca="false">Q221*Inputs!$B$48*Inputs!$B$29</f>
        <v>97.0101184423522</v>
      </c>
      <c r="V222" s="10" t="n">
        <f aca="false">S221*Inputs!$B$48*Inputs!$B$29</f>
        <v>0.156438239559537</v>
      </c>
    </row>
    <row r="223" customFormat="false" ht="15" hidden="false" customHeight="false" outlineLevel="0" collapsed="false">
      <c r="A223" s="16" t="n">
        <v>222</v>
      </c>
      <c r="B223" s="16" t="n">
        <f aca="false">ROUNDUP(A223/12,0)</f>
        <v>19</v>
      </c>
      <c r="C223" s="10" t="n">
        <f aca="false">F222</f>
        <v>256511.841371804</v>
      </c>
      <c r="D223" s="10" t="n">
        <f aca="false">IF(AND(A223&lt;=Inputs!$B$9*12,C223&gt;0.000001),C223*Inputs!$B$10/12,0)</f>
        <v>1556.17183765561</v>
      </c>
      <c r="E223" s="10" t="n">
        <f aca="false">IF(AND(A223&lt;=Inputs!$B$9*12,C223&gt;0.000001),MIN(C223,Inputs!$B$41-D223),0)</f>
        <v>1180.6772913251</v>
      </c>
      <c r="F223" s="10" t="n">
        <f aca="false">C223-E223</f>
        <v>255331.164080479</v>
      </c>
      <c r="G223" s="10" t="n">
        <f aca="false">IF(AND(Inputs!$B$43=1,C223&gt;0.78*Inputs!$B$7,A223&lt;=Inputs!$B$9*6),Inputs!$B$16*Inputs!$B$39/12,0)</f>
        <v>0</v>
      </c>
      <c r="H223" s="10" t="n">
        <f aca="false">IF(B223=1,Inputs!$B$7,INDEX(Annual!$AC$2:$AC$51,B223-1))</f>
        <v>1012908.25768927</v>
      </c>
      <c r="I223" s="10" t="n">
        <f aca="false">Inputs!$B$12*IF(Inputs!$B$35="",H223,MIN(H223,Inputs!$B$7*(1+Inputs!$B$35)^(B223-1)))/12</f>
        <v>759.681193266949</v>
      </c>
      <c r="J223" s="10" t="n">
        <f aca="false">Inputs!$B$13*Inputs!$B$7*(1+Inputs!$B$22)^(B223-1)/12</f>
        <v>342.479693763125</v>
      </c>
      <c r="K223" s="10" t="n">
        <f aca="false">Inputs!$B$14*Inputs!$B$7*(1+Inputs!$B$22)^(B223-1)/12</f>
        <v>684.959387526249</v>
      </c>
      <c r="L223" s="10" t="n">
        <f aca="false">Inputs!$B$15*(1+Inputs!$B$22)^(B223-1)</f>
        <v>0</v>
      </c>
      <c r="M223" s="10" t="n">
        <f aca="false">INDEX(Annual!$N$2:$N$51,B223)/12</f>
        <v>0</v>
      </c>
      <c r="N223" s="10" t="n">
        <f aca="false">D223+E223+G223+I223+J223+K223+L223-M223</f>
        <v>4523.96940353703</v>
      </c>
      <c r="O223" s="10" t="n">
        <f aca="false">Inputs!$B$17*(1+Inputs!$B$18)^(B223-1)+Inputs!$B$19*(1+Inputs!$B$22)^(B223-1)</f>
        <v>4668.38152673912</v>
      </c>
      <c r="P223" s="10" t="n">
        <f aca="false">N223-O223</f>
        <v>-144.412123202087</v>
      </c>
      <c r="Q223" s="10" t="n">
        <f aca="false">Q222*(1+Inputs!$B$42)-U223+MAX(P223,0)</f>
        <v>713333.90278304</v>
      </c>
      <c r="R223" s="10" t="n">
        <f aca="false">R222+Q222*Inputs!$B$48-U223+MAX(P223,0)</f>
        <v>317960.920151433</v>
      </c>
      <c r="S223" s="10" t="n">
        <f aca="false">S222*(1+Inputs!$B$42)-V223+MAX(-P223,0)</f>
        <v>1439.94112843181</v>
      </c>
      <c r="T223" s="10" t="n">
        <f aca="false">T222+S222*Inputs!$B$48-V223+MAX(-P223,0)</f>
        <v>1399.96316409582</v>
      </c>
      <c r="U223" s="10" t="n">
        <f aca="false">Q222*Inputs!$B$48*Inputs!$B$29</f>
        <v>97.5452888647889</v>
      </c>
      <c r="V223" s="10" t="n">
        <f aca="false">S222*Inputs!$B$48*Inputs!$B$29</f>
        <v>0.177157920792504</v>
      </c>
    </row>
    <row r="224" customFormat="false" ht="15" hidden="false" customHeight="false" outlineLevel="0" collapsed="false">
      <c r="A224" s="16" t="n">
        <v>223</v>
      </c>
      <c r="B224" s="16" t="n">
        <f aca="false">ROUNDUP(A224/12,0)</f>
        <v>19</v>
      </c>
      <c r="C224" s="10" t="n">
        <f aca="false">F223</f>
        <v>255331.164080479</v>
      </c>
      <c r="D224" s="10" t="n">
        <f aca="false">IF(AND(A224&lt;=Inputs!$B$9*12,C224&gt;0.000001),C224*Inputs!$B$10/12,0)</f>
        <v>1549.00906208824</v>
      </c>
      <c r="E224" s="10" t="n">
        <f aca="false">IF(AND(A224&lt;=Inputs!$B$9*12,C224&gt;0.000001),MIN(C224,Inputs!$B$41-D224),0)</f>
        <v>1187.84006689247</v>
      </c>
      <c r="F224" s="10" t="n">
        <f aca="false">C224-E224</f>
        <v>254143.324013586</v>
      </c>
      <c r="G224" s="10" t="n">
        <f aca="false">IF(AND(Inputs!$B$43=1,C224&gt;0.78*Inputs!$B$7,A224&lt;=Inputs!$B$9*6),Inputs!$B$16*Inputs!$B$39/12,0)</f>
        <v>0</v>
      </c>
      <c r="H224" s="10" t="n">
        <f aca="false">IF(B224=1,Inputs!$B$7,INDEX(Annual!$AC$2:$AC$51,B224-1))</f>
        <v>1012908.25768927</v>
      </c>
      <c r="I224" s="10" t="n">
        <f aca="false">Inputs!$B$12*IF(Inputs!$B$35="",H224,MIN(H224,Inputs!$B$7*(1+Inputs!$B$35)^(B224-1)))/12</f>
        <v>759.681193266949</v>
      </c>
      <c r="J224" s="10" t="n">
        <f aca="false">Inputs!$B$13*Inputs!$B$7*(1+Inputs!$B$22)^(B224-1)/12</f>
        <v>342.479693763125</v>
      </c>
      <c r="K224" s="10" t="n">
        <f aca="false">Inputs!$B$14*Inputs!$B$7*(1+Inputs!$B$22)^(B224-1)/12</f>
        <v>684.959387526249</v>
      </c>
      <c r="L224" s="10" t="n">
        <f aca="false">Inputs!$B$15*(1+Inputs!$B$22)^(B224-1)</f>
        <v>0</v>
      </c>
      <c r="M224" s="10" t="n">
        <f aca="false">INDEX(Annual!$N$2:$N$51,B224)/12</f>
        <v>0</v>
      </c>
      <c r="N224" s="10" t="n">
        <f aca="false">D224+E224+G224+I224+J224+K224+L224-M224</f>
        <v>4523.96940353703</v>
      </c>
      <c r="O224" s="10" t="n">
        <f aca="false">Inputs!$B$17*(1+Inputs!$B$18)^(B224-1)+Inputs!$B$19*(1+Inputs!$B$22)^(B224-1)</f>
        <v>4668.38152673912</v>
      </c>
      <c r="P224" s="10" t="n">
        <f aca="false">N224-O224</f>
        <v>-144.412123202087</v>
      </c>
      <c r="Q224" s="10" t="n">
        <f aca="false">Q223*(1+Inputs!$B$42)-U224+MAX(P224,0)</f>
        <v>717269.112967507</v>
      </c>
      <c r="R224" s="10" t="n">
        <f aca="false">R223+Q223*Inputs!$B$48-U224+MAX(P224,0)</f>
        <v>318516.726150685</v>
      </c>
      <c r="S224" s="10" t="n">
        <f aca="false">S223*(1+Inputs!$B$42)-V224+MAX(-P224,0)</f>
        <v>1592.29689621819</v>
      </c>
      <c r="T224" s="10" t="n">
        <f aca="false">T223+S223*Inputs!$B$48-V224+MAX(-P224,0)</f>
        <v>1545.49724142714</v>
      </c>
      <c r="U224" s="10" t="n">
        <f aca="false">Q223*Inputs!$B$48*Inputs!$B$29</f>
        <v>98.0834116326679</v>
      </c>
      <c r="V224" s="10" t="n">
        <f aca="false">S223*Inputs!$B$48*Inputs!$B$29</f>
        <v>0.197991905159373</v>
      </c>
    </row>
    <row r="225" customFormat="false" ht="15" hidden="false" customHeight="false" outlineLevel="0" collapsed="false">
      <c r="A225" s="16" t="n">
        <v>224</v>
      </c>
      <c r="B225" s="16" t="n">
        <f aca="false">ROUNDUP(A225/12,0)</f>
        <v>19</v>
      </c>
      <c r="C225" s="10" t="n">
        <f aca="false">F224</f>
        <v>254143.324013586</v>
      </c>
      <c r="D225" s="10" t="n">
        <f aca="false">IF(AND(A225&lt;=Inputs!$B$9*12,C225&gt;0.000001),C225*Inputs!$B$10/12,0)</f>
        <v>1541.80283234909</v>
      </c>
      <c r="E225" s="10" t="n">
        <f aca="false">IF(AND(A225&lt;=Inputs!$B$9*12,C225&gt;0.000001),MIN(C225,Inputs!$B$41-D225),0)</f>
        <v>1195.04629663162</v>
      </c>
      <c r="F225" s="10" t="n">
        <f aca="false">C225-E225</f>
        <v>252948.277716955</v>
      </c>
      <c r="G225" s="10" t="n">
        <f aca="false">IF(AND(Inputs!$B$43=1,C225&gt;0.78*Inputs!$B$7,A225&lt;=Inputs!$B$9*6),Inputs!$B$16*Inputs!$B$39/12,0)</f>
        <v>0</v>
      </c>
      <c r="H225" s="10" t="n">
        <f aca="false">IF(B225=1,Inputs!$B$7,INDEX(Annual!$AC$2:$AC$51,B225-1))</f>
        <v>1012908.25768927</v>
      </c>
      <c r="I225" s="10" t="n">
        <f aca="false">Inputs!$B$12*IF(Inputs!$B$35="",H225,MIN(H225,Inputs!$B$7*(1+Inputs!$B$35)^(B225-1)))/12</f>
        <v>759.681193266949</v>
      </c>
      <c r="J225" s="10" t="n">
        <f aca="false">Inputs!$B$13*Inputs!$B$7*(1+Inputs!$B$22)^(B225-1)/12</f>
        <v>342.479693763125</v>
      </c>
      <c r="K225" s="10" t="n">
        <f aca="false">Inputs!$B$14*Inputs!$B$7*(1+Inputs!$B$22)^(B225-1)/12</f>
        <v>684.959387526249</v>
      </c>
      <c r="L225" s="10" t="n">
        <f aca="false">Inputs!$B$15*(1+Inputs!$B$22)^(B225-1)</f>
        <v>0</v>
      </c>
      <c r="M225" s="10" t="n">
        <f aca="false">INDEX(Annual!$N$2:$N$51,B225)/12</f>
        <v>0</v>
      </c>
      <c r="N225" s="10" t="n">
        <f aca="false">D225+E225+G225+I225+J225+K225+L225-M225</f>
        <v>4523.96940353703</v>
      </c>
      <c r="O225" s="10" t="n">
        <f aca="false">Inputs!$B$17*(1+Inputs!$B$18)^(B225-1)+Inputs!$B$19*(1+Inputs!$B$22)^(B225-1)</f>
        <v>4668.38152673912</v>
      </c>
      <c r="P225" s="10" t="n">
        <f aca="false">N225-O225</f>
        <v>-144.412123202087</v>
      </c>
      <c r="Q225" s="10" t="n">
        <f aca="false">Q224*(1+Inputs!$B$42)-U225+MAX(P225,0)</f>
        <v>721226.032311088</v>
      </c>
      <c r="R225" s="10" t="n">
        <f aca="false">R224+Q224*Inputs!$B$48-U225+MAX(P225,0)</f>
        <v>319075.598334539</v>
      </c>
      <c r="S225" s="10" t="n">
        <f aca="false">S224*(1+Inputs!$B$42)-V225+MAX(-P225,0)</f>
        <v>1745.49315674818</v>
      </c>
      <c r="T225" s="10" t="n">
        <f aca="false">T224+S224*Inputs!$B$48-V225+MAX(-P225,0)</f>
        <v>1691.1500292942</v>
      </c>
      <c r="U225" s="10" t="n">
        <f aca="false">Q224*Inputs!$B$48*Inputs!$B$29</f>
        <v>98.6245030330322</v>
      </c>
      <c r="V225" s="10" t="n">
        <f aca="false">S224*Inputs!$B$48*Inputs!$B$29</f>
        <v>0.218940823230001</v>
      </c>
    </row>
    <row r="226" customFormat="false" ht="15" hidden="false" customHeight="false" outlineLevel="0" collapsed="false">
      <c r="A226" s="16" t="n">
        <v>225</v>
      </c>
      <c r="B226" s="16" t="n">
        <f aca="false">ROUNDUP(A226/12,0)</f>
        <v>19</v>
      </c>
      <c r="C226" s="10" t="n">
        <f aca="false">F225</f>
        <v>252948.277716955</v>
      </c>
      <c r="D226" s="10" t="n">
        <f aca="false">IF(AND(A226&lt;=Inputs!$B$9*12,C226&gt;0.000001),C226*Inputs!$B$10/12,0)</f>
        <v>1534.55288481619</v>
      </c>
      <c r="E226" s="10" t="n">
        <f aca="false">IF(AND(A226&lt;=Inputs!$B$9*12,C226&gt;0.000001),MIN(C226,Inputs!$B$41-D226),0)</f>
        <v>1202.29624416451</v>
      </c>
      <c r="F226" s="10" t="n">
        <f aca="false">C226-E226</f>
        <v>251745.98147279</v>
      </c>
      <c r="G226" s="10" t="n">
        <f aca="false">IF(AND(Inputs!$B$43=1,C226&gt;0.78*Inputs!$B$7,A226&lt;=Inputs!$B$9*6),Inputs!$B$16*Inputs!$B$39/12,0)</f>
        <v>0</v>
      </c>
      <c r="H226" s="10" t="n">
        <f aca="false">IF(B226=1,Inputs!$B$7,INDEX(Annual!$AC$2:$AC$51,B226-1))</f>
        <v>1012908.25768927</v>
      </c>
      <c r="I226" s="10" t="n">
        <f aca="false">Inputs!$B$12*IF(Inputs!$B$35="",H226,MIN(H226,Inputs!$B$7*(1+Inputs!$B$35)^(B226-1)))/12</f>
        <v>759.681193266949</v>
      </c>
      <c r="J226" s="10" t="n">
        <f aca="false">Inputs!$B$13*Inputs!$B$7*(1+Inputs!$B$22)^(B226-1)/12</f>
        <v>342.479693763125</v>
      </c>
      <c r="K226" s="10" t="n">
        <f aca="false">Inputs!$B$14*Inputs!$B$7*(1+Inputs!$B$22)^(B226-1)/12</f>
        <v>684.959387526249</v>
      </c>
      <c r="L226" s="10" t="n">
        <f aca="false">Inputs!$B$15*(1+Inputs!$B$22)^(B226-1)</f>
        <v>0</v>
      </c>
      <c r="M226" s="10" t="n">
        <f aca="false">INDEX(Annual!$N$2:$N$51,B226)/12</f>
        <v>0</v>
      </c>
      <c r="N226" s="10" t="n">
        <f aca="false">D226+E226+G226+I226+J226+K226+L226-M226</f>
        <v>4523.96940353703</v>
      </c>
      <c r="O226" s="10" t="n">
        <f aca="false">Inputs!$B$17*(1+Inputs!$B$18)^(B226-1)+Inputs!$B$19*(1+Inputs!$B$22)^(B226-1)</f>
        <v>4668.38152673912</v>
      </c>
      <c r="P226" s="10" t="n">
        <f aca="false">N226-O226</f>
        <v>-144.412123202087</v>
      </c>
      <c r="Q226" s="10" t="n">
        <f aca="false">Q225*(1+Inputs!$B$42)-U226+MAX(P226,0)</f>
        <v>725204.780575513</v>
      </c>
      <c r="R226" s="10" t="n">
        <f aca="false">R225+Q225*Inputs!$B$48-U226+MAX(P226,0)</f>
        <v>319637.553618048</v>
      </c>
      <c r="S226" s="10" t="n">
        <f aca="false">S225*(1+Inputs!$B$42)-V226+MAX(-P226,0)</f>
        <v>1899.53454672219</v>
      </c>
      <c r="T226" s="10" t="n">
        <f aca="false">T225+S225*Inputs!$B$48-V226+MAX(-P226,0)</f>
        <v>1836.92218258092</v>
      </c>
      <c r="U226" s="10" t="n">
        <f aca="false">Q225*Inputs!$B$48*Inputs!$B$29</f>
        <v>99.1685794427746</v>
      </c>
      <c r="V226" s="10" t="n">
        <f aca="false">S225*Inputs!$B$48*Inputs!$B$29</f>
        <v>0.240005309052875</v>
      </c>
    </row>
    <row r="227" customFormat="false" ht="15" hidden="false" customHeight="false" outlineLevel="0" collapsed="false">
      <c r="A227" s="16" t="n">
        <v>226</v>
      </c>
      <c r="B227" s="16" t="n">
        <f aca="false">ROUNDUP(A227/12,0)</f>
        <v>19</v>
      </c>
      <c r="C227" s="10" t="n">
        <f aca="false">F226</f>
        <v>251745.98147279</v>
      </c>
      <c r="D227" s="10" t="n">
        <f aca="false">IF(AND(A227&lt;=Inputs!$B$9*12,C227&gt;0.000001),C227*Inputs!$B$10/12,0)</f>
        <v>1527.25895426826</v>
      </c>
      <c r="E227" s="10" t="n">
        <f aca="false">IF(AND(A227&lt;=Inputs!$B$9*12,C227&gt;0.000001),MIN(C227,Inputs!$B$41-D227),0)</f>
        <v>1209.59017471245</v>
      </c>
      <c r="F227" s="10" t="n">
        <f aca="false">C227-E227</f>
        <v>250536.391298078</v>
      </c>
      <c r="G227" s="10" t="n">
        <f aca="false">IF(AND(Inputs!$B$43=1,C227&gt;0.78*Inputs!$B$7,A227&lt;=Inputs!$B$9*6),Inputs!$B$16*Inputs!$B$39/12,0)</f>
        <v>0</v>
      </c>
      <c r="H227" s="10" t="n">
        <f aca="false">IF(B227=1,Inputs!$B$7,INDEX(Annual!$AC$2:$AC$51,B227-1))</f>
        <v>1012908.25768927</v>
      </c>
      <c r="I227" s="10" t="n">
        <f aca="false">Inputs!$B$12*IF(Inputs!$B$35="",H227,MIN(H227,Inputs!$B$7*(1+Inputs!$B$35)^(B227-1)))/12</f>
        <v>759.681193266949</v>
      </c>
      <c r="J227" s="10" t="n">
        <f aca="false">Inputs!$B$13*Inputs!$B$7*(1+Inputs!$B$22)^(B227-1)/12</f>
        <v>342.479693763125</v>
      </c>
      <c r="K227" s="10" t="n">
        <f aca="false">Inputs!$B$14*Inputs!$B$7*(1+Inputs!$B$22)^(B227-1)/12</f>
        <v>684.959387526249</v>
      </c>
      <c r="L227" s="10" t="n">
        <f aca="false">Inputs!$B$15*(1+Inputs!$B$22)^(B227-1)</f>
        <v>0</v>
      </c>
      <c r="M227" s="10" t="n">
        <f aca="false">INDEX(Annual!$N$2:$N$51,B227)/12</f>
        <v>0</v>
      </c>
      <c r="N227" s="10" t="n">
        <f aca="false">D227+E227+G227+I227+J227+K227+L227-M227</f>
        <v>4523.96940353703</v>
      </c>
      <c r="O227" s="10" t="n">
        <f aca="false">Inputs!$B$17*(1+Inputs!$B$18)^(B227-1)+Inputs!$B$19*(1+Inputs!$B$22)^(B227-1)</f>
        <v>4668.38152673912</v>
      </c>
      <c r="P227" s="10" t="n">
        <f aca="false">N227-O227</f>
        <v>-144.412123202087</v>
      </c>
      <c r="Q227" s="10" t="n">
        <f aca="false">Q226*(1+Inputs!$B$42)-U227+MAX(P227,0)</f>
        <v>729205.4781832</v>
      </c>
      <c r="R227" s="10" t="n">
        <f aca="false">R226+Q226*Inputs!$B$48-U227+MAX(P227,0)</f>
        <v>320202.60900958</v>
      </c>
      <c r="S227" s="10" t="n">
        <f aca="false">S226*(1+Inputs!$B$42)-V227+MAX(-P227,0)</f>
        <v>2054.42572841967</v>
      </c>
      <c r="T227" s="10" t="n">
        <f aca="false">T226+S226*Inputs!$B$48-V227+MAX(-P227,0)</f>
        <v>1982.814359784</v>
      </c>
      <c r="U227" s="10" t="n">
        <f aca="false">Q226*Inputs!$B$48*Inputs!$B$29</f>
        <v>99.7156573291331</v>
      </c>
      <c r="V227" s="10" t="n">
        <f aca="false">S226*Inputs!$B$48*Inputs!$B$29</f>
        <v>0.261186000174301</v>
      </c>
    </row>
    <row r="228" customFormat="false" ht="15" hidden="false" customHeight="false" outlineLevel="0" collapsed="false">
      <c r="A228" s="16" t="n">
        <v>227</v>
      </c>
      <c r="B228" s="16" t="n">
        <f aca="false">ROUNDUP(A228/12,0)</f>
        <v>19</v>
      </c>
      <c r="C228" s="10" t="n">
        <f aca="false">F227</f>
        <v>250536.391298078</v>
      </c>
      <c r="D228" s="10" t="n">
        <f aca="false">IF(AND(A228&lt;=Inputs!$B$9*12,C228&gt;0.000001),C228*Inputs!$B$10/12,0)</f>
        <v>1519.92077387501</v>
      </c>
      <c r="E228" s="10" t="n">
        <f aca="false">IF(AND(A228&lt;=Inputs!$B$9*12,C228&gt;0.000001),MIN(C228,Inputs!$B$41-D228),0)</f>
        <v>1216.9283551057</v>
      </c>
      <c r="F228" s="10" t="n">
        <f aca="false">C228-E228</f>
        <v>249319.462942972</v>
      </c>
      <c r="G228" s="10" t="n">
        <f aca="false">IF(AND(Inputs!$B$43=1,C228&gt;0.78*Inputs!$B$7,A228&lt;=Inputs!$B$9*6),Inputs!$B$16*Inputs!$B$39/12,0)</f>
        <v>0</v>
      </c>
      <c r="H228" s="10" t="n">
        <f aca="false">IF(B228=1,Inputs!$B$7,INDEX(Annual!$AC$2:$AC$51,B228-1))</f>
        <v>1012908.25768927</v>
      </c>
      <c r="I228" s="10" t="n">
        <f aca="false">Inputs!$B$12*IF(Inputs!$B$35="",H228,MIN(H228,Inputs!$B$7*(1+Inputs!$B$35)^(B228-1)))/12</f>
        <v>759.681193266949</v>
      </c>
      <c r="J228" s="10" t="n">
        <f aca="false">Inputs!$B$13*Inputs!$B$7*(1+Inputs!$B$22)^(B228-1)/12</f>
        <v>342.479693763125</v>
      </c>
      <c r="K228" s="10" t="n">
        <f aca="false">Inputs!$B$14*Inputs!$B$7*(1+Inputs!$B$22)^(B228-1)/12</f>
        <v>684.959387526249</v>
      </c>
      <c r="L228" s="10" t="n">
        <f aca="false">Inputs!$B$15*(1+Inputs!$B$22)^(B228-1)</f>
        <v>0</v>
      </c>
      <c r="M228" s="10" t="n">
        <f aca="false">INDEX(Annual!$N$2:$N$51,B228)/12</f>
        <v>0</v>
      </c>
      <c r="N228" s="10" t="n">
        <f aca="false">D228+E228+G228+I228+J228+K228+L228-M228</f>
        <v>4523.96940353703</v>
      </c>
      <c r="O228" s="10" t="n">
        <f aca="false">Inputs!$B$17*(1+Inputs!$B$18)^(B228-1)+Inputs!$B$19*(1+Inputs!$B$22)^(B228-1)</f>
        <v>4668.38152673912</v>
      </c>
      <c r="P228" s="10" t="n">
        <f aca="false">N228-O228</f>
        <v>-144.412123202087</v>
      </c>
      <c r="Q228" s="10" t="n">
        <f aca="false">Q227*(1+Inputs!$B$42)-U228+MAX(P228,0)</f>
        <v>733228.24622089</v>
      </c>
      <c r="R228" s="10" t="n">
        <f aca="false">R227+Q227*Inputs!$B$48-U228+MAX(P228,0)</f>
        <v>320770.781611331</v>
      </c>
      <c r="S228" s="10" t="n">
        <f aca="false">S227*(1+Inputs!$B$42)-V228+MAX(-P228,0)</f>
        <v>2210.17138984021</v>
      </c>
      <c r="T228" s="10" t="n">
        <f aca="false">T227+S227*Inputs!$B$48-V228+MAX(-P228,0)</f>
        <v>2128.82722303281</v>
      </c>
      <c r="U228" s="10" t="n">
        <f aca="false">Q227*Inputs!$B$48*Inputs!$B$29</f>
        <v>100.26575325019</v>
      </c>
      <c r="V228" s="10" t="n">
        <f aca="false">S227*Inputs!$B$48*Inputs!$B$29</f>
        <v>0.282483537657704</v>
      </c>
    </row>
    <row r="229" customFormat="false" ht="15" hidden="false" customHeight="false" outlineLevel="0" collapsed="false">
      <c r="A229" s="16" t="n">
        <v>228</v>
      </c>
      <c r="B229" s="16" t="n">
        <f aca="false">ROUNDUP(A229/12,0)</f>
        <v>19</v>
      </c>
      <c r="C229" s="10" t="n">
        <f aca="false">F228</f>
        <v>249319.462942972</v>
      </c>
      <c r="D229" s="10" t="n">
        <f aca="false">IF(AND(A229&lt;=Inputs!$B$9*12,C229&gt;0.000001),C229*Inputs!$B$10/12,0)</f>
        <v>1512.53807518736</v>
      </c>
      <c r="E229" s="10" t="n">
        <f aca="false">IF(AND(A229&lt;=Inputs!$B$9*12,C229&gt;0.000001),MIN(C229,Inputs!$B$41-D229),0)</f>
        <v>1224.31105379334</v>
      </c>
      <c r="F229" s="10" t="n">
        <f aca="false">C229-E229</f>
        <v>248095.151889179</v>
      </c>
      <c r="G229" s="10" t="n">
        <f aca="false">IF(AND(Inputs!$B$43=1,C229&gt;0.78*Inputs!$B$7,A229&lt;=Inputs!$B$9*6),Inputs!$B$16*Inputs!$B$39/12,0)</f>
        <v>0</v>
      </c>
      <c r="H229" s="10" t="n">
        <f aca="false">IF(B229=1,Inputs!$B$7,INDEX(Annual!$AC$2:$AC$51,B229-1))</f>
        <v>1012908.25768927</v>
      </c>
      <c r="I229" s="10" t="n">
        <f aca="false">Inputs!$B$12*IF(Inputs!$B$35="",H229,MIN(H229,Inputs!$B$7*(1+Inputs!$B$35)^(B229-1)))/12</f>
        <v>759.681193266949</v>
      </c>
      <c r="J229" s="10" t="n">
        <f aca="false">Inputs!$B$13*Inputs!$B$7*(1+Inputs!$B$22)^(B229-1)/12</f>
        <v>342.479693763125</v>
      </c>
      <c r="K229" s="10" t="n">
        <f aca="false">Inputs!$B$14*Inputs!$B$7*(1+Inputs!$B$22)^(B229-1)/12</f>
        <v>684.959387526249</v>
      </c>
      <c r="L229" s="10" t="n">
        <f aca="false">Inputs!$B$15*(1+Inputs!$B$22)^(B229-1)</f>
        <v>0</v>
      </c>
      <c r="M229" s="10" t="n">
        <f aca="false">INDEX(Annual!$N$2:$N$51,B229)/12</f>
        <v>0</v>
      </c>
      <c r="N229" s="10" t="n">
        <f aca="false">D229+E229+G229+I229+J229+K229+L229-M229</f>
        <v>4523.96940353703</v>
      </c>
      <c r="O229" s="10" t="n">
        <f aca="false">Inputs!$B$17*(1+Inputs!$B$18)^(B229-1)+Inputs!$B$19*(1+Inputs!$B$22)^(B229-1)</f>
        <v>4668.38152673912</v>
      </c>
      <c r="P229" s="10" t="n">
        <f aca="false">N229-O229</f>
        <v>-144.412123202087</v>
      </c>
      <c r="Q229" s="10" t="n">
        <f aca="false">Q228*(1+Inputs!$B$42)-U229+MAX(P229,0)</f>
        <v>737273.206443319</v>
      </c>
      <c r="R229" s="10" t="n">
        <f aca="false">R228+Q228*Inputs!$B$48-U229+MAX(P229,0)</f>
        <v>321342.088619845</v>
      </c>
      <c r="S229" s="10" t="n">
        <f aca="false">S228*(1+Inputs!$B$42)-V229+MAX(-P229,0)</f>
        <v>2366.77624484543</v>
      </c>
      <c r="T229" s="10" t="n">
        <f aca="false">T228+S228*Inputs!$B$48-V229+MAX(-P229,0)</f>
        <v>2274.96143810948</v>
      </c>
      <c r="U229" s="10" t="n">
        <f aca="false">Q228*Inputs!$B$48*Inputs!$B$29</f>
        <v>100.818883855372</v>
      </c>
      <c r="V229" s="10" t="n">
        <f aca="false">S228*Inputs!$B$48*Inputs!$B$29</f>
        <v>0.303898566103029</v>
      </c>
    </row>
    <row r="230" customFormat="false" ht="15" hidden="false" customHeight="false" outlineLevel="0" collapsed="false">
      <c r="A230" s="16" t="n">
        <v>229</v>
      </c>
      <c r="B230" s="16" t="n">
        <f aca="false">ROUNDUP(A230/12,0)</f>
        <v>20</v>
      </c>
      <c r="C230" s="10" t="n">
        <f aca="false">F229</f>
        <v>248095.151889179</v>
      </c>
      <c r="D230" s="10" t="n">
        <f aca="false">IF(AND(A230&lt;=Inputs!$B$9*12,C230&gt;0.000001),C230*Inputs!$B$10/12,0)</f>
        <v>1505.11058812768</v>
      </c>
      <c r="E230" s="10" t="n">
        <f aca="false">IF(AND(A230&lt;=Inputs!$B$9*12,C230&gt;0.000001),MIN(C230,Inputs!$B$41-D230),0)</f>
        <v>1231.73854085302</v>
      </c>
      <c r="F230" s="10" t="n">
        <f aca="false">C230-E230</f>
        <v>246863.413348326</v>
      </c>
      <c r="G230" s="10" t="n">
        <f aca="false">IF(AND(Inputs!$B$43=1,C230&gt;0.78*Inputs!$B$7,A230&lt;=Inputs!$B$9*6),Inputs!$B$16*Inputs!$B$39/12,0)</f>
        <v>0</v>
      </c>
      <c r="H230" s="10" t="n">
        <f aca="false">IF(B230=1,Inputs!$B$7,INDEX(Annual!$AC$2:$AC$51,B230-1))</f>
        <v>1053424.58799684</v>
      </c>
      <c r="I230" s="10" t="n">
        <f aca="false">Inputs!$B$12*IF(Inputs!$B$35="",H230,MIN(H230,Inputs!$B$7*(1+Inputs!$B$35)^(B230-1)))/12</f>
        <v>790.068440997628</v>
      </c>
      <c r="J230" s="10" t="n">
        <f aca="false">Inputs!$B$13*Inputs!$B$7*(1+Inputs!$B$22)^(B230-1)/12</f>
        <v>352.069125188492</v>
      </c>
      <c r="K230" s="10" t="n">
        <f aca="false">Inputs!$B$14*Inputs!$B$7*(1+Inputs!$B$22)^(B230-1)/12</f>
        <v>704.138250376985</v>
      </c>
      <c r="L230" s="10" t="n">
        <f aca="false">Inputs!$B$15*(1+Inputs!$B$22)^(B230-1)</f>
        <v>0</v>
      </c>
      <c r="M230" s="10" t="n">
        <f aca="false">INDEX(Annual!$N$2:$N$51,B230)/12</f>
        <v>0</v>
      </c>
      <c r="N230" s="10" t="n">
        <f aca="false">D230+E230+G230+I230+J230+K230+L230-M230</f>
        <v>4583.12494554381</v>
      </c>
      <c r="O230" s="10" t="n">
        <f aca="false">Inputs!$B$17*(1+Inputs!$B$18)^(B230-1)+Inputs!$B$19*(1+Inputs!$B$22)^(B230-1)</f>
        <v>4831.60227040933</v>
      </c>
      <c r="P230" s="10" t="n">
        <f aca="false">N230-O230</f>
        <v>-248.477324865517</v>
      </c>
      <c r="Q230" s="10" t="n">
        <f aca="false">Q229*(1+Inputs!$B$42)-U230+MAX(P230,0)</f>
        <v>741340.481276902</v>
      </c>
      <c r="R230" s="10" t="n">
        <f aca="false">R229+Q229*Inputs!$B$48-U230+MAX(P230,0)</f>
        <v>321916.547326532</v>
      </c>
      <c r="S230" s="10" t="n">
        <f aca="false">S229*(1+Inputs!$B$42)-V230+MAX(-P230,0)</f>
        <v>2628.3102349651</v>
      </c>
      <c r="T230" s="10" t="n">
        <f aca="false">T229+S229*Inputs!$B$48-V230+MAX(-P230,0)</f>
        <v>2525.28287613244</v>
      </c>
      <c r="U230" s="10" t="n">
        <f aca="false">Q229*Inputs!$B$48*Inputs!$B$29</f>
        <v>101.375065885956</v>
      </c>
      <c r="V230" s="10" t="n">
        <f aca="false">S229*Inputs!$B$48*Inputs!$B$29</f>
        <v>0.325431733666247</v>
      </c>
    </row>
    <row r="231" customFormat="false" ht="15" hidden="false" customHeight="false" outlineLevel="0" collapsed="false">
      <c r="A231" s="16" t="n">
        <v>230</v>
      </c>
      <c r="B231" s="16" t="n">
        <f aca="false">ROUNDUP(A231/12,0)</f>
        <v>20</v>
      </c>
      <c r="C231" s="10" t="n">
        <f aca="false">F230</f>
        <v>246863.413348326</v>
      </c>
      <c r="D231" s="10" t="n">
        <f aca="false">IF(AND(A231&lt;=Inputs!$B$9*12,C231&gt;0.000001),C231*Inputs!$B$10/12,0)</f>
        <v>1497.63804097984</v>
      </c>
      <c r="E231" s="10" t="n">
        <f aca="false">IF(AND(A231&lt;=Inputs!$B$9*12,C231&gt;0.000001),MIN(C231,Inputs!$B$41-D231),0)</f>
        <v>1239.21108800086</v>
      </c>
      <c r="F231" s="10" t="n">
        <f aca="false">C231-E231</f>
        <v>245624.202260325</v>
      </c>
      <c r="G231" s="10" t="n">
        <f aca="false">IF(AND(Inputs!$B$43=1,C231&gt;0.78*Inputs!$B$7,A231&lt;=Inputs!$B$9*6),Inputs!$B$16*Inputs!$B$39/12,0)</f>
        <v>0</v>
      </c>
      <c r="H231" s="10" t="n">
        <f aca="false">IF(B231=1,Inputs!$B$7,INDEX(Annual!$AC$2:$AC$51,B231-1))</f>
        <v>1053424.58799684</v>
      </c>
      <c r="I231" s="10" t="n">
        <f aca="false">Inputs!$B$12*IF(Inputs!$B$35="",H231,MIN(H231,Inputs!$B$7*(1+Inputs!$B$35)^(B231-1)))/12</f>
        <v>790.068440997628</v>
      </c>
      <c r="J231" s="10" t="n">
        <f aca="false">Inputs!$B$13*Inputs!$B$7*(1+Inputs!$B$22)^(B231-1)/12</f>
        <v>352.069125188492</v>
      </c>
      <c r="K231" s="10" t="n">
        <f aca="false">Inputs!$B$14*Inputs!$B$7*(1+Inputs!$B$22)^(B231-1)/12</f>
        <v>704.138250376985</v>
      </c>
      <c r="L231" s="10" t="n">
        <f aca="false">Inputs!$B$15*(1+Inputs!$B$22)^(B231-1)</f>
        <v>0</v>
      </c>
      <c r="M231" s="10" t="n">
        <f aca="false">INDEX(Annual!$N$2:$N$51,B231)/12</f>
        <v>0</v>
      </c>
      <c r="N231" s="10" t="n">
        <f aca="false">D231+E231+G231+I231+J231+K231+L231-M231</f>
        <v>4583.12494554381</v>
      </c>
      <c r="O231" s="10" t="n">
        <f aca="false">Inputs!$B$17*(1+Inputs!$B$18)^(B231-1)+Inputs!$B$19*(1+Inputs!$B$22)^(B231-1)</f>
        <v>4831.60227040933</v>
      </c>
      <c r="P231" s="10" t="n">
        <f aca="false">N231-O231</f>
        <v>-248.477324865517</v>
      </c>
      <c r="Q231" s="10" t="n">
        <f aca="false">Q230*(1+Inputs!$B$42)-U231+MAX(P231,0)</f>
        <v>745430.193823435</v>
      </c>
      <c r="R231" s="10" t="n">
        <f aca="false">R230+Q230*Inputs!$B$48-U231+MAX(P231,0)</f>
        <v>322494.175118193</v>
      </c>
      <c r="S231" s="10" t="n">
        <f aca="false">S230*(1+Inputs!$B$42)-V231+MAX(-P231,0)</f>
        <v>2891.28701536501</v>
      </c>
      <c r="T231" s="10" t="n">
        <f aca="false">T230+S230*Inputs!$B$48-V231+MAX(-P231,0)</f>
        <v>2775.8080927227</v>
      </c>
      <c r="U231" s="10" t="n">
        <f aca="false">Q230*Inputs!$B$48*Inputs!$B$29</f>
        <v>101.934316175574</v>
      </c>
      <c r="V231" s="10" t="n">
        <f aca="false">S230*Inputs!$B$48*Inputs!$B$29</f>
        <v>0.361392657307701</v>
      </c>
    </row>
    <row r="232" customFormat="false" ht="15" hidden="false" customHeight="false" outlineLevel="0" collapsed="false">
      <c r="A232" s="16" t="n">
        <v>231</v>
      </c>
      <c r="B232" s="16" t="n">
        <f aca="false">ROUNDUP(A232/12,0)</f>
        <v>20</v>
      </c>
      <c r="C232" s="10" t="n">
        <f aca="false">F231</f>
        <v>245624.202260325</v>
      </c>
      <c r="D232" s="10" t="n">
        <f aca="false">IF(AND(A232&lt;=Inputs!$B$9*12,C232&gt;0.000001),C232*Inputs!$B$10/12,0)</f>
        <v>1490.1201603793</v>
      </c>
      <c r="E232" s="10" t="n">
        <f aca="false">IF(AND(A232&lt;=Inputs!$B$9*12,C232&gt;0.000001),MIN(C232,Inputs!$B$41-D232),0)</f>
        <v>1246.7289686014</v>
      </c>
      <c r="F232" s="10" t="n">
        <f aca="false">C232-E232</f>
        <v>244377.473291723</v>
      </c>
      <c r="G232" s="10" t="n">
        <f aca="false">IF(AND(Inputs!$B$43=1,C232&gt;0.78*Inputs!$B$7,A232&lt;=Inputs!$B$9*6),Inputs!$B$16*Inputs!$B$39/12,0)</f>
        <v>0</v>
      </c>
      <c r="H232" s="10" t="n">
        <f aca="false">IF(B232=1,Inputs!$B$7,INDEX(Annual!$AC$2:$AC$51,B232-1))</f>
        <v>1053424.58799684</v>
      </c>
      <c r="I232" s="10" t="n">
        <f aca="false">Inputs!$B$12*IF(Inputs!$B$35="",H232,MIN(H232,Inputs!$B$7*(1+Inputs!$B$35)^(B232-1)))/12</f>
        <v>790.068440997628</v>
      </c>
      <c r="J232" s="10" t="n">
        <f aca="false">Inputs!$B$13*Inputs!$B$7*(1+Inputs!$B$22)^(B232-1)/12</f>
        <v>352.069125188492</v>
      </c>
      <c r="K232" s="10" t="n">
        <f aca="false">Inputs!$B$14*Inputs!$B$7*(1+Inputs!$B$22)^(B232-1)/12</f>
        <v>704.138250376985</v>
      </c>
      <c r="L232" s="10" t="n">
        <f aca="false">Inputs!$B$15*(1+Inputs!$B$22)^(B232-1)</f>
        <v>0</v>
      </c>
      <c r="M232" s="10" t="n">
        <f aca="false">INDEX(Annual!$N$2:$N$51,B232)/12</f>
        <v>0</v>
      </c>
      <c r="N232" s="10" t="n">
        <f aca="false">D232+E232+G232+I232+J232+K232+L232-M232</f>
        <v>4583.12494554381</v>
      </c>
      <c r="O232" s="10" t="n">
        <f aca="false">Inputs!$B$17*(1+Inputs!$B$18)^(B232-1)+Inputs!$B$19*(1+Inputs!$B$22)^(B232-1)</f>
        <v>4831.60227040933</v>
      </c>
      <c r="P232" s="10" t="n">
        <f aca="false">N232-O232</f>
        <v>-248.477324865517</v>
      </c>
      <c r="Q232" s="10" t="n">
        <f aca="false">Q231*(1+Inputs!$B$42)-U232+MAX(P232,0)</f>
        <v>749542.467863824</v>
      </c>
      <c r="R232" s="10" t="n">
        <f aca="false">R231+Q231*Inputs!$B$48-U232+MAX(P232,0)</f>
        <v>323074.989477547</v>
      </c>
      <c r="S232" s="10" t="n">
        <f aca="false">S231*(1+Inputs!$B$42)-V232+MAX(-P232,0)</f>
        <v>3155.7145454075</v>
      </c>
      <c r="T232" s="10" t="n">
        <f aca="false">T231+S231*Inputs!$B$48-V232+MAX(-P232,0)</f>
        <v>3026.53821205436</v>
      </c>
      <c r="U232" s="10" t="n">
        <f aca="false">Q231*Inputs!$B$48*Inputs!$B$29</f>
        <v>102.496651650722</v>
      </c>
      <c r="V232" s="10" t="n">
        <f aca="false">S231*Inputs!$B$48*Inputs!$B$29</f>
        <v>0.397551964612688</v>
      </c>
    </row>
    <row r="233" customFormat="false" ht="15" hidden="false" customHeight="false" outlineLevel="0" collapsed="false">
      <c r="A233" s="16" t="n">
        <v>232</v>
      </c>
      <c r="B233" s="16" t="n">
        <f aca="false">ROUNDUP(A233/12,0)</f>
        <v>20</v>
      </c>
      <c r="C233" s="10" t="n">
        <f aca="false">F232</f>
        <v>244377.473291723</v>
      </c>
      <c r="D233" s="10" t="n">
        <f aca="false">IF(AND(A233&lt;=Inputs!$B$9*12,C233&gt;0.000001),C233*Inputs!$B$10/12,0)</f>
        <v>1482.55667130312</v>
      </c>
      <c r="E233" s="10" t="n">
        <f aca="false">IF(AND(A233&lt;=Inputs!$B$9*12,C233&gt;0.000001),MIN(C233,Inputs!$B$41-D233),0)</f>
        <v>1254.29245767758</v>
      </c>
      <c r="F233" s="10" t="n">
        <f aca="false">C233-E233</f>
        <v>243123.180834046</v>
      </c>
      <c r="G233" s="10" t="n">
        <f aca="false">IF(AND(Inputs!$B$43=1,C233&gt;0.78*Inputs!$B$7,A233&lt;=Inputs!$B$9*6),Inputs!$B$16*Inputs!$B$39/12,0)</f>
        <v>0</v>
      </c>
      <c r="H233" s="10" t="n">
        <f aca="false">IF(B233=1,Inputs!$B$7,INDEX(Annual!$AC$2:$AC$51,B233-1))</f>
        <v>1053424.58799684</v>
      </c>
      <c r="I233" s="10" t="n">
        <f aca="false">Inputs!$B$12*IF(Inputs!$B$35="",H233,MIN(H233,Inputs!$B$7*(1+Inputs!$B$35)^(B233-1)))/12</f>
        <v>790.068440997628</v>
      </c>
      <c r="J233" s="10" t="n">
        <f aca="false">Inputs!$B$13*Inputs!$B$7*(1+Inputs!$B$22)^(B233-1)/12</f>
        <v>352.069125188492</v>
      </c>
      <c r="K233" s="10" t="n">
        <f aca="false">Inputs!$B$14*Inputs!$B$7*(1+Inputs!$B$22)^(B233-1)/12</f>
        <v>704.138250376985</v>
      </c>
      <c r="L233" s="10" t="n">
        <f aca="false">Inputs!$B$15*(1+Inputs!$B$22)^(B233-1)</f>
        <v>0</v>
      </c>
      <c r="M233" s="10" t="n">
        <f aca="false">INDEX(Annual!$N$2:$N$51,B233)/12</f>
        <v>0</v>
      </c>
      <c r="N233" s="10" t="n">
        <f aca="false">D233+E233+G233+I233+J233+K233+L233-M233</f>
        <v>4583.12494554381</v>
      </c>
      <c r="O233" s="10" t="n">
        <f aca="false">Inputs!$B$17*(1+Inputs!$B$18)^(B233-1)+Inputs!$B$19*(1+Inputs!$B$22)^(B233-1)</f>
        <v>4831.60227040933</v>
      </c>
      <c r="P233" s="10" t="n">
        <f aca="false">N233-O233</f>
        <v>-248.477324865517</v>
      </c>
      <c r="Q233" s="10" t="n">
        <f aca="false">Q232*(1+Inputs!$B$42)-U233+MAX(P233,0)</f>
        <v>753677.427861829</v>
      </c>
      <c r="R233" s="10" t="n">
        <f aca="false">R232+Q232*Inputs!$B$48-U233+MAX(P233,0)</f>
        <v>323659.007983758</v>
      </c>
      <c r="S233" s="10" t="n">
        <f aca="false">S232*(1+Inputs!$B$42)-V233+MAX(-P233,0)</f>
        <v>3421.60082836391</v>
      </c>
      <c r="T233" s="10" t="n">
        <f aca="false">T232+S232*Inputs!$B$48-V233+MAX(-P233,0)</f>
        <v>3277.47436450317</v>
      </c>
      <c r="U233" s="10" t="n">
        <f aca="false">Q232*Inputs!$B$48*Inputs!$B$29</f>
        <v>103.062089331276</v>
      </c>
      <c r="V233" s="10" t="n">
        <f aca="false">S232*Inputs!$B$48*Inputs!$B$29</f>
        <v>0.433910749993531</v>
      </c>
    </row>
    <row r="234" customFormat="false" ht="15" hidden="false" customHeight="false" outlineLevel="0" collapsed="false">
      <c r="A234" s="16" t="n">
        <v>233</v>
      </c>
      <c r="B234" s="16" t="n">
        <f aca="false">ROUNDUP(A234/12,0)</f>
        <v>20</v>
      </c>
      <c r="C234" s="10" t="n">
        <f aca="false">F233</f>
        <v>243123.180834046</v>
      </c>
      <c r="D234" s="10" t="n">
        <f aca="false">IF(AND(A234&lt;=Inputs!$B$9*12,C234&gt;0.000001),C234*Inputs!$B$10/12,0)</f>
        <v>1474.94729705988</v>
      </c>
      <c r="E234" s="10" t="n">
        <f aca="false">IF(AND(A234&lt;=Inputs!$B$9*12,C234&gt;0.000001),MIN(C234,Inputs!$B$41-D234),0)</f>
        <v>1261.90183192083</v>
      </c>
      <c r="F234" s="10" t="n">
        <f aca="false">C234-E234</f>
        <v>241861.279002125</v>
      </c>
      <c r="G234" s="10" t="n">
        <f aca="false">IF(AND(Inputs!$B$43=1,C234&gt;0.78*Inputs!$B$7,A234&lt;=Inputs!$B$9*6),Inputs!$B$16*Inputs!$B$39/12,0)</f>
        <v>0</v>
      </c>
      <c r="H234" s="10" t="n">
        <f aca="false">IF(B234=1,Inputs!$B$7,INDEX(Annual!$AC$2:$AC$51,B234-1))</f>
        <v>1053424.58799684</v>
      </c>
      <c r="I234" s="10" t="n">
        <f aca="false">Inputs!$B$12*IF(Inputs!$B$35="",H234,MIN(H234,Inputs!$B$7*(1+Inputs!$B$35)^(B234-1)))/12</f>
        <v>790.068440997628</v>
      </c>
      <c r="J234" s="10" t="n">
        <f aca="false">Inputs!$B$13*Inputs!$B$7*(1+Inputs!$B$22)^(B234-1)/12</f>
        <v>352.069125188492</v>
      </c>
      <c r="K234" s="10" t="n">
        <f aca="false">Inputs!$B$14*Inputs!$B$7*(1+Inputs!$B$22)^(B234-1)/12</f>
        <v>704.138250376985</v>
      </c>
      <c r="L234" s="10" t="n">
        <f aca="false">Inputs!$B$15*(1+Inputs!$B$22)^(B234-1)</f>
        <v>0</v>
      </c>
      <c r="M234" s="10" t="n">
        <f aca="false">INDEX(Annual!$N$2:$N$51,B234)/12</f>
        <v>0</v>
      </c>
      <c r="N234" s="10" t="n">
        <f aca="false">D234+E234+G234+I234+J234+K234+L234-M234</f>
        <v>4583.12494554381</v>
      </c>
      <c r="O234" s="10" t="n">
        <f aca="false">Inputs!$B$17*(1+Inputs!$B$18)^(B234-1)+Inputs!$B$19*(1+Inputs!$B$22)^(B234-1)</f>
        <v>4831.60227040933</v>
      </c>
      <c r="P234" s="10" t="n">
        <f aca="false">N234-O234</f>
        <v>-248.477324865517</v>
      </c>
      <c r="Q234" s="10" t="n">
        <f aca="false">Q233*(1+Inputs!$B$42)-U234+MAX(P234,0)</f>
        <v>757835.198967835</v>
      </c>
      <c r="R234" s="10" t="n">
        <f aca="false">R233+Q233*Inputs!$B$48-U234+MAX(P234,0)</f>
        <v>324246.248312967</v>
      </c>
      <c r="S234" s="10" t="n">
        <f aca="false">S233*(1+Inputs!$B$42)-V234+MAX(-P234,0)</f>
        <v>3688.95391165676</v>
      </c>
      <c r="T234" s="10" t="n">
        <f aca="false">T233+S233*Inputs!$B$48-V234+MAX(-P234,0)</f>
        <v>3528.61768668079</v>
      </c>
      <c r="U234" s="10" t="n">
        <f aca="false">Q233*Inputs!$B$48*Inputs!$B$29</f>
        <v>103.630646331002</v>
      </c>
      <c r="V234" s="10" t="n">
        <f aca="false">S233*Inputs!$B$48*Inputs!$B$29</f>
        <v>0.470470113900037</v>
      </c>
    </row>
    <row r="235" customFormat="false" ht="15" hidden="false" customHeight="false" outlineLevel="0" collapsed="false">
      <c r="A235" s="16" t="n">
        <v>234</v>
      </c>
      <c r="B235" s="16" t="n">
        <f aca="false">ROUNDUP(A235/12,0)</f>
        <v>20</v>
      </c>
      <c r="C235" s="10" t="n">
        <f aca="false">F234</f>
        <v>241861.279002125</v>
      </c>
      <c r="D235" s="10" t="n">
        <f aca="false">IF(AND(A235&lt;=Inputs!$B$9*12,C235&gt;0.000001),C235*Inputs!$B$10/12,0)</f>
        <v>1467.29175927956</v>
      </c>
      <c r="E235" s="10" t="n">
        <f aca="false">IF(AND(A235&lt;=Inputs!$B$9*12,C235&gt;0.000001),MIN(C235,Inputs!$B$41-D235),0)</f>
        <v>1269.55736970115</v>
      </c>
      <c r="F235" s="10" t="n">
        <f aca="false">C235-E235</f>
        <v>240591.721632424</v>
      </c>
      <c r="G235" s="10" t="n">
        <f aca="false">IF(AND(Inputs!$B$43=1,C235&gt;0.78*Inputs!$B$7,A235&lt;=Inputs!$B$9*6),Inputs!$B$16*Inputs!$B$39/12,0)</f>
        <v>0</v>
      </c>
      <c r="H235" s="10" t="n">
        <f aca="false">IF(B235=1,Inputs!$B$7,INDEX(Annual!$AC$2:$AC$51,B235-1))</f>
        <v>1053424.58799684</v>
      </c>
      <c r="I235" s="10" t="n">
        <f aca="false">Inputs!$B$12*IF(Inputs!$B$35="",H235,MIN(H235,Inputs!$B$7*(1+Inputs!$B$35)^(B235-1)))/12</f>
        <v>790.068440997628</v>
      </c>
      <c r="J235" s="10" t="n">
        <f aca="false">Inputs!$B$13*Inputs!$B$7*(1+Inputs!$B$22)^(B235-1)/12</f>
        <v>352.069125188492</v>
      </c>
      <c r="K235" s="10" t="n">
        <f aca="false">Inputs!$B$14*Inputs!$B$7*(1+Inputs!$B$22)^(B235-1)/12</f>
        <v>704.138250376985</v>
      </c>
      <c r="L235" s="10" t="n">
        <f aca="false">Inputs!$B$15*(1+Inputs!$B$22)^(B235-1)</f>
        <v>0</v>
      </c>
      <c r="M235" s="10" t="n">
        <f aca="false">INDEX(Annual!$N$2:$N$51,B235)/12</f>
        <v>0</v>
      </c>
      <c r="N235" s="10" t="n">
        <f aca="false">D235+E235+G235+I235+J235+K235+L235-M235</f>
        <v>4583.12494554381</v>
      </c>
      <c r="O235" s="10" t="n">
        <f aca="false">Inputs!$B$17*(1+Inputs!$B$18)^(B235-1)+Inputs!$B$19*(1+Inputs!$B$22)^(B235-1)</f>
        <v>4831.60227040933</v>
      </c>
      <c r="P235" s="10" t="n">
        <f aca="false">N235-O235</f>
        <v>-248.477324865517</v>
      </c>
      <c r="Q235" s="10" t="n">
        <f aca="false">Q234*(1+Inputs!$B$42)-U235+MAX(P235,0)</f>
        <v>762015.907022634</v>
      </c>
      <c r="R235" s="10" t="n">
        <f aca="false">R234+Q234*Inputs!$B$48-U235+MAX(P235,0)</f>
        <v>324836.72823883</v>
      </c>
      <c r="S235" s="10" t="n">
        <f aca="false">S234*(1+Inputs!$B$42)-V235+MAX(-P235,0)</f>
        <v>3957.78188710337</v>
      </c>
      <c r="T235" s="10" t="n">
        <f aca="false">T234+S234*Inputs!$B$48-V235+MAX(-P235,0)</f>
        <v>3779.96932146914</v>
      </c>
      <c r="U235" s="10" t="n">
        <f aca="false">Q234*Inputs!$B$48*Inputs!$B$29</f>
        <v>104.202339858077</v>
      </c>
      <c r="V235" s="10" t="n">
        <f aca="false">S234*Inputs!$B$48*Inputs!$B$29</f>
        <v>0.507231162852805</v>
      </c>
    </row>
    <row r="236" customFormat="false" ht="15" hidden="false" customHeight="false" outlineLevel="0" collapsed="false">
      <c r="A236" s="16" t="n">
        <v>235</v>
      </c>
      <c r="B236" s="16" t="n">
        <f aca="false">ROUNDUP(A236/12,0)</f>
        <v>20</v>
      </c>
      <c r="C236" s="10" t="n">
        <f aca="false">F235</f>
        <v>240591.721632424</v>
      </c>
      <c r="D236" s="10" t="n">
        <f aca="false">IF(AND(A236&lt;=Inputs!$B$9*12,C236&gt;0.000001),C236*Inputs!$B$10/12,0)</f>
        <v>1459.58977790337</v>
      </c>
      <c r="E236" s="10" t="n">
        <f aca="false">IF(AND(A236&lt;=Inputs!$B$9*12,C236&gt;0.000001),MIN(C236,Inputs!$B$41-D236),0)</f>
        <v>1277.25935107733</v>
      </c>
      <c r="F236" s="10" t="n">
        <f aca="false">C236-E236</f>
        <v>239314.462281346</v>
      </c>
      <c r="G236" s="10" t="n">
        <f aca="false">IF(AND(Inputs!$B$43=1,C236&gt;0.78*Inputs!$B$7,A236&lt;=Inputs!$B$9*6),Inputs!$B$16*Inputs!$B$39/12,0)</f>
        <v>0</v>
      </c>
      <c r="H236" s="10" t="n">
        <f aca="false">IF(B236=1,Inputs!$B$7,INDEX(Annual!$AC$2:$AC$51,B236-1))</f>
        <v>1053424.58799684</v>
      </c>
      <c r="I236" s="10" t="n">
        <f aca="false">Inputs!$B$12*IF(Inputs!$B$35="",H236,MIN(H236,Inputs!$B$7*(1+Inputs!$B$35)^(B236-1)))/12</f>
        <v>790.068440997628</v>
      </c>
      <c r="J236" s="10" t="n">
        <f aca="false">Inputs!$B$13*Inputs!$B$7*(1+Inputs!$B$22)^(B236-1)/12</f>
        <v>352.069125188492</v>
      </c>
      <c r="K236" s="10" t="n">
        <f aca="false">Inputs!$B$14*Inputs!$B$7*(1+Inputs!$B$22)^(B236-1)/12</f>
        <v>704.138250376985</v>
      </c>
      <c r="L236" s="10" t="n">
        <f aca="false">Inputs!$B$15*(1+Inputs!$B$22)^(B236-1)</f>
        <v>0</v>
      </c>
      <c r="M236" s="10" t="n">
        <f aca="false">INDEX(Annual!$N$2:$N$51,B236)/12</f>
        <v>0</v>
      </c>
      <c r="N236" s="10" t="n">
        <f aca="false">D236+E236+G236+I236+J236+K236+L236-M236</f>
        <v>4583.12494554381</v>
      </c>
      <c r="O236" s="10" t="n">
        <f aca="false">Inputs!$B$17*(1+Inputs!$B$18)^(B236-1)+Inputs!$B$19*(1+Inputs!$B$22)^(B236-1)</f>
        <v>4831.60227040933</v>
      </c>
      <c r="P236" s="10" t="n">
        <f aca="false">N236-O236</f>
        <v>-248.477324865517</v>
      </c>
      <c r="Q236" s="10" t="n">
        <f aca="false">Q235*(1+Inputs!$B$42)-U236+MAX(P236,0)</f>
        <v>766219.67856124</v>
      </c>
      <c r="R236" s="10" t="n">
        <f aca="false">R235+Q235*Inputs!$B$48-U236+MAX(P236,0)</f>
        <v>325430.465633051</v>
      </c>
      <c r="S236" s="10" t="n">
        <f aca="false">S235*(1+Inputs!$B$42)-V236+MAX(-P236,0)</f>
        <v>4228.09289116073</v>
      </c>
      <c r="T236" s="10" t="n">
        <f aca="false">T235+S235*Inputs!$B$48-V236+MAX(-P236,0)</f>
        <v>4031.53041805502</v>
      </c>
      <c r="U236" s="10" t="n">
        <f aca="false">Q235*Inputs!$B$48*Inputs!$B$29</f>
        <v>104.777187215612</v>
      </c>
      <c r="V236" s="10" t="n">
        <f aca="false">S235*Inputs!$B$48*Inputs!$B$29</f>
        <v>0.544195009476713</v>
      </c>
    </row>
    <row r="237" customFormat="false" ht="15" hidden="false" customHeight="false" outlineLevel="0" collapsed="false">
      <c r="A237" s="16" t="n">
        <v>236</v>
      </c>
      <c r="B237" s="16" t="n">
        <f aca="false">ROUNDUP(A237/12,0)</f>
        <v>20</v>
      </c>
      <c r="C237" s="10" t="n">
        <f aca="false">F236</f>
        <v>239314.462281346</v>
      </c>
      <c r="D237" s="10" t="n">
        <f aca="false">IF(AND(A237&lt;=Inputs!$B$9*12,C237&gt;0.000001),C237*Inputs!$B$10/12,0)</f>
        <v>1451.8410711735</v>
      </c>
      <c r="E237" s="10" t="n">
        <f aca="false">IF(AND(A237&lt;=Inputs!$B$9*12,C237&gt;0.000001),MIN(C237,Inputs!$B$41-D237),0)</f>
        <v>1285.0080578072</v>
      </c>
      <c r="F237" s="10" t="n">
        <f aca="false">C237-E237</f>
        <v>238029.454223539</v>
      </c>
      <c r="G237" s="10" t="n">
        <f aca="false">IF(AND(Inputs!$B$43=1,C237&gt;0.78*Inputs!$B$7,A237&lt;=Inputs!$B$9*6),Inputs!$B$16*Inputs!$B$39/12,0)</f>
        <v>0</v>
      </c>
      <c r="H237" s="10" t="n">
        <f aca="false">IF(B237=1,Inputs!$B$7,INDEX(Annual!$AC$2:$AC$51,B237-1))</f>
        <v>1053424.58799684</v>
      </c>
      <c r="I237" s="10" t="n">
        <f aca="false">Inputs!$B$12*IF(Inputs!$B$35="",H237,MIN(H237,Inputs!$B$7*(1+Inputs!$B$35)^(B237-1)))/12</f>
        <v>790.068440997628</v>
      </c>
      <c r="J237" s="10" t="n">
        <f aca="false">Inputs!$B$13*Inputs!$B$7*(1+Inputs!$B$22)^(B237-1)/12</f>
        <v>352.069125188492</v>
      </c>
      <c r="K237" s="10" t="n">
        <f aca="false">Inputs!$B$14*Inputs!$B$7*(1+Inputs!$B$22)^(B237-1)/12</f>
        <v>704.138250376985</v>
      </c>
      <c r="L237" s="10" t="n">
        <f aca="false">Inputs!$B$15*(1+Inputs!$B$22)^(B237-1)</f>
        <v>0</v>
      </c>
      <c r="M237" s="10" t="n">
        <f aca="false">INDEX(Annual!$N$2:$N$51,B237)/12</f>
        <v>0</v>
      </c>
      <c r="N237" s="10" t="n">
        <f aca="false">D237+E237+G237+I237+J237+K237+L237-M237</f>
        <v>4583.12494554381</v>
      </c>
      <c r="O237" s="10" t="n">
        <f aca="false">Inputs!$B$17*(1+Inputs!$B$18)^(B237-1)+Inputs!$B$19*(1+Inputs!$B$22)^(B237-1)</f>
        <v>4831.60227040933</v>
      </c>
      <c r="P237" s="10" t="n">
        <f aca="false">N237-O237</f>
        <v>-248.477324865517</v>
      </c>
      <c r="Q237" s="10" t="n">
        <f aca="false">Q236*(1+Inputs!$B$42)-U237+MAX(P237,0)</f>
        <v>770446.640816714</v>
      </c>
      <c r="R237" s="10" t="n">
        <f aca="false">R236+Q236*Inputs!$B$48-U237+MAX(P237,0)</f>
        <v>326027.47846593</v>
      </c>
      <c r="S237" s="10" t="n">
        <f aca="false">S236*(1+Inputs!$B$42)-V237+MAX(-P237,0)</f>
        <v>4499.89510517179</v>
      </c>
      <c r="T237" s="10" t="n">
        <f aca="false">T236+S236*Inputs!$B$48-V237+MAX(-P237,0)</f>
        <v>4283.30213196491</v>
      </c>
      <c r="U237" s="10" t="n">
        <f aca="false">Q236*Inputs!$B$48*Inputs!$B$29</f>
        <v>105.35520580217</v>
      </c>
      <c r="V237" s="10" t="n">
        <f aca="false">S236*Inputs!$B$48*Inputs!$B$29</f>
        <v>0.581362772534601</v>
      </c>
    </row>
    <row r="238" customFormat="false" ht="15" hidden="false" customHeight="false" outlineLevel="0" collapsed="false">
      <c r="A238" s="16" t="n">
        <v>237</v>
      </c>
      <c r="B238" s="16" t="n">
        <f aca="false">ROUNDUP(A238/12,0)</f>
        <v>20</v>
      </c>
      <c r="C238" s="10" t="n">
        <f aca="false">F237</f>
        <v>238029.454223539</v>
      </c>
      <c r="D238" s="10" t="n">
        <f aca="false">IF(AND(A238&lt;=Inputs!$B$9*12,C238&gt;0.000001),C238*Inputs!$B$10/12,0)</f>
        <v>1444.04535562281</v>
      </c>
      <c r="E238" s="10" t="n">
        <f aca="false">IF(AND(A238&lt;=Inputs!$B$9*12,C238&gt;0.000001),MIN(C238,Inputs!$B$41-D238),0)</f>
        <v>1292.8037733579</v>
      </c>
      <c r="F238" s="10" t="n">
        <f aca="false">C238-E238</f>
        <v>236736.650450181</v>
      </c>
      <c r="G238" s="10" t="n">
        <f aca="false">IF(AND(Inputs!$B$43=1,C238&gt;0.78*Inputs!$B$7,A238&lt;=Inputs!$B$9*6),Inputs!$B$16*Inputs!$B$39/12,0)</f>
        <v>0</v>
      </c>
      <c r="H238" s="10" t="n">
        <f aca="false">IF(B238=1,Inputs!$B$7,INDEX(Annual!$AC$2:$AC$51,B238-1))</f>
        <v>1053424.58799684</v>
      </c>
      <c r="I238" s="10" t="n">
        <f aca="false">Inputs!$B$12*IF(Inputs!$B$35="",H238,MIN(H238,Inputs!$B$7*(1+Inputs!$B$35)^(B238-1)))/12</f>
        <v>790.068440997628</v>
      </c>
      <c r="J238" s="10" t="n">
        <f aca="false">Inputs!$B$13*Inputs!$B$7*(1+Inputs!$B$22)^(B238-1)/12</f>
        <v>352.069125188492</v>
      </c>
      <c r="K238" s="10" t="n">
        <f aca="false">Inputs!$B$14*Inputs!$B$7*(1+Inputs!$B$22)^(B238-1)/12</f>
        <v>704.138250376985</v>
      </c>
      <c r="L238" s="10" t="n">
        <f aca="false">Inputs!$B$15*(1+Inputs!$B$22)^(B238-1)</f>
        <v>0</v>
      </c>
      <c r="M238" s="10" t="n">
        <f aca="false">INDEX(Annual!$N$2:$N$51,B238)/12</f>
        <v>0</v>
      </c>
      <c r="N238" s="10" t="n">
        <f aca="false">D238+E238+G238+I238+J238+K238+L238-M238</f>
        <v>4583.12494554381</v>
      </c>
      <c r="O238" s="10" t="n">
        <f aca="false">Inputs!$B$17*(1+Inputs!$B$18)^(B238-1)+Inputs!$B$19*(1+Inputs!$B$22)^(B238-1)</f>
        <v>4831.60227040933</v>
      </c>
      <c r="P238" s="10" t="n">
        <f aca="false">N238-O238</f>
        <v>-248.477324865517</v>
      </c>
      <c r="Q238" s="10" t="n">
        <f aca="false">Q237*(1+Inputs!$B$42)-U238+MAX(P238,0)</f>
        <v>774696.921724017</v>
      </c>
      <c r="R238" s="10" t="n">
        <f aca="false">R237+Q237*Inputs!$B$48-U238+MAX(P238,0)</f>
        <v>326627.7848069</v>
      </c>
      <c r="S238" s="10" t="n">
        <f aca="false">S237*(1+Inputs!$B$42)-V238+MAX(-P238,0)</f>
        <v>4773.19675561306</v>
      </c>
      <c r="T238" s="10" t="n">
        <f aca="false">T237+S237*Inputs!$B$48-V238+MAX(-P238,0)</f>
        <v>4535.28562509987</v>
      </c>
      <c r="U238" s="10" t="n">
        <f aca="false">Q237*Inputs!$B$48*Inputs!$B$29</f>
        <v>105.936413112298</v>
      </c>
      <c r="V238" s="10" t="n">
        <f aca="false">S237*Inputs!$B$48*Inputs!$B$29</f>
        <v>0.618735576961121</v>
      </c>
    </row>
    <row r="239" customFormat="false" ht="15" hidden="false" customHeight="false" outlineLevel="0" collapsed="false">
      <c r="A239" s="16" t="n">
        <v>238</v>
      </c>
      <c r="B239" s="16" t="n">
        <f aca="false">ROUNDUP(A239/12,0)</f>
        <v>20</v>
      </c>
      <c r="C239" s="10" t="n">
        <f aca="false">F238</f>
        <v>236736.650450181</v>
      </c>
      <c r="D239" s="10" t="n">
        <f aca="false">IF(AND(A239&lt;=Inputs!$B$9*12,C239&gt;0.000001),C239*Inputs!$B$10/12,0)</f>
        <v>1436.20234606443</v>
      </c>
      <c r="E239" s="10" t="n">
        <f aca="false">IF(AND(A239&lt;=Inputs!$B$9*12,C239&gt;0.000001),MIN(C239,Inputs!$B$41-D239),0)</f>
        <v>1300.64678291627</v>
      </c>
      <c r="F239" s="10" t="n">
        <f aca="false">C239-E239</f>
        <v>235436.003667265</v>
      </c>
      <c r="G239" s="10" t="n">
        <f aca="false">IF(AND(Inputs!$B$43=1,C239&gt;0.78*Inputs!$B$7,A239&lt;=Inputs!$B$9*6),Inputs!$B$16*Inputs!$B$39/12,0)</f>
        <v>0</v>
      </c>
      <c r="H239" s="10" t="n">
        <f aca="false">IF(B239=1,Inputs!$B$7,INDEX(Annual!$AC$2:$AC$51,B239-1))</f>
        <v>1053424.58799684</v>
      </c>
      <c r="I239" s="10" t="n">
        <f aca="false">Inputs!$B$12*IF(Inputs!$B$35="",H239,MIN(H239,Inputs!$B$7*(1+Inputs!$B$35)^(B239-1)))/12</f>
        <v>790.068440997628</v>
      </c>
      <c r="J239" s="10" t="n">
        <f aca="false">Inputs!$B$13*Inputs!$B$7*(1+Inputs!$B$22)^(B239-1)/12</f>
        <v>352.069125188492</v>
      </c>
      <c r="K239" s="10" t="n">
        <f aca="false">Inputs!$B$14*Inputs!$B$7*(1+Inputs!$B$22)^(B239-1)/12</f>
        <v>704.138250376985</v>
      </c>
      <c r="L239" s="10" t="n">
        <f aca="false">Inputs!$B$15*(1+Inputs!$B$22)^(B239-1)</f>
        <v>0</v>
      </c>
      <c r="M239" s="10" t="n">
        <f aca="false">INDEX(Annual!$N$2:$N$51,B239)/12</f>
        <v>0</v>
      </c>
      <c r="N239" s="10" t="n">
        <f aca="false">D239+E239+G239+I239+J239+K239+L239-M239</f>
        <v>4583.12494554381</v>
      </c>
      <c r="O239" s="10" t="n">
        <f aca="false">Inputs!$B$17*(1+Inputs!$B$18)^(B239-1)+Inputs!$B$19*(1+Inputs!$B$22)^(B239-1)</f>
        <v>4831.60227040933</v>
      </c>
      <c r="P239" s="10" t="n">
        <f aca="false">N239-O239</f>
        <v>-248.477324865517</v>
      </c>
      <c r="Q239" s="10" t="n">
        <f aca="false">Q238*(1+Inputs!$B$42)-U239+MAX(P239,0)</f>
        <v>778970.649923883</v>
      </c>
      <c r="R239" s="10" t="n">
        <f aca="false">R238+Q238*Inputs!$B$48-U239+MAX(P239,0)</f>
        <v>327231.402825077</v>
      </c>
      <c r="S239" s="10" t="n">
        <f aca="false">S238*(1+Inputs!$B$42)-V239+MAX(-P239,0)</f>
        <v>5048.00611434361</v>
      </c>
      <c r="T239" s="10" t="n">
        <f aca="false">T238+S238*Inputs!$B$48-V239+MAX(-P239,0)</f>
        <v>4787.4820657708</v>
      </c>
      <c r="U239" s="10" t="n">
        <f aca="false">Q238*Inputs!$B$48*Inputs!$B$29</f>
        <v>106.520826737052</v>
      </c>
      <c r="V239" s="10" t="n">
        <f aca="false">S238*Inputs!$B$48*Inputs!$B$29</f>
        <v>0.656314553896796</v>
      </c>
    </row>
    <row r="240" customFormat="false" ht="15" hidden="false" customHeight="false" outlineLevel="0" collapsed="false">
      <c r="A240" s="16" t="n">
        <v>239</v>
      </c>
      <c r="B240" s="16" t="n">
        <f aca="false">ROUNDUP(A240/12,0)</f>
        <v>20</v>
      </c>
      <c r="C240" s="10" t="n">
        <f aca="false">F239</f>
        <v>235436.003667265</v>
      </c>
      <c r="D240" s="10" t="n">
        <f aca="false">IF(AND(A240&lt;=Inputs!$B$9*12,C240&gt;0.000001),C240*Inputs!$B$10/12,0)</f>
        <v>1428.31175558141</v>
      </c>
      <c r="E240" s="10" t="n">
        <f aca="false">IF(AND(A240&lt;=Inputs!$B$9*12,C240&gt;0.000001),MIN(C240,Inputs!$B$41-D240),0)</f>
        <v>1308.5373733993</v>
      </c>
      <c r="F240" s="10" t="n">
        <f aca="false">C240-E240</f>
        <v>234127.466293866</v>
      </c>
      <c r="G240" s="10" t="n">
        <f aca="false">IF(AND(Inputs!$B$43=1,C240&gt;0.78*Inputs!$B$7,A240&lt;=Inputs!$B$9*6),Inputs!$B$16*Inputs!$B$39/12,0)</f>
        <v>0</v>
      </c>
      <c r="H240" s="10" t="n">
        <f aca="false">IF(B240=1,Inputs!$B$7,INDEX(Annual!$AC$2:$AC$51,B240-1))</f>
        <v>1053424.58799684</v>
      </c>
      <c r="I240" s="10" t="n">
        <f aca="false">Inputs!$B$12*IF(Inputs!$B$35="",H240,MIN(H240,Inputs!$B$7*(1+Inputs!$B$35)^(B240-1)))/12</f>
        <v>790.068440997628</v>
      </c>
      <c r="J240" s="10" t="n">
        <f aca="false">Inputs!$B$13*Inputs!$B$7*(1+Inputs!$B$22)^(B240-1)/12</f>
        <v>352.069125188492</v>
      </c>
      <c r="K240" s="10" t="n">
        <f aca="false">Inputs!$B$14*Inputs!$B$7*(1+Inputs!$B$22)^(B240-1)/12</f>
        <v>704.138250376985</v>
      </c>
      <c r="L240" s="10" t="n">
        <f aca="false">Inputs!$B$15*(1+Inputs!$B$22)^(B240-1)</f>
        <v>0</v>
      </c>
      <c r="M240" s="10" t="n">
        <f aca="false">INDEX(Annual!$N$2:$N$51,B240)/12</f>
        <v>0</v>
      </c>
      <c r="N240" s="10" t="n">
        <f aca="false">D240+E240+G240+I240+J240+K240+L240-M240</f>
        <v>4583.12494554381</v>
      </c>
      <c r="O240" s="10" t="n">
        <f aca="false">Inputs!$B$17*(1+Inputs!$B$18)^(B240-1)+Inputs!$B$19*(1+Inputs!$B$22)^(B240-1)</f>
        <v>4831.60227040933</v>
      </c>
      <c r="P240" s="10" t="n">
        <f aca="false">N240-O240</f>
        <v>-248.477324865517</v>
      </c>
      <c r="Q240" s="10" t="n">
        <f aca="false">Q239*(1+Inputs!$B$42)-U240+MAX(P240,0)</f>
        <v>783267.95476671</v>
      </c>
      <c r="R240" s="10" t="n">
        <f aca="false">R239+Q239*Inputs!$B$48-U240+MAX(P240,0)</f>
        <v>327838.350789809</v>
      </c>
      <c r="S240" s="10" t="n">
        <f aca="false">S239*(1+Inputs!$B$42)-V240+MAX(-P240,0)</f>
        <v>5324.33149885542</v>
      </c>
      <c r="T240" s="10" t="n">
        <f aca="false">T239+S239*Inputs!$B$48-V240+MAX(-P240,0)</f>
        <v>5039.89262873375</v>
      </c>
      <c r="U240" s="10" t="n">
        <f aca="false">Q239*Inputs!$B$48*Inputs!$B$29</f>
        <v>107.108464364534</v>
      </c>
      <c r="V240" s="10" t="n">
        <f aca="false">S239*Inputs!$B$48*Inputs!$B$29</f>
        <v>0.694100840722247</v>
      </c>
    </row>
    <row r="241" customFormat="false" ht="15" hidden="false" customHeight="false" outlineLevel="0" collapsed="false">
      <c r="A241" s="16" t="n">
        <v>240</v>
      </c>
      <c r="B241" s="16" t="n">
        <f aca="false">ROUNDUP(A241/12,0)</f>
        <v>20</v>
      </c>
      <c r="C241" s="10" t="n">
        <f aca="false">F240</f>
        <v>234127.466293866</v>
      </c>
      <c r="D241" s="10" t="n">
        <f aca="false">IF(AND(A241&lt;=Inputs!$B$9*12,C241&gt;0.000001),C241*Inputs!$B$10/12,0)</f>
        <v>1420.37329551612</v>
      </c>
      <c r="E241" s="10" t="n">
        <f aca="false">IF(AND(A241&lt;=Inputs!$B$9*12,C241&gt;0.000001),MIN(C241,Inputs!$B$41-D241),0)</f>
        <v>1316.47583346459</v>
      </c>
      <c r="F241" s="10" t="n">
        <f aca="false">C241-E241</f>
        <v>232810.990460401</v>
      </c>
      <c r="G241" s="10" t="n">
        <f aca="false">IF(AND(Inputs!$B$43=1,C241&gt;0.78*Inputs!$B$7,A241&lt;=Inputs!$B$9*6),Inputs!$B$16*Inputs!$B$39/12,0)</f>
        <v>0</v>
      </c>
      <c r="H241" s="10" t="n">
        <f aca="false">IF(B241=1,Inputs!$B$7,INDEX(Annual!$AC$2:$AC$51,B241-1))</f>
        <v>1053424.58799684</v>
      </c>
      <c r="I241" s="10" t="n">
        <f aca="false">Inputs!$B$12*IF(Inputs!$B$35="",H241,MIN(H241,Inputs!$B$7*(1+Inputs!$B$35)^(B241-1)))/12</f>
        <v>790.068440997628</v>
      </c>
      <c r="J241" s="10" t="n">
        <f aca="false">Inputs!$B$13*Inputs!$B$7*(1+Inputs!$B$22)^(B241-1)/12</f>
        <v>352.069125188492</v>
      </c>
      <c r="K241" s="10" t="n">
        <f aca="false">Inputs!$B$14*Inputs!$B$7*(1+Inputs!$B$22)^(B241-1)/12</f>
        <v>704.138250376985</v>
      </c>
      <c r="L241" s="10" t="n">
        <f aca="false">Inputs!$B$15*(1+Inputs!$B$22)^(B241-1)</f>
        <v>0</v>
      </c>
      <c r="M241" s="10" t="n">
        <f aca="false">INDEX(Annual!$N$2:$N$51,B241)/12</f>
        <v>0</v>
      </c>
      <c r="N241" s="10" t="n">
        <f aca="false">D241+E241+G241+I241+J241+K241+L241-M241</f>
        <v>4583.12494554381</v>
      </c>
      <c r="O241" s="10" t="n">
        <f aca="false">Inputs!$B$17*(1+Inputs!$B$18)^(B241-1)+Inputs!$B$19*(1+Inputs!$B$22)^(B241-1)</f>
        <v>4831.60227040933</v>
      </c>
      <c r="P241" s="10" t="n">
        <f aca="false">N241-O241</f>
        <v>-248.477324865517</v>
      </c>
      <c r="Q241" s="10" t="n">
        <f aca="false">Q240*(1+Inputs!$B$42)-U241+MAX(P241,0)</f>
        <v>787588.966316476</v>
      </c>
      <c r="R241" s="10" t="n">
        <f aca="false">R240+Q240*Inputs!$B$48-U241+MAX(P241,0)</f>
        <v>328448.647071231</v>
      </c>
      <c r="S241" s="10" t="n">
        <f aca="false">S240*(1+Inputs!$B$42)-V241+MAX(-P241,0)</f>
        <v>5602.18127252511</v>
      </c>
      <c r="T241" s="10" t="n">
        <f aca="false">T240+S240*Inputs!$B$48-V241+MAX(-P241,0)</f>
        <v>5292.51849522546</v>
      </c>
      <c r="U241" s="10" t="n">
        <f aca="false">Q240*Inputs!$B$48*Inputs!$B$29</f>
        <v>107.699343780423</v>
      </c>
      <c r="V241" s="10" t="n">
        <f aca="false">S240*Inputs!$B$48*Inputs!$B$29</f>
        <v>0.73209558109262</v>
      </c>
    </row>
    <row r="242" customFormat="false" ht="15" hidden="false" customHeight="false" outlineLevel="0" collapsed="false">
      <c r="A242" s="16" t="n">
        <v>241</v>
      </c>
      <c r="B242" s="16" t="n">
        <f aca="false">ROUNDUP(A242/12,0)</f>
        <v>21</v>
      </c>
      <c r="C242" s="10" t="n">
        <f aca="false">F241</f>
        <v>232810.990460401</v>
      </c>
      <c r="D242" s="10" t="n">
        <f aca="false">IF(AND(A242&lt;=Inputs!$B$9*12,C242&gt;0.000001),C242*Inputs!$B$10/12,0)</f>
        <v>1412.38667545977</v>
      </c>
      <c r="E242" s="10" t="n">
        <f aca="false">IF(AND(A242&lt;=Inputs!$B$9*12,C242&gt;0.000001),MIN(C242,Inputs!$B$41-D242),0)</f>
        <v>1324.46245352094</v>
      </c>
      <c r="F242" s="10" t="n">
        <f aca="false">C242-E242</f>
        <v>231486.52800688</v>
      </c>
      <c r="G242" s="10" t="n">
        <f aca="false">IF(AND(Inputs!$B$43=1,C242&gt;0.78*Inputs!$B$7,A242&lt;=Inputs!$B$9*6),Inputs!$B$16*Inputs!$B$39/12,0)</f>
        <v>0</v>
      </c>
      <c r="H242" s="10" t="n">
        <f aca="false">IF(B242=1,Inputs!$B$7,INDEX(Annual!$AC$2:$AC$51,B242-1))</f>
        <v>1095561.57151671</v>
      </c>
      <c r="I242" s="10" t="n">
        <f aca="false">Inputs!$B$12*IF(Inputs!$B$35="",H242,MIN(H242,Inputs!$B$7*(1+Inputs!$B$35)^(B242-1)))/12</f>
        <v>821.671178637533</v>
      </c>
      <c r="J242" s="10" t="n">
        <f aca="false">Inputs!$B$13*Inputs!$B$7*(1+Inputs!$B$22)^(B242-1)/12</f>
        <v>361.92706069377</v>
      </c>
      <c r="K242" s="10" t="n">
        <f aca="false">Inputs!$B$14*Inputs!$B$7*(1+Inputs!$B$22)^(B242-1)/12</f>
        <v>723.85412138754</v>
      </c>
      <c r="L242" s="10" t="n">
        <f aca="false">Inputs!$B$15*(1+Inputs!$B$22)^(B242-1)</f>
        <v>0</v>
      </c>
      <c r="M242" s="10" t="n">
        <f aca="false">INDEX(Annual!$N$2:$N$51,B242)/12</f>
        <v>0</v>
      </c>
      <c r="N242" s="10" t="n">
        <f aca="false">D242+E242+G242+I242+J242+K242+L242-M242</f>
        <v>4644.30148969955</v>
      </c>
      <c r="O242" s="10" t="n">
        <f aca="false">Inputs!$B$17*(1+Inputs!$B$18)^(B242-1)+Inputs!$B$19*(1+Inputs!$B$22)^(B242-1)</f>
        <v>5000.53090703456</v>
      </c>
      <c r="P242" s="10" t="n">
        <f aca="false">N242-O242</f>
        <v>-356.229417335011</v>
      </c>
      <c r="Q242" s="10" t="n">
        <f aca="false">Q241*(1+Inputs!$B$42)-U242+MAX(P242,0)</f>
        <v>791933.815354677</v>
      </c>
      <c r="R242" s="10" t="n">
        <f aca="false">R241+Q241*Inputs!$B$48-U242+MAX(P242,0)</f>
        <v>329062.31014082</v>
      </c>
      <c r="S242" s="10" t="n">
        <f aca="false">S241*(1+Inputs!$B$42)-V242+MAX(-P242,0)</f>
        <v>5989.31593733661</v>
      </c>
      <c r="T242" s="10" t="n">
        <f aca="false">T241+S241*Inputs!$B$48-V242+MAX(-P242,0)</f>
        <v>5653.11294546864</v>
      </c>
      <c r="U242" s="10" t="n">
        <f aca="false">Q241*Inputs!$B$48*Inputs!$B$29</f>
        <v>108.293482868515</v>
      </c>
      <c r="V242" s="10" t="n">
        <f aca="false">S241*Inputs!$B$48*Inputs!$B$29</f>
        <v>0.770299924972203</v>
      </c>
    </row>
    <row r="243" customFormat="false" ht="15" hidden="false" customHeight="false" outlineLevel="0" collapsed="false">
      <c r="A243" s="16" t="n">
        <v>242</v>
      </c>
      <c r="B243" s="16" t="n">
        <f aca="false">ROUNDUP(A243/12,0)</f>
        <v>21</v>
      </c>
      <c r="C243" s="10" t="n">
        <f aca="false">F242</f>
        <v>231486.52800688</v>
      </c>
      <c r="D243" s="10" t="n">
        <f aca="false">IF(AND(A243&lt;=Inputs!$B$9*12,C243&gt;0.000001),C243*Inputs!$B$10/12,0)</f>
        <v>1404.35160324174</v>
      </c>
      <c r="E243" s="10" t="n">
        <f aca="false">IF(AND(A243&lt;=Inputs!$B$9*12,C243&gt;0.000001),MIN(C243,Inputs!$B$41-D243),0)</f>
        <v>1332.49752573897</v>
      </c>
      <c r="F243" s="10" t="n">
        <f aca="false">C243-E243</f>
        <v>230154.030481141</v>
      </c>
      <c r="G243" s="10" t="n">
        <f aca="false">IF(AND(Inputs!$B$43=1,C243&gt;0.78*Inputs!$B$7,A243&lt;=Inputs!$B$9*6),Inputs!$B$16*Inputs!$B$39/12,0)</f>
        <v>0</v>
      </c>
      <c r="H243" s="10" t="n">
        <f aca="false">IF(B243=1,Inputs!$B$7,INDEX(Annual!$AC$2:$AC$51,B243-1))</f>
        <v>1095561.57151671</v>
      </c>
      <c r="I243" s="10" t="n">
        <f aca="false">Inputs!$B$12*IF(Inputs!$B$35="",H243,MIN(H243,Inputs!$B$7*(1+Inputs!$B$35)^(B243-1)))/12</f>
        <v>821.671178637533</v>
      </c>
      <c r="J243" s="10" t="n">
        <f aca="false">Inputs!$B$13*Inputs!$B$7*(1+Inputs!$B$22)^(B243-1)/12</f>
        <v>361.92706069377</v>
      </c>
      <c r="K243" s="10" t="n">
        <f aca="false">Inputs!$B$14*Inputs!$B$7*(1+Inputs!$B$22)^(B243-1)/12</f>
        <v>723.85412138754</v>
      </c>
      <c r="L243" s="10" t="n">
        <f aca="false">Inputs!$B$15*(1+Inputs!$B$22)^(B243-1)</f>
        <v>0</v>
      </c>
      <c r="M243" s="10" t="n">
        <f aca="false">INDEX(Annual!$N$2:$N$51,B243)/12</f>
        <v>0</v>
      </c>
      <c r="N243" s="10" t="n">
        <f aca="false">D243+E243+G243+I243+J243+K243+L243-M243</f>
        <v>4644.30148969955</v>
      </c>
      <c r="O243" s="10" t="n">
        <f aca="false">Inputs!$B$17*(1+Inputs!$B$18)^(B243-1)+Inputs!$B$19*(1+Inputs!$B$22)^(B243-1)</f>
        <v>5000.53090703456</v>
      </c>
      <c r="P243" s="10" t="n">
        <f aca="false">N243-O243</f>
        <v>-356.229417335011</v>
      </c>
      <c r="Q243" s="10" t="n">
        <f aca="false">Q242*(1+Inputs!$B$42)-U243+MAX(P243,0)</f>
        <v>796302.633384284</v>
      </c>
      <c r="R243" s="10" t="n">
        <f aca="false">R242+Q242*Inputs!$B$48-U243+MAX(P243,0)</f>
        <v>329679.35857195</v>
      </c>
      <c r="S243" s="10" t="n">
        <f aca="false">S242*(1+Inputs!$B$42)-V243+MAX(-P243,0)</f>
        <v>6378.58628681104</v>
      </c>
      <c r="T243" s="10" t="n">
        <f aca="false">T242+S242*Inputs!$B$48-V243+MAX(-P243,0)</f>
        <v>6014.00903813816</v>
      </c>
      <c r="U243" s="10" t="n">
        <f aca="false">Q242*Inputs!$B$48*Inputs!$B$29</f>
        <v>108.890899611268</v>
      </c>
      <c r="V243" s="10" t="n">
        <f aca="false">S242*Inputs!$B$48*Inputs!$B$29</f>
        <v>0.823530941383783</v>
      </c>
    </row>
    <row r="244" customFormat="false" ht="15" hidden="false" customHeight="false" outlineLevel="0" collapsed="false">
      <c r="A244" s="16" t="n">
        <v>243</v>
      </c>
      <c r="B244" s="16" t="n">
        <f aca="false">ROUNDUP(A244/12,0)</f>
        <v>21</v>
      </c>
      <c r="C244" s="10" t="n">
        <f aca="false">F243</f>
        <v>230154.030481141</v>
      </c>
      <c r="D244" s="10" t="n">
        <f aca="false">IF(AND(A244&lt;=Inputs!$B$9*12,C244&gt;0.000001),C244*Inputs!$B$10/12,0)</f>
        <v>1396.26778491892</v>
      </c>
      <c r="E244" s="10" t="n">
        <f aca="false">IF(AND(A244&lt;=Inputs!$B$9*12,C244&gt;0.000001),MIN(C244,Inputs!$B$41-D244),0)</f>
        <v>1340.58134406178</v>
      </c>
      <c r="F244" s="10" t="n">
        <f aca="false">C244-E244</f>
        <v>228813.44913708</v>
      </c>
      <c r="G244" s="10" t="n">
        <f aca="false">IF(AND(Inputs!$B$43=1,C244&gt;0.78*Inputs!$B$7,A244&lt;=Inputs!$B$9*6),Inputs!$B$16*Inputs!$B$39/12,0)</f>
        <v>0</v>
      </c>
      <c r="H244" s="10" t="n">
        <f aca="false">IF(B244=1,Inputs!$B$7,INDEX(Annual!$AC$2:$AC$51,B244-1))</f>
        <v>1095561.57151671</v>
      </c>
      <c r="I244" s="10" t="n">
        <f aca="false">Inputs!$B$12*IF(Inputs!$B$35="",H244,MIN(H244,Inputs!$B$7*(1+Inputs!$B$35)^(B244-1)))/12</f>
        <v>821.671178637533</v>
      </c>
      <c r="J244" s="10" t="n">
        <f aca="false">Inputs!$B$13*Inputs!$B$7*(1+Inputs!$B$22)^(B244-1)/12</f>
        <v>361.92706069377</v>
      </c>
      <c r="K244" s="10" t="n">
        <f aca="false">Inputs!$B$14*Inputs!$B$7*(1+Inputs!$B$22)^(B244-1)/12</f>
        <v>723.85412138754</v>
      </c>
      <c r="L244" s="10" t="n">
        <f aca="false">Inputs!$B$15*(1+Inputs!$B$22)^(B244-1)</f>
        <v>0</v>
      </c>
      <c r="M244" s="10" t="n">
        <f aca="false">INDEX(Annual!$N$2:$N$51,B244)/12</f>
        <v>0</v>
      </c>
      <c r="N244" s="10" t="n">
        <f aca="false">D244+E244+G244+I244+J244+K244+L244-M244</f>
        <v>4644.30148969955</v>
      </c>
      <c r="O244" s="10" t="n">
        <f aca="false">Inputs!$B$17*(1+Inputs!$B$18)^(B244-1)+Inputs!$B$19*(1+Inputs!$B$22)^(B244-1)</f>
        <v>5000.53090703456</v>
      </c>
      <c r="P244" s="10" t="n">
        <f aca="false">N244-O244</f>
        <v>-356.229417335011</v>
      </c>
      <c r="Q244" s="10" t="n">
        <f aca="false">Q243*(1+Inputs!$B$42)-U244+MAX(P244,0)</f>
        <v>800695.552633722</v>
      </c>
      <c r="R244" s="10" t="n">
        <f aca="false">R243+Q243*Inputs!$B$48-U244+MAX(P244,0)</f>
        <v>330299.811040462</v>
      </c>
      <c r="S244" s="10" t="n">
        <f aca="false">S243*(1+Inputs!$B$42)-V244+MAX(-P244,0)</f>
        <v>6770.00410276335</v>
      </c>
      <c r="T244" s="10" t="n">
        <f aca="false">T243+S243*Inputs!$B$48-V244+MAX(-P244,0)</f>
        <v>6375.20843728831</v>
      </c>
      <c r="U244" s="10" t="n">
        <f aca="false">Q243*Inputs!$B$48*Inputs!$B$29</f>
        <v>109.491612090339</v>
      </c>
      <c r="V244" s="10" t="n">
        <f aca="false">S243*Inputs!$B$48*Inputs!$B$29</f>
        <v>0.877055614436518</v>
      </c>
    </row>
    <row r="245" customFormat="false" ht="15" hidden="false" customHeight="false" outlineLevel="0" collapsed="false">
      <c r="A245" s="16" t="n">
        <v>244</v>
      </c>
      <c r="B245" s="16" t="n">
        <f aca="false">ROUNDUP(A245/12,0)</f>
        <v>21</v>
      </c>
      <c r="C245" s="10" t="n">
        <f aca="false">F244</f>
        <v>228813.44913708</v>
      </c>
      <c r="D245" s="10" t="n">
        <f aca="false">IF(AND(A245&lt;=Inputs!$B$9*12,C245&gt;0.000001),C245*Inputs!$B$10/12,0)</f>
        <v>1388.13492476495</v>
      </c>
      <c r="E245" s="10" t="n">
        <f aca="false">IF(AND(A245&lt;=Inputs!$B$9*12,C245&gt;0.000001),MIN(C245,Inputs!$B$41-D245),0)</f>
        <v>1348.71420421576</v>
      </c>
      <c r="F245" s="10" t="n">
        <f aca="false">C245-E245</f>
        <v>227464.734932864</v>
      </c>
      <c r="G245" s="10" t="n">
        <f aca="false">IF(AND(Inputs!$B$43=1,C245&gt;0.78*Inputs!$B$7,A245&lt;=Inputs!$B$9*6),Inputs!$B$16*Inputs!$B$39/12,0)</f>
        <v>0</v>
      </c>
      <c r="H245" s="10" t="n">
        <f aca="false">IF(B245=1,Inputs!$B$7,INDEX(Annual!$AC$2:$AC$51,B245-1))</f>
        <v>1095561.57151671</v>
      </c>
      <c r="I245" s="10" t="n">
        <f aca="false">Inputs!$B$12*IF(Inputs!$B$35="",H245,MIN(H245,Inputs!$B$7*(1+Inputs!$B$35)^(B245-1)))/12</f>
        <v>821.671178637533</v>
      </c>
      <c r="J245" s="10" t="n">
        <f aca="false">Inputs!$B$13*Inputs!$B$7*(1+Inputs!$B$22)^(B245-1)/12</f>
        <v>361.92706069377</v>
      </c>
      <c r="K245" s="10" t="n">
        <f aca="false">Inputs!$B$14*Inputs!$B$7*(1+Inputs!$B$22)^(B245-1)/12</f>
        <v>723.85412138754</v>
      </c>
      <c r="L245" s="10" t="n">
        <f aca="false">Inputs!$B$15*(1+Inputs!$B$22)^(B245-1)</f>
        <v>0</v>
      </c>
      <c r="M245" s="10" t="n">
        <f aca="false">INDEX(Annual!$N$2:$N$51,B245)/12</f>
        <v>0</v>
      </c>
      <c r="N245" s="10" t="n">
        <f aca="false">D245+E245+G245+I245+J245+K245+L245-M245</f>
        <v>4644.30148969955</v>
      </c>
      <c r="O245" s="10" t="n">
        <f aca="false">Inputs!$B$17*(1+Inputs!$B$18)^(B245-1)+Inputs!$B$19*(1+Inputs!$B$22)^(B245-1)</f>
        <v>5000.53090703456</v>
      </c>
      <c r="P245" s="10" t="n">
        <f aca="false">N245-O245</f>
        <v>-356.229417335011</v>
      </c>
      <c r="Q245" s="10" t="n">
        <f aca="false">Q244*(1+Inputs!$B$42)-U245+MAX(P245,0)</f>
        <v>805112.706060874</v>
      </c>
      <c r="R245" s="10" t="n">
        <f aca="false">R244+Q244*Inputs!$B$48-U245+MAX(P245,0)</f>
        <v>330923.686325223</v>
      </c>
      <c r="S245" s="10" t="n">
        <f aca="false">S244*(1+Inputs!$B$42)-V245+MAX(-P245,0)</f>
        <v>7163.58123200459</v>
      </c>
      <c r="T245" s="10" t="n">
        <f aca="false">T244+S244*Inputs!$B$48-V245+MAX(-P245,0)</f>
        <v>6736.71281615339</v>
      </c>
      <c r="U245" s="10" t="n">
        <f aca="false">Q244*Inputs!$B$48*Inputs!$B$29</f>
        <v>110.095638487137</v>
      </c>
      <c r="V245" s="10" t="n">
        <f aca="false">S244*Inputs!$B$48*Inputs!$B$29</f>
        <v>0.930875564129961</v>
      </c>
    </row>
    <row r="246" customFormat="false" ht="15" hidden="false" customHeight="false" outlineLevel="0" collapsed="false">
      <c r="A246" s="16" t="n">
        <v>245</v>
      </c>
      <c r="B246" s="16" t="n">
        <f aca="false">ROUNDUP(A246/12,0)</f>
        <v>21</v>
      </c>
      <c r="C246" s="10" t="n">
        <f aca="false">F245</f>
        <v>227464.734932864</v>
      </c>
      <c r="D246" s="10" t="n">
        <f aca="false">IF(AND(A246&lt;=Inputs!$B$9*12,C246&gt;0.000001),C246*Inputs!$B$10/12,0)</f>
        <v>1379.95272525937</v>
      </c>
      <c r="E246" s="10" t="n">
        <f aca="false">IF(AND(A246&lt;=Inputs!$B$9*12,C246&gt;0.000001),MIN(C246,Inputs!$B$41-D246),0)</f>
        <v>1356.89640372133</v>
      </c>
      <c r="F246" s="10" t="n">
        <f aca="false">C246-E246</f>
        <v>226107.838529142</v>
      </c>
      <c r="G246" s="10" t="n">
        <f aca="false">IF(AND(Inputs!$B$43=1,C246&gt;0.78*Inputs!$B$7,A246&lt;=Inputs!$B$9*6),Inputs!$B$16*Inputs!$B$39/12,0)</f>
        <v>0</v>
      </c>
      <c r="H246" s="10" t="n">
        <f aca="false">IF(B246=1,Inputs!$B$7,INDEX(Annual!$AC$2:$AC$51,B246-1))</f>
        <v>1095561.57151671</v>
      </c>
      <c r="I246" s="10" t="n">
        <f aca="false">Inputs!$B$12*IF(Inputs!$B$35="",H246,MIN(H246,Inputs!$B$7*(1+Inputs!$B$35)^(B246-1)))/12</f>
        <v>821.671178637533</v>
      </c>
      <c r="J246" s="10" t="n">
        <f aca="false">Inputs!$B$13*Inputs!$B$7*(1+Inputs!$B$22)^(B246-1)/12</f>
        <v>361.92706069377</v>
      </c>
      <c r="K246" s="10" t="n">
        <f aca="false">Inputs!$B$14*Inputs!$B$7*(1+Inputs!$B$22)^(B246-1)/12</f>
        <v>723.85412138754</v>
      </c>
      <c r="L246" s="10" t="n">
        <f aca="false">Inputs!$B$15*(1+Inputs!$B$22)^(B246-1)</f>
        <v>0</v>
      </c>
      <c r="M246" s="10" t="n">
        <f aca="false">INDEX(Annual!$N$2:$N$51,B246)/12</f>
        <v>0</v>
      </c>
      <c r="N246" s="10" t="n">
        <f aca="false">D246+E246+G246+I246+J246+K246+L246-M246</f>
        <v>4644.30148969955</v>
      </c>
      <c r="O246" s="10" t="n">
        <f aca="false">Inputs!$B$17*(1+Inputs!$B$18)^(B246-1)+Inputs!$B$19*(1+Inputs!$B$22)^(B246-1)</f>
        <v>5000.53090703456</v>
      </c>
      <c r="P246" s="10" t="n">
        <f aca="false">N246-O246</f>
        <v>-356.229417335011</v>
      </c>
      <c r="Q246" s="10" t="n">
        <f aca="false">Q245*(1+Inputs!$B$42)-U246+MAX(P246,0)</f>
        <v>809554.227357106</v>
      </c>
      <c r="R246" s="10" t="n">
        <f aca="false">R245+Q245*Inputs!$B$48-U246+MAX(P246,0)</f>
        <v>331551.003308695</v>
      </c>
      <c r="S246" s="10" t="n">
        <f aca="false">S245*(1+Inputs!$B$42)-V246+MAX(-P246,0)</f>
        <v>7559.32958670044</v>
      </c>
      <c r="T246" s="10" t="n">
        <f aca="false">T245+S245*Inputs!$B$48-V246+MAX(-P246,0)</f>
        <v>7098.52385719834</v>
      </c>
      <c r="U246" s="10" t="n">
        <f aca="false">Q245*Inputs!$B$48*Inputs!$B$29</f>
        <v>110.70299708337</v>
      </c>
      <c r="V246" s="10" t="n">
        <f aca="false">S245*Inputs!$B$48*Inputs!$B$29</f>
        <v>0.984992419400631</v>
      </c>
    </row>
    <row r="247" customFormat="false" ht="15" hidden="false" customHeight="false" outlineLevel="0" collapsed="false">
      <c r="A247" s="16" t="n">
        <v>246</v>
      </c>
      <c r="B247" s="16" t="n">
        <f aca="false">ROUNDUP(A247/12,0)</f>
        <v>21</v>
      </c>
      <c r="C247" s="10" t="n">
        <f aca="false">F246</f>
        <v>226107.838529142</v>
      </c>
      <c r="D247" s="10" t="n">
        <f aca="false">IF(AND(A247&lt;=Inputs!$B$9*12,C247&gt;0.000001),C247*Inputs!$B$10/12,0)</f>
        <v>1371.7208870768</v>
      </c>
      <c r="E247" s="10" t="n">
        <f aca="false">IF(AND(A247&lt;=Inputs!$B$9*12,C247&gt;0.000001),MIN(C247,Inputs!$B$41-D247),0)</f>
        <v>1365.12824190391</v>
      </c>
      <c r="F247" s="10" t="n">
        <f aca="false">C247-E247</f>
        <v>224742.710287239</v>
      </c>
      <c r="G247" s="10" t="n">
        <f aca="false">IF(AND(Inputs!$B$43=1,C247&gt;0.78*Inputs!$B$7,A247&lt;=Inputs!$B$9*6),Inputs!$B$16*Inputs!$B$39/12,0)</f>
        <v>0</v>
      </c>
      <c r="H247" s="10" t="n">
        <f aca="false">IF(B247=1,Inputs!$B$7,INDEX(Annual!$AC$2:$AC$51,B247-1))</f>
        <v>1095561.57151671</v>
      </c>
      <c r="I247" s="10" t="n">
        <f aca="false">Inputs!$B$12*IF(Inputs!$B$35="",H247,MIN(H247,Inputs!$B$7*(1+Inputs!$B$35)^(B247-1)))/12</f>
        <v>821.671178637533</v>
      </c>
      <c r="J247" s="10" t="n">
        <f aca="false">Inputs!$B$13*Inputs!$B$7*(1+Inputs!$B$22)^(B247-1)/12</f>
        <v>361.92706069377</v>
      </c>
      <c r="K247" s="10" t="n">
        <f aca="false">Inputs!$B$14*Inputs!$B$7*(1+Inputs!$B$22)^(B247-1)/12</f>
        <v>723.85412138754</v>
      </c>
      <c r="L247" s="10" t="n">
        <f aca="false">Inputs!$B$15*(1+Inputs!$B$22)^(B247-1)</f>
        <v>0</v>
      </c>
      <c r="M247" s="10" t="n">
        <f aca="false">INDEX(Annual!$N$2:$N$51,B247)/12</f>
        <v>0</v>
      </c>
      <c r="N247" s="10" t="n">
        <f aca="false">D247+E247+G247+I247+J247+K247+L247-M247</f>
        <v>4644.30148969955</v>
      </c>
      <c r="O247" s="10" t="n">
        <f aca="false">Inputs!$B$17*(1+Inputs!$B$18)^(B247-1)+Inputs!$B$19*(1+Inputs!$B$22)^(B247-1)</f>
        <v>5000.53090703456</v>
      </c>
      <c r="P247" s="10" t="n">
        <f aca="false">N247-O247</f>
        <v>-356.229417335011</v>
      </c>
      <c r="Q247" s="10" t="n">
        <f aca="false">Q246*(1+Inputs!$B$42)-U247+MAX(P247,0)</f>
        <v>814020.250951311</v>
      </c>
      <c r="R247" s="10" t="n">
        <f aca="false">R246+Q246*Inputs!$B$48-U247+MAX(P247,0)</f>
        <v>332181.780977511</v>
      </c>
      <c r="S247" s="10" t="n">
        <f aca="false">S246*(1+Inputs!$B$42)-V247+MAX(-P247,0)</f>
        <v>7957.2611447318</v>
      </c>
      <c r="T247" s="10" t="n">
        <f aca="false">T246+S246*Inputs!$B$48-V247+MAX(-P247,0)</f>
        <v>7460.64325216966</v>
      </c>
      <c r="U247" s="10" t="n">
        <f aca="false">Q246*Inputs!$B$48*Inputs!$B$29</f>
        <v>111.313706261602</v>
      </c>
      <c r="V247" s="10" t="n">
        <f aca="false">S246*Inputs!$B$48*Inputs!$B$29</f>
        <v>1.03940781817131</v>
      </c>
    </row>
    <row r="248" customFormat="false" ht="15" hidden="false" customHeight="false" outlineLevel="0" collapsed="false">
      <c r="A248" s="16" t="n">
        <v>247</v>
      </c>
      <c r="B248" s="16" t="n">
        <f aca="false">ROUNDUP(A248/12,0)</f>
        <v>21</v>
      </c>
      <c r="C248" s="10" t="n">
        <f aca="false">F247</f>
        <v>224742.710287239</v>
      </c>
      <c r="D248" s="10" t="n">
        <f aca="false">IF(AND(A248&lt;=Inputs!$B$9*12,C248&gt;0.000001),C248*Inputs!$B$10/12,0)</f>
        <v>1363.43910907591</v>
      </c>
      <c r="E248" s="10" t="n">
        <f aca="false">IF(AND(A248&lt;=Inputs!$B$9*12,C248&gt;0.000001),MIN(C248,Inputs!$B$41-D248),0)</f>
        <v>1373.41001990479</v>
      </c>
      <c r="F248" s="10" t="n">
        <f aca="false">C248-E248</f>
        <v>223369.300267334</v>
      </c>
      <c r="G248" s="10" t="n">
        <f aca="false">IF(AND(Inputs!$B$43=1,C248&gt;0.78*Inputs!$B$7,A248&lt;=Inputs!$B$9*6),Inputs!$B$16*Inputs!$B$39/12,0)</f>
        <v>0</v>
      </c>
      <c r="H248" s="10" t="n">
        <f aca="false">IF(B248=1,Inputs!$B$7,INDEX(Annual!$AC$2:$AC$51,B248-1))</f>
        <v>1095561.57151671</v>
      </c>
      <c r="I248" s="10" t="n">
        <f aca="false">Inputs!$B$12*IF(Inputs!$B$35="",H248,MIN(H248,Inputs!$B$7*(1+Inputs!$B$35)^(B248-1)))/12</f>
        <v>821.671178637533</v>
      </c>
      <c r="J248" s="10" t="n">
        <f aca="false">Inputs!$B$13*Inputs!$B$7*(1+Inputs!$B$22)^(B248-1)/12</f>
        <v>361.92706069377</v>
      </c>
      <c r="K248" s="10" t="n">
        <f aca="false">Inputs!$B$14*Inputs!$B$7*(1+Inputs!$B$22)^(B248-1)/12</f>
        <v>723.85412138754</v>
      </c>
      <c r="L248" s="10" t="n">
        <f aca="false">Inputs!$B$15*(1+Inputs!$B$22)^(B248-1)</f>
        <v>0</v>
      </c>
      <c r="M248" s="10" t="n">
        <f aca="false">INDEX(Annual!$N$2:$N$51,B248)/12</f>
        <v>0</v>
      </c>
      <c r="N248" s="10" t="n">
        <f aca="false">D248+E248+G248+I248+J248+K248+L248-M248</f>
        <v>4644.30148969955</v>
      </c>
      <c r="O248" s="10" t="n">
        <f aca="false">Inputs!$B$17*(1+Inputs!$B$18)^(B248-1)+Inputs!$B$19*(1+Inputs!$B$22)^(B248-1)</f>
        <v>5000.53090703456</v>
      </c>
      <c r="P248" s="10" t="n">
        <f aca="false">N248-O248</f>
        <v>-356.229417335011</v>
      </c>
      <c r="Q248" s="10" t="n">
        <f aca="false">Q247*(1+Inputs!$B$42)-U248+MAX(P248,0)</f>
        <v>818510.912013976</v>
      </c>
      <c r="R248" s="10" t="n">
        <f aca="false">R247+Q247*Inputs!$B$48-U248+MAX(P248,0)</f>
        <v>332816.038423044</v>
      </c>
      <c r="S248" s="10" t="n">
        <f aca="false">S247*(1+Inputs!$B$42)-V248+MAX(-P248,0)</f>
        <v>8357.38795005727</v>
      </c>
      <c r="T248" s="10" t="n">
        <f aca="false">T247+S247*Inputs!$B$48-V248+MAX(-P248,0)</f>
        <v>7823.0727021466</v>
      </c>
      <c r="U248" s="10" t="n">
        <f aca="false">Q247*Inputs!$B$48*Inputs!$B$29</f>
        <v>111.927784505805</v>
      </c>
      <c r="V248" s="10" t="n">
        <f aca="false">S247*Inputs!$B$48*Inputs!$B$29</f>
        <v>1.09412340740062</v>
      </c>
    </row>
    <row r="249" customFormat="false" ht="15" hidden="false" customHeight="false" outlineLevel="0" collapsed="false">
      <c r="A249" s="16" t="n">
        <v>248</v>
      </c>
      <c r="B249" s="16" t="n">
        <f aca="false">ROUNDUP(A249/12,0)</f>
        <v>21</v>
      </c>
      <c r="C249" s="10" t="n">
        <f aca="false">F248</f>
        <v>223369.300267334</v>
      </c>
      <c r="D249" s="10" t="n">
        <f aca="false">IF(AND(A249&lt;=Inputs!$B$9*12,C249&gt;0.000001),C249*Inputs!$B$10/12,0)</f>
        <v>1355.10708828849</v>
      </c>
      <c r="E249" s="10" t="n">
        <f aca="false">IF(AND(A249&lt;=Inputs!$B$9*12,C249&gt;0.000001),MIN(C249,Inputs!$B$41-D249),0)</f>
        <v>1381.74204069221</v>
      </c>
      <c r="F249" s="10" t="n">
        <f aca="false">C249-E249</f>
        <v>221987.558226642</v>
      </c>
      <c r="G249" s="10" t="n">
        <f aca="false">IF(AND(Inputs!$B$43=1,C249&gt;0.78*Inputs!$B$7,A249&lt;=Inputs!$B$9*6),Inputs!$B$16*Inputs!$B$39/12,0)</f>
        <v>0</v>
      </c>
      <c r="H249" s="10" t="n">
        <f aca="false">IF(B249=1,Inputs!$B$7,INDEX(Annual!$AC$2:$AC$51,B249-1))</f>
        <v>1095561.57151671</v>
      </c>
      <c r="I249" s="10" t="n">
        <f aca="false">Inputs!$B$12*IF(Inputs!$B$35="",H249,MIN(H249,Inputs!$B$7*(1+Inputs!$B$35)^(B249-1)))/12</f>
        <v>821.671178637533</v>
      </c>
      <c r="J249" s="10" t="n">
        <f aca="false">Inputs!$B$13*Inputs!$B$7*(1+Inputs!$B$22)^(B249-1)/12</f>
        <v>361.92706069377</v>
      </c>
      <c r="K249" s="10" t="n">
        <f aca="false">Inputs!$B$14*Inputs!$B$7*(1+Inputs!$B$22)^(B249-1)/12</f>
        <v>723.85412138754</v>
      </c>
      <c r="L249" s="10" t="n">
        <f aca="false">Inputs!$B$15*(1+Inputs!$B$22)^(B249-1)</f>
        <v>0</v>
      </c>
      <c r="M249" s="10" t="n">
        <f aca="false">INDEX(Annual!$N$2:$N$51,B249)/12</f>
        <v>0</v>
      </c>
      <c r="N249" s="10" t="n">
        <f aca="false">D249+E249+G249+I249+J249+K249+L249-M249</f>
        <v>4644.30148969955</v>
      </c>
      <c r="O249" s="10" t="n">
        <f aca="false">Inputs!$B$17*(1+Inputs!$B$18)^(B249-1)+Inputs!$B$19*(1+Inputs!$B$22)^(B249-1)</f>
        <v>5000.53090703456</v>
      </c>
      <c r="P249" s="10" t="n">
        <f aca="false">N249-O249</f>
        <v>-356.229417335011</v>
      </c>
      <c r="Q249" s="10" t="n">
        <f aca="false">Q248*(1+Inputs!$B$42)-U249+MAX(P249,0)</f>
        <v>823026.346461278</v>
      </c>
      <c r="R249" s="10" t="n">
        <f aca="false">R248+Q248*Inputs!$B$48-U249+MAX(P249,0)</f>
        <v>333453.794841988</v>
      </c>
      <c r="S249" s="10" t="n">
        <f aca="false">S248*(1+Inputs!$B$42)-V249+MAX(-P249,0)</f>
        <v>8759.72211307772</v>
      </c>
      <c r="T249" s="10" t="n">
        <f aca="false">T248+S248*Inputs!$B$48-V249+MAX(-P249,0)</f>
        <v>8185.8139175927</v>
      </c>
      <c r="U249" s="10" t="n">
        <f aca="false">Q248*Inputs!$B$48*Inputs!$B$29</f>
        <v>112.545250401922</v>
      </c>
      <c r="V249" s="10" t="n">
        <f aca="false">S248*Inputs!$B$48*Inputs!$B$29</f>
        <v>1.14914084313287</v>
      </c>
    </row>
    <row r="250" customFormat="false" ht="15" hidden="false" customHeight="false" outlineLevel="0" collapsed="false">
      <c r="A250" s="16" t="n">
        <v>249</v>
      </c>
      <c r="B250" s="16" t="n">
        <f aca="false">ROUNDUP(A250/12,0)</f>
        <v>21</v>
      </c>
      <c r="C250" s="10" t="n">
        <f aca="false">F249</f>
        <v>221987.558226642</v>
      </c>
      <c r="D250" s="10" t="n">
        <f aca="false">IF(AND(A250&lt;=Inputs!$B$9*12,C250&gt;0.000001),C250*Inputs!$B$10/12,0)</f>
        <v>1346.72451990829</v>
      </c>
      <c r="E250" s="10" t="n">
        <f aca="false">IF(AND(A250&lt;=Inputs!$B$9*12,C250&gt;0.000001),MIN(C250,Inputs!$B$41-D250),0)</f>
        <v>1390.12460907241</v>
      </c>
      <c r="F250" s="10" t="n">
        <f aca="false">C250-E250</f>
        <v>220597.433617569</v>
      </c>
      <c r="G250" s="10" t="n">
        <f aca="false">IF(AND(Inputs!$B$43=1,C250&gt;0.78*Inputs!$B$7,A250&lt;=Inputs!$B$9*6),Inputs!$B$16*Inputs!$B$39/12,0)</f>
        <v>0</v>
      </c>
      <c r="H250" s="10" t="n">
        <f aca="false">IF(B250=1,Inputs!$B$7,INDEX(Annual!$AC$2:$AC$51,B250-1))</f>
        <v>1095561.57151671</v>
      </c>
      <c r="I250" s="10" t="n">
        <f aca="false">Inputs!$B$12*IF(Inputs!$B$35="",H250,MIN(H250,Inputs!$B$7*(1+Inputs!$B$35)^(B250-1)))/12</f>
        <v>821.671178637533</v>
      </c>
      <c r="J250" s="10" t="n">
        <f aca="false">Inputs!$B$13*Inputs!$B$7*(1+Inputs!$B$22)^(B250-1)/12</f>
        <v>361.92706069377</v>
      </c>
      <c r="K250" s="10" t="n">
        <f aca="false">Inputs!$B$14*Inputs!$B$7*(1+Inputs!$B$22)^(B250-1)/12</f>
        <v>723.85412138754</v>
      </c>
      <c r="L250" s="10" t="n">
        <f aca="false">Inputs!$B$15*(1+Inputs!$B$22)^(B250-1)</f>
        <v>0</v>
      </c>
      <c r="M250" s="10" t="n">
        <f aca="false">INDEX(Annual!$N$2:$N$51,B250)/12</f>
        <v>0</v>
      </c>
      <c r="N250" s="10" t="n">
        <f aca="false">D250+E250+G250+I250+J250+K250+L250-M250</f>
        <v>4644.30148969955</v>
      </c>
      <c r="O250" s="10" t="n">
        <f aca="false">Inputs!$B$17*(1+Inputs!$B$18)^(B250-1)+Inputs!$B$19*(1+Inputs!$B$22)^(B250-1)</f>
        <v>5000.53090703456</v>
      </c>
      <c r="P250" s="10" t="n">
        <f aca="false">N250-O250</f>
        <v>-356.229417335011</v>
      </c>
      <c r="Q250" s="10" t="n">
        <f aca="false">Q249*(1+Inputs!$B$42)-U250+MAX(P250,0)</f>
        <v>827566.690959197</v>
      </c>
      <c r="R250" s="10" t="n">
        <f aca="false">R249+Q249*Inputs!$B$48-U250+MAX(P250,0)</f>
        <v>334095.069536939</v>
      </c>
      <c r="S250" s="10" t="n">
        <f aca="false">S249*(1+Inputs!$B$42)-V250+MAX(-P250,0)</f>
        <v>9164.2758110028</v>
      </c>
      <c r="T250" s="10" t="n">
        <f aca="false">T249+S249*Inputs!$B$48-V250+MAX(-P250,0)</f>
        <v>8548.86861840749</v>
      </c>
      <c r="U250" s="10" t="n">
        <f aca="false">Q249*Inputs!$B$48*Inputs!$B$29</f>
        <v>113.166122638426</v>
      </c>
      <c r="V250" s="10" t="n">
        <f aca="false">S249*Inputs!$B$48*Inputs!$B$29</f>
        <v>1.20446179054819</v>
      </c>
    </row>
    <row r="251" customFormat="false" ht="15" hidden="false" customHeight="false" outlineLevel="0" collapsed="false">
      <c r="A251" s="16" t="n">
        <v>250</v>
      </c>
      <c r="B251" s="16" t="n">
        <f aca="false">ROUNDUP(A251/12,0)</f>
        <v>21</v>
      </c>
      <c r="C251" s="10" t="n">
        <f aca="false">F250</f>
        <v>220597.433617569</v>
      </c>
      <c r="D251" s="10" t="n">
        <f aca="false">IF(AND(A251&lt;=Inputs!$B$9*12,C251&gt;0.000001),C251*Inputs!$B$10/12,0)</f>
        <v>1338.29109727992</v>
      </c>
      <c r="E251" s="10" t="n">
        <f aca="false">IF(AND(A251&lt;=Inputs!$B$9*12,C251&gt;0.000001),MIN(C251,Inputs!$B$41-D251),0)</f>
        <v>1398.55803170079</v>
      </c>
      <c r="F251" s="10" t="n">
        <f aca="false">C251-E251</f>
        <v>219198.875585868</v>
      </c>
      <c r="G251" s="10" t="n">
        <f aca="false">IF(AND(Inputs!$B$43=1,C251&gt;0.78*Inputs!$B$7,A251&lt;=Inputs!$B$9*6),Inputs!$B$16*Inputs!$B$39/12,0)</f>
        <v>0</v>
      </c>
      <c r="H251" s="10" t="n">
        <f aca="false">IF(B251=1,Inputs!$B$7,INDEX(Annual!$AC$2:$AC$51,B251-1))</f>
        <v>1095561.57151671</v>
      </c>
      <c r="I251" s="10" t="n">
        <f aca="false">Inputs!$B$12*IF(Inputs!$B$35="",H251,MIN(H251,Inputs!$B$7*(1+Inputs!$B$35)^(B251-1)))/12</f>
        <v>821.671178637533</v>
      </c>
      <c r="J251" s="10" t="n">
        <f aca="false">Inputs!$B$13*Inputs!$B$7*(1+Inputs!$B$22)^(B251-1)/12</f>
        <v>361.92706069377</v>
      </c>
      <c r="K251" s="10" t="n">
        <f aca="false">Inputs!$B$14*Inputs!$B$7*(1+Inputs!$B$22)^(B251-1)/12</f>
        <v>723.85412138754</v>
      </c>
      <c r="L251" s="10" t="n">
        <f aca="false">Inputs!$B$15*(1+Inputs!$B$22)^(B251-1)</f>
        <v>0</v>
      </c>
      <c r="M251" s="10" t="n">
        <f aca="false">INDEX(Annual!$N$2:$N$51,B251)/12</f>
        <v>0</v>
      </c>
      <c r="N251" s="10" t="n">
        <f aca="false">D251+E251+G251+I251+J251+K251+L251-M251</f>
        <v>4644.30148969955</v>
      </c>
      <c r="O251" s="10" t="n">
        <f aca="false">Inputs!$B$17*(1+Inputs!$B$18)^(B251-1)+Inputs!$B$19*(1+Inputs!$B$22)^(B251-1)</f>
        <v>5000.53090703456</v>
      </c>
      <c r="P251" s="10" t="n">
        <f aca="false">N251-O251</f>
        <v>-356.229417335011</v>
      </c>
      <c r="Q251" s="10" t="n">
        <f aca="false">Q250*(1+Inputs!$B$42)-U251+MAX(P251,0)</f>
        <v>832132.082927647</v>
      </c>
      <c r="R251" s="10" t="n">
        <f aca="false">R250+Q250*Inputs!$B$48-U251+MAX(P251,0)</f>
        <v>334739.881916978</v>
      </c>
      <c r="S251" s="10" t="n">
        <f aca="false">S250*(1+Inputs!$B$42)-V251+MAX(-P251,0)</f>
        <v>9571.06128821949</v>
      </c>
      <c r="T251" s="10" t="n">
        <f aca="false">T250+S250*Inputs!$B$48-V251+MAX(-P251,0)</f>
        <v>8912.23853397857</v>
      </c>
      <c r="U251" s="10" t="n">
        <f aca="false">Q250*Inputs!$B$48*Inputs!$B$29</f>
        <v>113.79042000689</v>
      </c>
      <c r="V251" s="10" t="n">
        <f aca="false">S250*Inputs!$B$48*Inputs!$B$29</f>
        <v>1.26008792401288</v>
      </c>
    </row>
    <row r="252" customFormat="false" ht="15" hidden="false" customHeight="false" outlineLevel="0" collapsed="false">
      <c r="A252" s="16" t="n">
        <v>251</v>
      </c>
      <c r="B252" s="16" t="n">
        <f aca="false">ROUNDUP(A252/12,0)</f>
        <v>21</v>
      </c>
      <c r="C252" s="10" t="n">
        <f aca="false">F251</f>
        <v>219198.875585868</v>
      </c>
      <c r="D252" s="10" t="n">
        <f aca="false">IF(AND(A252&lt;=Inputs!$B$9*12,C252&gt;0.000001),C252*Inputs!$B$10/12,0)</f>
        <v>1329.8065118876</v>
      </c>
      <c r="E252" s="10" t="n">
        <f aca="false">IF(AND(A252&lt;=Inputs!$B$9*12,C252&gt;0.000001),MIN(C252,Inputs!$B$41-D252),0)</f>
        <v>1407.0426170931</v>
      </c>
      <c r="F252" s="10" t="n">
        <f aca="false">C252-E252</f>
        <v>217791.832968775</v>
      </c>
      <c r="G252" s="10" t="n">
        <f aca="false">IF(AND(Inputs!$B$43=1,C252&gt;0.78*Inputs!$B$7,A252&lt;=Inputs!$B$9*6),Inputs!$B$16*Inputs!$B$39/12,0)</f>
        <v>0</v>
      </c>
      <c r="H252" s="10" t="n">
        <f aca="false">IF(B252=1,Inputs!$B$7,INDEX(Annual!$AC$2:$AC$51,B252-1))</f>
        <v>1095561.57151671</v>
      </c>
      <c r="I252" s="10" t="n">
        <f aca="false">Inputs!$B$12*IF(Inputs!$B$35="",H252,MIN(H252,Inputs!$B$7*(1+Inputs!$B$35)^(B252-1)))/12</f>
        <v>821.671178637533</v>
      </c>
      <c r="J252" s="10" t="n">
        <f aca="false">Inputs!$B$13*Inputs!$B$7*(1+Inputs!$B$22)^(B252-1)/12</f>
        <v>361.92706069377</v>
      </c>
      <c r="K252" s="10" t="n">
        <f aca="false">Inputs!$B$14*Inputs!$B$7*(1+Inputs!$B$22)^(B252-1)/12</f>
        <v>723.85412138754</v>
      </c>
      <c r="L252" s="10" t="n">
        <f aca="false">Inputs!$B$15*(1+Inputs!$B$22)^(B252-1)</f>
        <v>0</v>
      </c>
      <c r="M252" s="10" t="n">
        <f aca="false">INDEX(Annual!$N$2:$N$51,B252)/12</f>
        <v>0</v>
      </c>
      <c r="N252" s="10" t="n">
        <f aca="false">D252+E252+G252+I252+J252+K252+L252-M252</f>
        <v>4644.30148969955</v>
      </c>
      <c r="O252" s="10" t="n">
        <f aca="false">Inputs!$B$17*(1+Inputs!$B$18)^(B252-1)+Inputs!$B$19*(1+Inputs!$B$22)^(B252-1)</f>
        <v>5000.53090703456</v>
      </c>
      <c r="P252" s="10" t="n">
        <f aca="false">N252-O252</f>
        <v>-356.229417335011</v>
      </c>
      <c r="Q252" s="10" t="n">
        <f aca="false">Q251*(1+Inputs!$B$42)-U252+MAX(P252,0)</f>
        <v>836722.660544642</v>
      </c>
      <c r="R252" s="10" t="n">
        <f aca="false">R251+Q251*Inputs!$B$48-U252+MAX(P252,0)</f>
        <v>335388.251498259</v>
      </c>
      <c r="S252" s="10" t="n">
        <f aca="false">S251*(1+Inputs!$B$42)-V252+MAX(-P252,0)</f>
        <v>9980.09085666273</v>
      </c>
      <c r="T252" s="10" t="n">
        <f aca="false">T251+S251*Inputs!$B$48-V252+MAX(-P252,0)</f>
        <v>9275.92540323399</v>
      </c>
      <c r="U252" s="10" t="n">
        <f aca="false">Q251*Inputs!$B$48*Inputs!$B$29</f>
        <v>114.418161402552</v>
      </c>
      <c r="V252" s="10" t="n">
        <f aca="false">S251*Inputs!$B$48*Inputs!$B$29</f>
        <v>1.31602092713018</v>
      </c>
    </row>
    <row r="253" customFormat="false" ht="15" hidden="false" customHeight="false" outlineLevel="0" collapsed="false">
      <c r="A253" s="16" t="n">
        <v>252</v>
      </c>
      <c r="B253" s="16" t="n">
        <f aca="false">ROUNDUP(A253/12,0)</f>
        <v>21</v>
      </c>
      <c r="C253" s="10" t="n">
        <f aca="false">F252</f>
        <v>217791.832968775</v>
      </c>
      <c r="D253" s="10" t="n">
        <f aca="false">IF(AND(A253&lt;=Inputs!$B$9*12,C253&gt;0.000001),C253*Inputs!$B$10/12,0)</f>
        <v>1321.2704533439</v>
      </c>
      <c r="E253" s="10" t="n">
        <f aca="false">IF(AND(A253&lt;=Inputs!$B$9*12,C253&gt;0.000001),MIN(C253,Inputs!$B$41-D253),0)</f>
        <v>1415.5786756368</v>
      </c>
      <c r="F253" s="10" t="n">
        <f aca="false">C253-E253</f>
        <v>216376.254293138</v>
      </c>
      <c r="G253" s="10" t="n">
        <f aca="false">IF(AND(Inputs!$B$43=1,C253&gt;0.78*Inputs!$B$7,A253&lt;=Inputs!$B$9*6),Inputs!$B$16*Inputs!$B$39/12,0)</f>
        <v>0</v>
      </c>
      <c r="H253" s="10" t="n">
        <f aca="false">IF(B253=1,Inputs!$B$7,INDEX(Annual!$AC$2:$AC$51,B253-1))</f>
        <v>1095561.57151671</v>
      </c>
      <c r="I253" s="10" t="n">
        <f aca="false">Inputs!$B$12*IF(Inputs!$B$35="",H253,MIN(H253,Inputs!$B$7*(1+Inputs!$B$35)^(B253-1)))/12</f>
        <v>821.671178637533</v>
      </c>
      <c r="J253" s="10" t="n">
        <f aca="false">Inputs!$B$13*Inputs!$B$7*(1+Inputs!$B$22)^(B253-1)/12</f>
        <v>361.92706069377</v>
      </c>
      <c r="K253" s="10" t="n">
        <f aca="false">Inputs!$B$14*Inputs!$B$7*(1+Inputs!$B$22)^(B253-1)/12</f>
        <v>723.85412138754</v>
      </c>
      <c r="L253" s="10" t="n">
        <f aca="false">Inputs!$B$15*(1+Inputs!$B$22)^(B253-1)</f>
        <v>0</v>
      </c>
      <c r="M253" s="10" t="n">
        <f aca="false">INDEX(Annual!$N$2:$N$51,B253)/12</f>
        <v>0</v>
      </c>
      <c r="N253" s="10" t="n">
        <f aca="false">D253+E253+G253+I253+J253+K253+L253-M253</f>
        <v>4644.30148969955</v>
      </c>
      <c r="O253" s="10" t="n">
        <f aca="false">Inputs!$B$17*(1+Inputs!$B$18)^(B253-1)+Inputs!$B$19*(1+Inputs!$B$22)^(B253-1)</f>
        <v>5000.53090703456</v>
      </c>
      <c r="P253" s="10" t="n">
        <f aca="false">N253-O253</f>
        <v>-356.229417335011</v>
      </c>
      <c r="Q253" s="10" t="n">
        <f aca="false">Q252*(1+Inputs!$B$42)-U253+MAX(P253,0)</f>
        <v>841338.562750473</v>
      </c>
      <c r="R253" s="10" t="n">
        <f aca="false">R252+Q252*Inputs!$B$48-U253+MAX(P253,0)</f>
        <v>336040.1979046</v>
      </c>
      <c r="S253" s="10" t="n">
        <f aca="false">S252*(1+Inputs!$B$42)-V253+MAX(-P253,0)</f>
        <v>10391.376896188</v>
      </c>
      <c r="T253" s="10" t="n">
        <f aca="false">T252+S252*Inputs!$B$48-V253+MAX(-P253,0)</f>
        <v>9639.93097469481</v>
      </c>
      <c r="U253" s="10" t="n">
        <f aca="false">Q252*Inputs!$B$48*Inputs!$B$29</f>
        <v>115.049365824888</v>
      </c>
      <c r="V253" s="10" t="n">
        <f aca="false">S252*Inputs!$B$48*Inputs!$B$29</f>
        <v>1.37226249279113</v>
      </c>
    </row>
    <row r="254" customFormat="false" ht="15" hidden="false" customHeight="false" outlineLevel="0" collapsed="false">
      <c r="A254" s="16" t="n">
        <v>253</v>
      </c>
      <c r="B254" s="16" t="n">
        <f aca="false">ROUNDUP(A254/12,0)</f>
        <v>22</v>
      </c>
      <c r="C254" s="10" t="n">
        <f aca="false">F253</f>
        <v>216376.254293138</v>
      </c>
      <c r="D254" s="10" t="n">
        <f aca="false">IF(AND(A254&lt;=Inputs!$B$9*12,C254&gt;0.000001),C254*Inputs!$B$10/12,0)</f>
        <v>1312.68260937837</v>
      </c>
      <c r="E254" s="10" t="n">
        <f aca="false">IF(AND(A254&lt;=Inputs!$B$9*12,C254&gt;0.000001),MIN(C254,Inputs!$B$41-D254),0)</f>
        <v>1424.16651960233</v>
      </c>
      <c r="F254" s="10" t="n">
        <f aca="false">C254-E254</f>
        <v>214952.087773536</v>
      </c>
      <c r="G254" s="10" t="n">
        <f aca="false">IF(AND(Inputs!$B$43=1,C254&gt;0.78*Inputs!$B$7,A254&lt;=Inputs!$B$9*6),Inputs!$B$16*Inputs!$B$39/12,0)</f>
        <v>0</v>
      </c>
      <c r="H254" s="10" t="n">
        <f aca="false">IF(B254=1,Inputs!$B$7,INDEX(Annual!$AC$2:$AC$51,B254-1))</f>
        <v>1139384.03437738</v>
      </c>
      <c r="I254" s="10" t="n">
        <f aca="false">Inputs!$B$12*IF(Inputs!$B$35="",H254,MIN(H254,Inputs!$B$7*(1+Inputs!$B$35)^(B254-1)))/12</f>
        <v>854.538025783034</v>
      </c>
      <c r="J254" s="10" t="n">
        <f aca="false">Inputs!$B$13*Inputs!$B$7*(1+Inputs!$B$22)^(B254-1)/12</f>
        <v>372.061018393196</v>
      </c>
      <c r="K254" s="10" t="n">
        <f aca="false">Inputs!$B$14*Inputs!$B$7*(1+Inputs!$B$22)^(B254-1)/12</f>
        <v>744.122036786391</v>
      </c>
      <c r="L254" s="10" t="n">
        <f aca="false">Inputs!$B$15*(1+Inputs!$B$22)^(B254-1)</f>
        <v>0</v>
      </c>
      <c r="M254" s="10" t="n">
        <f aca="false">INDEX(Annual!$N$2:$N$51,B254)/12</f>
        <v>0</v>
      </c>
      <c r="N254" s="10" t="n">
        <f aca="false">D254+E254+G254+I254+J254+K254+L254-M254</f>
        <v>4707.57020994333</v>
      </c>
      <c r="O254" s="10" t="n">
        <f aca="false">Inputs!$B$17*(1+Inputs!$B$18)^(B254-1)+Inputs!$B$19*(1+Inputs!$B$22)^(B254-1)</f>
        <v>5175.36707754218</v>
      </c>
      <c r="P254" s="10" t="n">
        <f aca="false">N254-O254</f>
        <v>-467.796867598851</v>
      </c>
      <c r="Q254" s="10" t="n">
        <f aca="false">Q253*(1+Inputs!$B$42)-U254+MAX(P254,0)</f>
        <v>845979.929251917</v>
      </c>
      <c r="R254" s="10" t="n">
        <f aca="false">R253+Q253*Inputs!$B$48-U254+MAX(P254,0)</f>
        <v>336695.740868076</v>
      </c>
      <c r="S254" s="10" t="n">
        <f aca="false">S253*(1+Inputs!$B$42)-V254+MAX(-P254,0)</f>
        <v>10916.49930521</v>
      </c>
      <c r="T254" s="10" t="n">
        <f aca="false">T253+S253*Inputs!$B$48-V254+MAX(-P254,0)</f>
        <v>10115.8244567919</v>
      </c>
      <c r="U254" s="10" t="n">
        <f aca="false">Q253*Inputs!$B$48*Inputs!$B$29</f>
        <v>115.68405237819</v>
      </c>
      <c r="V254" s="10" t="n">
        <f aca="false">S253*Inputs!$B$48*Inputs!$B$29</f>
        <v>1.42881432322585</v>
      </c>
    </row>
    <row r="255" customFormat="false" ht="15" hidden="false" customHeight="false" outlineLevel="0" collapsed="false">
      <c r="A255" s="16" t="n">
        <v>254</v>
      </c>
      <c r="B255" s="16" t="n">
        <f aca="false">ROUNDUP(A255/12,0)</f>
        <v>22</v>
      </c>
      <c r="C255" s="10" t="n">
        <f aca="false">F254</f>
        <v>214952.087773536</v>
      </c>
      <c r="D255" s="10" t="n">
        <f aca="false">IF(AND(A255&lt;=Inputs!$B$9*12,C255&gt;0.000001),C255*Inputs!$B$10/12,0)</f>
        <v>1304.04266582612</v>
      </c>
      <c r="E255" s="10" t="n">
        <f aca="false">IF(AND(A255&lt;=Inputs!$B$9*12,C255&gt;0.000001),MIN(C255,Inputs!$B$41-D255),0)</f>
        <v>1432.80646315459</v>
      </c>
      <c r="F255" s="10" t="n">
        <f aca="false">C255-E255</f>
        <v>213519.281310382</v>
      </c>
      <c r="G255" s="10" t="n">
        <f aca="false">IF(AND(Inputs!$B$43=1,C255&gt;0.78*Inputs!$B$7,A255&lt;=Inputs!$B$9*6),Inputs!$B$16*Inputs!$B$39/12,0)</f>
        <v>0</v>
      </c>
      <c r="H255" s="10" t="n">
        <f aca="false">IF(B255=1,Inputs!$B$7,INDEX(Annual!$AC$2:$AC$51,B255-1))</f>
        <v>1139384.03437738</v>
      </c>
      <c r="I255" s="10" t="n">
        <f aca="false">Inputs!$B$12*IF(Inputs!$B$35="",H255,MIN(H255,Inputs!$B$7*(1+Inputs!$B$35)^(B255-1)))/12</f>
        <v>854.538025783034</v>
      </c>
      <c r="J255" s="10" t="n">
        <f aca="false">Inputs!$B$13*Inputs!$B$7*(1+Inputs!$B$22)^(B255-1)/12</f>
        <v>372.061018393196</v>
      </c>
      <c r="K255" s="10" t="n">
        <f aca="false">Inputs!$B$14*Inputs!$B$7*(1+Inputs!$B$22)^(B255-1)/12</f>
        <v>744.122036786391</v>
      </c>
      <c r="L255" s="10" t="n">
        <f aca="false">Inputs!$B$15*(1+Inputs!$B$22)^(B255-1)</f>
        <v>0</v>
      </c>
      <c r="M255" s="10" t="n">
        <f aca="false">INDEX(Annual!$N$2:$N$51,B255)/12</f>
        <v>0</v>
      </c>
      <c r="N255" s="10" t="n">
        <f aca="false">D255+E255+G255+I255+J255+K255+L255-M255</f>
        <v>4707.57020994333</v>
      </c>
      <c r="O255" s="10" t="n">
        <f aca="false">Inputs!$B$17*(1+Inputs!$B$18)^(B255-1)+Inputs!$B$19*(1+Inputs!$B$22)^(B255-1)</f>
        <v>5175.36707754218</v>
      </c>
      <c r="P255" s="10" t="n">
        <f aca="false">N255-O255</f>
        <v>-467.796867598851</v>
      </c>
      <c r="Q255" s="10" t="n">
        <f aca="false">Q254*(1+Inputs!$B$42)-U255+MAX(P255,0)</f>
        <v>850646.900526462</v>
      </c>
      <c r="R255" s="10" t="n">
        <f aca="false">R254+Q254*Inputs!$B$48-U255+MAX(P255,0)</f>
        <v>337354.900229619</v>
      </c>
      <c r="S255" s="10" t="n">
        <f aca="false">S254*(1+Inputs!$B$42)-V255+MAX(-P255,0)</f>
        <v>11444.5186283476</v>
      </c>
      <c r="T255" s="10" t="n">
        <f aca="false">T254+S254*Inputs!$B$48-V255+MAX(-P255,0)</f>
        <v>10592.1270967661</v>
      </c>
      <c r="U255" s="10" t="n">
        <f aca="false">Q254*Inputs!$B$48*Inputs!$B$29</f>
        <v>116.322240272139</v>
      </c>
      <c r="V255" s="10" t="n">
        <f aca="false">S254*Inputs!$B$48*Inputs!$B$29</f>
        <v>1.50101865446638</v>
      </c>
    </row>
    <row r="256" customFormat="false" ht="15" hidden="false" customHeight="false" outlineLevel="0" collapsed="false">
      <c r="A256" s="16" t="n">
        <v>255</v>
      </c>
      <c r="B256" s="16" t="n">
        <f aca="false">ROUNDUP(A256/12,0)</f>
        <v>22</v>
      </c>
      <c r="C256" s="10" t="n">
        <f aca="false">F255</f>
        <v>213519.281310382</v>
      </c>
      <c r="D256" s="10" t="n">
        <f aca="false">IF(AND(A256&lt;=Inputs!$B$9*12,C256&gt;0.000001),C256*Inputs!$B$10/12,0)</f>
        <v>1295.35030661631</v>
      </c>
      <c r="E256" s="10" t="n">
        <f aca="false">IF(AND(A256&lt;=Inputs!$B$9*12,C256&gt;0.000001),MIN(C256,Inputs!$B$41-D256),0)</f>
        <v>1441.49882236439</v>
      </c>
      <c r="F256" s="10" t="n">
        <f aca="false">C256-E256</f>
        <v>212077.782488017</v>
      </c>
      <c r="G256" s="10" t="n">
        <f aca="false">IF(AND(Inputs!$B$43=1,C256&gt;0.78*Inputs!$B$7,A256&lt;=Inputs!$B$9*6),Inputs!$B$16*Inputs!$B$39/12,0)</f>
        <v>0</v>
      </c>
      <c r="H256" s="10" t="n">
        <f aca="false">IF(B256=1,Inputs!$B$7,INDEX(Annual!$AC$2:$AC$51,B256-1))</f>
        <v>1139384.03437738</v>
      </c>
      <c r="I256" s="10" t="n">
        <f aca="false">Inputs!$B$12*IF(Inputs!$B$35="",H256,MIN(H256,Inputs!$B$7*(1+Inputs!$B$35)^(B256-1)))/12</f>
        <v>854.538025783034</v>
      </c>
      <c r="J256" s="10" t="n">
        <f aca="false">Inputs!$B$13*Inputs!$B$7*(1+Inputs!$B$22)^(B256-1)/12</f>
        <v>372.061018393196</v>
      </c>
      <c r="K256" s="10" t="n">
        <f aca="false">Inputs!$B$14*Inputs!$B$7*(1+Inputs!$B$22)^(B256-1)/12</f>
        <v>744.122036786391</v>
      </c>
      <c r="L256" s="10" t="n">
        <f aca="false">Inputs!$B$15*(1+Inputs!$B$22)^(B256-1)</f>
        <v>0</v>
      </c>
      <c r="M256" s="10" t="n">
        <f aca="false">INDEX(Annual!$N$2:$N$51,B256)/12</f>
        <v>0</v>
      </c>
      <c r="N256" s="10" t="n">
        <f aca="false">D256+E256+G256+I256+J256+K256+L256-M256</f>
        <v>4707.57020994333</v>
      </c>
      <c r="O256" s="10" t="n">
        <f aca="false">Inputs!$B$17*(1+Inputs!$B$18)^(B256-1)+Inputs!$B$19*(1+Inputs!$B$22)^(B256-1)</f>
        <v>5175.36707754218</v>
      </c>
      <c r="P256" s="10" t="n">
        <f aca="false">N256-O256</f>
        <v>-467.796867598851</v>
      </c>
      <c r="Q256" s="10" t="n">
        <f aca="false">Q255*(1+Inputs!$B$42)-U256+MAX(P256,0)</f>
        <v>855339.617826561</v>
      </c>
      <c r="R256" s="10" t="n">
        <f aca="false">R255+Q255*Inputs!$B$48-U256+MAX(P256,0)</f>
        <v>338017.695939612</v>
      </c>
      <c r="S256" s="10" t="n">
        <f aca="false">S255*(1+Inputs!$B$42)-V256+MAX(-P256,0)</f>
        <v>11975.4508468486</v>
      </c>
      <c r="T256" s="10" t="n">
        <f aca="false">T255+S255*Inputs!$B$48-V256+MAX(-P256,0)</f>
        <v>11068.8411517962</v>
      </c>
      <c r="U256" s="10" t="n">
        <f aca="false">Q255*Inputs!$B$48*Inputs!$B$29</f>
        <v>116.963948822388</v>
      </c>
      <c r="V256" s="10" t="n">
        <f aca="false">S255*Inputs!$B$48*Inputs!$B$29</f>
        <v>1.57362131139779</v>
      </c>
    </row>
    <row r="257" customFormat="false" ht="15" hidden="false" customHeight="false" outlineLevel="0" collapsed="false">
      <c r="A257" s="16" t="n">
        <v>256</v>
      </c>
      <c r="B257" s="16" t="n">
        <f aca="false">ROUNDUP(A257/12,0)</f>
        <v>22</v>
      </c>
      <c r="C257" s="10" t="n">
        <f aca="false">F256</f>
        <v>212077.782488017</v>
      </c>
      <c r="D257" s="10" t="n">
        <f aca="false">IF(AND(A257&lt;=Inputs!$B$9*12,C257&gt;0.000001),C257*Inputs!$B$10/12,0)</f>
        <v>1286.60521376064</v>
      </c>
      <c r="E257" s="10" t="n">
        <f aca="false">IF(AND(A257&lt;=Inputs!$B$9*12,C257&gt;0.000001),MIN(C257,Inputs!$B$41-D257),0)</f>
        <v>1450.24391522007</v>
      </c>
      <c r="F257" s="10" t="n">
        <f aca="false">C257-E257</f>
        <v>210627.538572797</v>
      </c>
      <c r="G257" s="10" t="n">
        <f aca="false">IF(AND(Inputs!$B$43=1,C257&gt;0.78*Inputs!$B$7,A257&lt;=Inputs!$B$9*6),Inputs!$B$16*Inputs!$B$39/12,0)</f>
        <v>0</v>
      </c>
      <c r="H257" s="10" t="n">
        <f aca="false">IF(B257=1,Inputs!$B$7,INDEX(Annual!$AC$2:$AC$51,B257-1))</f>
        <v>1139384.03437738</v>
      </c>
      <c r="I257" s="10" t="n">
        <f aca="false">Inputs!$B$12*IF(Inputs!$B$35="",H257,MIN(H257,Inputs!$B$7*(1+Inputs!$B$35)^(B257-1)))/12</f>
        <v>854.538025783034</v>
      </c>
      <c r="J257" s="10" t="n">
        <f aca="false">Inputs!$B$13*Inputs!$B$7*(1+Inputs!$B$22)^(B257-1)/12</f>
        <v>372.061018393196</v>
      </c>
      <c r="K257" s="10" t="n">
        <f aca="false">Inputs!$B$14*Inputs!$B$7*(1+Inputs!$B$22)^(B257-1)/12</f>
        <v>744.122036786391</v>
      </c>
      <c r="L257" s="10" t="n">
        <f aca="false">Inputs!$B$15*(1+Inputs!$B$22)^(B257-1)</f>
        <v>0</v>
      </c>
      <c r="M257" s="10" t="n">
        <f aca="false">INDEX(Annual!$N$2:$N$51,B257)/12</f>
        <v>0</v>
      </c>
      <c r="N257" s="10" t="n">
        <f aca="false">D257+E257+G257+I257+J257+K257+L257-M257</f>
        <v>4707.57020994333</v>
      </c>
      <c r="O257" s="10" t="n">
        <f aca="false">Inputs!$B$17*(1+Inputs!$B$18)^(B257-1)+Inputs!$B$19*(1+Inputs!$B$22)^(B257-1)</f>
        <v>5175.36707754218</v>
      </c>
      <c r="P257" s="10" t="n">
        <f aca="false">N257-O257</f>
        <v>-467.796867598851</v>
      </c>
      <c r="Q257" s="10" t="n">
        <f aca="false">Q256*(1+Inputs!$B$42)-U257+MAX(P257,0)</f>
        <v>860058.223183909</v>
      </c>
      <c r="R257" s="10" t="n">
        <f aca="false">R256+Q256*Inputs!$B$48-U257+MAX(P257,0)</f>
        <v>338684.148058502</v>
      </c>
      <c r="S257" s="10" t="n">
        <f aca="false">S256*(1+Inputs!$B$42)-V257+MAX(-P257,0)</f>
        <v>12509.3120301238</v>
      </c>
      <c r="T257" s="10" t="n">
        <f aca="false">T256+S256*Inputs!$B$48-V257+MAX(-P257,0)</f>
        <v>11545.9688915132</v>
      </c>
      <c r="U257" s="10" t="n">
        <f aca="false">Q256*Inputs!$B$48*Inputs!$B$29</f>
        <v>117.609197451152</v>
      </c>
      <c r="V257" s="10" t="n">
        <f aca="false">S256*Inputs!$B$48*Inputs!$B$29</f>
        <v>1.64662449144168</v>
      </c>
    </row>
    <row r="258" customFormat="false" ht="15" hidden="false" customHeight="false" outlineLevel="0" collapsed="false">
      <c r="A258" s="16" t="n">
        <v>257</v>
      </c>
      <c r="B258" s="16" t="n">
        <f aca="false">ROUNDUP(A258/12,0)</f>
        <v>22</v>
      </c>
      <c r="C258" s="10" t="n">
        <f aca="false">F257</f>
        <v>210627.538572797</v>
      </c>
      <c r="D258" s="10" t="n">
        <f aca="false">IF(AND(A258&lt;=Inputs!$B$9*12,C258&gt;0.000001),C258*Inputs!$B$10/12,0)</f>
        <v>1277.80706734164</v>
      </c>
      <c r="E258" s="10" t="n">
        <f aca="false">IF(AND(A258&lt;=Inputs!$B$9*12,C258&gt;0.000001),MIN(C258,Inputs!$B$41-D258),0)</f>
        <v>1459.04206163907</v>
      </c>
      <c r="F258" s="10" t="n">
        <f aca="false">C258-E258</f>
        <v>209168.496511158</v>
      </c>
      <c r="G258" s="10" t="n">
        <f aca="false">IF(AND(Inputs!$B$43=1,C258&gt;0.78*Inputs!$B$7,A258&lt;=Inputs!$B$9*6),Inputs!$B$16*Inputs!$B$39/12,0)</f>
        <v>0</v>
      </c>
      <c r="H258" s="10" t="n">
        <f aca="false">IF(B258=1,Inputs!$B$7,INDEX(Annual!$AC$2:$AC$51,B258-1))</f>
        <v>1139384.03437738</v>
      </c>
      <c r="I258" s="10" t="n">
        <f aca="false">Inputs!$B$12*IF(Inputs!$B$35="",H258,MIN(H258,Inputs!$B$7*(1+Inputs!$B$35)^(B258-1)))/12</f>
        <v>854.538025783034</v>
      </c>
      <c r="J258" s="10" t="n">
        <f aca="false">Inputs!$B$13*Inputs!$B$7*(1+Inputs!$B$22)^(B258-1)/12</f>
        <v>372.061018393196</v>
      </c>
      <c r="K258" s="10" t="n">
        <f aca="false">Inputs!$B$14*Inputs!$B$7*(1+Inputs!$B$22)^(B258-1)/12</f>
        <v>744.122036786391</v>
      </c>
      <c r="L258" s="10" t="n">
        <f aca="false">Inputs!$B$15*(1+Inputs!$B$22)^(B258-1)</f>
        <v>0</v>
      </c>
      <c r="M258" s="10" t="n">
        <f aca="false">INDEX(Annual!$N$2:$N$51,B258)/12</f>
        <v>0</v>
      </c>
      <c r="N258" s="10" t="n">
        <f aca="false">D258+E258+G258+I258+J258+K258+L258-M258</f>
        <v>4707.57020994333</v>
      </c>
      <c r="O258" s="10" t="n">
        <f aca="false">Inputs!$B$17*(1+Inputs!$B$18)^(B258-1)+Inputs!$B$19*(1+Inputs!$B$22)^(B258-1)</f>
        <v>5175.36707754218</v>
      </c>
      <c r="P258" s="10" t="n">
        <f aca="false">N258-O258</f>
        <v>-467.796867598851</v>
      </c>
      <c r="Q258" s="10" t="n">
        <f aca="false">Q257*(1+Inputs!$B$42)-U258+MAX(P258,0)</f>
        <v>864802.859413737</v>
      </c>
      <c r="R258" s="10" t="n">
        <f aca="false">R257+Q257*Inputs!$B$48-U258+MAX(P258,0)</f>
        <v>339354.276757399</v>
      </c>
      <c r="S258" s="10" t="n">
        <f aca="false">S257*(1+Inputs!$B$42)-V258+MAX(-P258,0)</f>
        <v>13046.1183362332</v>
      </c>
      <c r="T258" s="10" t="n">
        <f aca="false">T257+S257*Inputs!$B$48-V258+MAX(-P258,0)</f>
        <v>12023.5125980689</v>
      </c>
      <c r="U258" s="10" t="n">
        <f aca="false">Q257*Inputs!$B$48*Inputs!$B$29</f>
        <v>118.258005687788</v>
      </c>
      <c r="V258" s="10" t="n">
        <f aca="false">S257*Inputs!$B$48*Inputs!$B$29</f>
        <v>1.72003040414202</v>
      </c>
    </row>
    <row r="259" customFormat="false" ht="15" hidden="false" customHeight="false" outlineLevel="0" collapsed="false">
      <c r="A259" s="16" t="n">
        <v>258</v>
      </c>
      <c r="B259" s="16" t="n">
        <f aca="false">ROUNDUP(A259/12,0)</f>
        <v>22</v>
      </c>
      <c r="C259" s="10" t="n">
        <f aca="false">F258</f>
        <v>209168.496511158</v>
      </c>
      <c r="D259" s="10" t="n">
        <f aca="false">IF(AND(A259&lt;=Inputs!$B$9*12,C259&gt;0.000001),C259*Inputs!$B$10/12,0)</f>
        <v>1268.95554550103</v>
      </c>
      <c r="E259" s="10" t="n">
        <f aca="false">IF(AND(A259&lt;=Inputs!$B$9*12,C259&gt;0.000001),MIN(C259,Inputs!$B$41-D259),0)</f>
        <v>1467.89358347968</v>
      </c>
      <c r="F259" s="10" t="n">
        <f aca="false">C259-E259</f>
        <v>207700.602927678</v>
      </c>
      <c r="G259" s="10" t="n">
        <f aca="false">IF(AND(Inputs!$B$43=1,C259&gt;0.78*Inputs!$B$7,A259&lt;=Inputs!$B$9*6),Inputs!$B$16*Inputs!$B$39/12,0)</f>
        <v>0</v>
      </c>
      <c r="H259" s="10" t="n">
        <f aca="false">IF(B259=1,Inputs!$B$7,INDEX(Annual!$AC$2:$AC$51,B259-1))</f>
        <v>1139384.03437738</v>
      </c>
      <c r="I259" s="10" t="n">
        <f aca="false">Inputs!$B$12*IF(Inputs!$B$35="",H259,MIN(H259,Inputs!$B$7*(1+Inputs!$B$35)^(B259-1)))/12</f>
        <v>854.538025783034</v>
      </c>
      <c r="J259" s="10" t="n">
        <f aca="false">Inputs!$B$13*Inputs!$B$7*(1+Inputs!$B$22)^(B259-1)/12</f>
        <v>372.061018393196</v>
      </c>
      <c r="K259" s="10" t="n">
        <f aca="false">Inputs!$B$14*Inputs!$B$7*(1+Inputs!$B$22)^(B259-1)/12</f>
        <v>744.122036786391</v>
      </c>
      <c r="L259" s="10" t="n">
        <f aca="false">Inputs!$B$15*(1+Inputs!$B$22)^(B259-1)</f>
        <v>0</v>
      </c>
      <c r="M259" s="10" t="n">
        <f aca="false">INDEX(Annual!$N$2:$N$51,B259)/12</f>
        <v>0</v>
      </c>
      <c r="N259" s="10" t="n">
        <f aca="false">D259+E259+G259+I259+J259+K259+L259-M259</f>
        <v>4707.57020994333</v>
      </c>
      <c r="O259" s="10" t="n">
        <f aca="false">Inputs!$B$17*(1+Inputs!$B$18)^(B259-1)+Inputs!$B$19*(1+Inputs!$B$22)^(B259-1)</f>
        <v>5175.36707754218</v>
      </c>
      <c r="P259" s="10" t="n">
        <f aca="false">N259-O259</f>
        <v>-467.796867598851</v>
      </c>
      <c r="Q259" s="10" t="n">
        <f aca="false">Q258*(1+Inputs!$B$42)-U259+MAX(P259,0)</f>
        <v>869573.670119137</v>
      </c>
      <c r="R259" s="10" t="n">
        <f aca="false">R258+Q258*Inputs!$B$48-U259+MAX(P259,0)</f>
        <v>340028.102318693</v>
      </c>
      <c r="S259" s="10" t="n">
        <f aca="false">S258*(1+Inputs!$B$42)-V259+MAX(-P259,0)</f>
        <v>13585.8860123752</v>
      </c>
      <c r="T259" s="10" t="n">
        <f aca="false">T258+S258*Inputs!$B$48-V259+MAX(-P259,0)</f>
        <v>12501.4745662047</v>
      </c>
      <c r="U259" s="10" t="n">
        <f aca="false">Q258*Inputs!$B$48*Inputs!$B$29</f>
        <v>118.910393169389</v>
      </c>
      <c r="V259" s="10" t="n">
        <f aca="false">S258*Inputs!$B$48*Inputs!$B$29</f>
        <v>1.79384127123207</v>
      </c>
    </row>
    <row r="260" customFormat="false" ht="15" hidden="false" customHeight="false" outlineLevel="0" collapsed="false">
      <c r="A260" s="16" t="n">
        <v>259</v>
      </c>
      <c r="B260" s="16" t="n">
        <f aca="false">ROUNDUP(A260/12,0)</f>
        <v>22</v>
      </c>
      <c r="C260" s="10" t="n">
        <f aca="false">F259</f>
        <v>207700.602927678</v>
      </c>
      <c r="D260" s="10" t="n">
        <f aca="false">IF(AND(A260&lt;=Inputs!$B$9*12,C260&gt;0.000001),C260*Inputs!$B$10/12,0)</f>
        <v>1260.05032442791</v>
      </c>
      <c r="E260" s="10" t="n">
        <f aca="false">IF(AND(A260&lt;=Inputs!$B$9*12,C260&gt;0.000001),MIN(C260,Inputs!$B$41-D260),0)</f>
        <v>1476.79880455279</v>
      </c>
      <c r="F260" s="10" t="n">
        <f aca="false">C260-E260</f>
        <v>206223.804123125</v>
      </c>
      <c r="G260" s="10" t="n">
        <f aca="false">IF(AND(Inputs!$B$43=1,C260&gt;0.78*Inputs!$B$7,A260&lt;=Inputs!$B$9*6),Inputs!$B$16*Inputs!$B$39/12,0)</f>
        <v>0</v>
      </c>
      <c r="H260" s="10" t="n">
        <f aca="false">IF(B260=1,Inputs!$B$7,INDEX(Annual!$AC$2:$AC$51,B260-1))</f>
        <v>1139384.03437738</v>
      </c>
      <c r="I260" s="10" t="n">
        <f aca="false">Inputs!$B$12*IF(Inputs!$B$35="",H260,MIN(H260,Inputs!$B$7*(1+Inputs!$B$35)^(B260-1)))/12</f>
        <v>854.538025783034</v>
      </c>
      <c r="J260" s="10" t="n">
        <f aca="false">Inputs!$B$13*Inputs!$B$7*(1+Inputs!$B$22)^(B260-1)/12</f>
        <v>372.061018393196</v>
      </c>
      <c r="K260" s="10" t="n">
        <f aca="false">Inputs!$B$14*Inputs!$B$7*(1+Inputs!$B$22)^(B260-1)/12</f>
        <v>744.122036786391</v>
      </c>
      <c r="L260" s="10" t="n">
        <f aca="false">Inputs!$B$15*(1+Inputs!$B$22)^(B260-1)</f>
        <v>0</v>
      </c>
      <c r="M260" s="10" t="n">
        <f aca="false">INDEX(Annual!$N$2:$N$51,B260)/12</f>
        <v>0</v>
      </c>
      <c r="N260" s="10" t="n">
        <f aca="false">D260+E260+G260+I260+J260+K260+L260-M260</f>
        <v>4707.57020994333</v>
      </c>
      <c r="O260" s="10" t="n">
        <f aca="false">Inputs!$B$17*(1+Inputs!$B$18)^(B260-1)+Inputs!$B$19*(1+Inputs!$B$22)^(B260-1)</f>
        <v>5175.36707754218</v>
      </c>
      <c r="P260" s="10" t="n">
        <f aca="false">N260-O260</f>
        <v>-467.796867598851</v>
      </c>
      <c r="Q260" s="10" t="n">
        <f aca="false">Q259*(1+Inputs!$B$42)-U260+MAX(P260,0)</f>
        <v>874370.799695408</v>
      </c>
      <c r="R260" s="10" t="n">
        <f aca="false">R259+Q259*Inputs!$B$48-U260+MAX(P260,0)</f>
        <v>340705.64513666</v>
      </c>
      <c r="S260" s="10" t="n">
        <f aca="false">S259*(1+Inputs!$B$42)-V260+MAX(-P260,0)</f>
        <v>14128.6313953781</v>
      </c>
      <c r="T260" s="10" t="n">
        <f aca="false">T259+S259*Inputs!$B$48-V260+MAX(-P260,0)</f>
        <v>12979.8571033216</v>
      </c>
      <c r="U260" s="10" t="n">
        <f aca="false">Q259*Inputs!$B$48*Inputs!$B$29</f>
        <v>119.566379641381</v>
      </c>
      <c r="V260" s="10" t="n">
        <f aca="false">S259*Inputs!$B$48*Inputs!$B$29</f>
        <v>1.86805932670159</v>
      </c>
    </row>
    <row r="261" customFormat="false" ht="15" hidden="false" customHeight="false" outlineLevel="0" collapsed="false">
      <c r="A261" s="16" t="n">
        <v>260</v>
      </c>
      <c r="B261" s="16" t="n">
        <f aca="false">ROUNDUP(A261/12,0)</f>
        <v>22</v>
      </c>
      <c r="C261" s="10" t="n">
        <f aca="false">F260</f>
        <v>206223.804123125</v>
      </c>
      <c r="D261" s="10" t="n">
        <f aca="false">IF(AND(A261&lt;=Inputs!$B$9*12,C261&gt;0.000001),C261*Inputs!$B$10/12,0)</f>
        <v>1251.09107834696</v>
      </c>
      <c r="E261" s="10" t="n">
        <f aca="false">IF(AND(A261&lt;=Inputs!$B$9*12,C261&gt;0.000001),MIN(C261,Inputs!$B$41-D261),0)</f>
        <v>1485.75805063374</v>
      </c>
      <c r="F261" s="10" t="n">
        <f aca="false">C261-E261</f>
        <v>204738.046072492</v>
      </c>
      <c r="G261" s="10" t="n">
        <f aca="false">IF(AND(Inputs!$B$43=1,C261&gt;0.78*Inputs!$B$7,A261&lt;=Inputs!$B$9*6),Inputs!$B$16*Inputs!$B$39/12,0)</f>
        <v>0</v>
      </c>
      <c r="H261" s="10" t="n">
        <f aca="false">IF(B261=1,Inputs!$B$7,INDEX(Annual!$AC$2:$AC$51,B261-1))</f>
        <v>1139384.03437738</v>
      </c>
      <c r="I261" s="10" t="n">
        <f aca="false">Inputs!$B$12*IF(Inputs!$B$35="",H261,MIN(H261,Inputs!$B$7*(1+Inputs!$B$35)^(B261-1)))/12</f>
        <v>854.538025783034</v>
      </c>
      <c r="J261" s="10" t="n">
        <f aca="false">Inputs!$B$13*Inputs!$B$7*(1+Inputs!$B$22)^(B261-1)/12</f>
        <v>372.061018393196</v>
      </c>
      <c r="K261" s="10" t="n">
        <f aca="false">Inputs!$B$14*Inputs!$B$7*(1+Inputs!$B$22)^(B261-1)/12</f>
        <v>744.122036786391</v>
      </c>
      <c r="L261" s="10" t="n">
        <f aca="false">Inputs!$B$15*(1+Inputs!$B$22)^(B261-1)</f>
        <v>0</v>
      </c>
      <c r="M261" s="10" t="n">
        <f aca="false">INDEX(Annual!$N$2:$N$51,B261)/12</f>
        <v>0</v>
      </c>
      <c r="N261" s="10" t="n">
        <f aca="false">D261+E261+G261+I261+J261+K261+L261-M261</f>
        <v>4707.57020994333</v>
      </c>
      <c r="O261" s="10" t="n">
        <f aca="false">Inputs!$B$17*(1+Inputs!$B$18)^(B261-1)+Inputs!$B$19*(1+Inputs!$B$22)^(B261-1)</f>
        <v>5175.36707754218</v>
      </c>
      <c r="P261" s="10" t="n">
        <f aca="false">N261-O261</f>
        <v>-467.796867598851</v>
      </c>
      <c r="Q261" s="10" t="n">
        <f aca="false">Q260*(1+Inputs!$B$42)-U261+MAX(P261,0)</f>
        <v>879194.39333443</v>
      </c>
      <c r="R261" s="10" t="n">
        <f aca="false">R260+Q260*Inputs!$B$48-U261+MAX(P261,0)</f>
        <v>341386.92571809</v>
      </c>
      <c r="S261" s="10" t="n">
        <f aca="false">S260*(1+Inputs!$B$42)-V261+MAX(-P261,0)</f>
        <v>14674.3709121946</v>
      </c>
      <c r="T261" s="10" t="n">
        <f aca="false">T260+S260*Inputs!$B$48-V261+MAX(-P261,0)</f>
        <v>13458.6625295493</v>
      </c>
      <c r="U261" s="10" t="n">
        <f aca="false">Q260*Inputs!$B$48*Inputs!$B$29</f>
        <v>120.225984958119</v>
      </c>
      <c r="V261" s="10" t="n">
        <f aca="false">S260*Inputs!$B$48*Inputs!$B$29</f>
        <v>1.94268681686448</v>
      </c>
    </row>
    <row r="262" customFormat="false" ht="15" hidden="false" customHeight="false" outlineLevel="0" collapsed="false">
      <c r="A262" s="16" t="n">
        <v>261</v>
      </c>
      <c r="B262" s="16" t="n">
        <f aca="false">ROUNDUP(A262/12,0)</f>
        <v>22</v>
      </c>
      <c r="C262" s="10" t="n">
        <f aca="false">F261</f>
        <v>204738.046072492</v>
      </c>
      <c r="D262" s="10" t="n">
        <f aca="false">IF(AND(A262&lt;=Inputs!$B$9*12,C262&gt;0.000001),C262*Inputs!$B$10/12,0)</f>
        <v>1242.07747950645</v>
      </c>
      <c r="E262" s="10" t="n">
        <f aca="false">IF(AND(A262&lt;=Inputs!$B$9*12,C262&gt;0.000001),MIN(C262,Inputs!$B$41-D262),0)</f>
        <v>1494.77164947426</v>
      </c>
      <c r="F262" s="10" t="n">
        <f aca="false">C262-E262</f>
        <v>203243.274423018</v>
      </c>
      <c r="G262" s="10" t="n">
        <f aca="false">IF(AND(Inputs!$B$43=1,C262&gt;0.78*Inputs!$B$7,A262&lt;=Inputs!$B$9*6),Inputs!$B$16*Inputs!$B$39/12,0)</f>
        <v>0</v>
      </c>
      <c r="H262" s="10" t="n">
        <f aca="false">IF(B262=1,Inputs!$B$7,INDEX(Annual!$AC$2:$AC$51,B262-1))</f>
        <v>1139384.03437738</v>
      </c>
      <c r="I262" s="10" t="n">
        <f aca="false">Inputs!$B$12*IF(Inputs!$B$35="",H262,MIN(H262,Inputs!$B$7*(1+Inputs!$B$35)^(B262-1)))/12</f>
        <v>854.538025783034</v>
      </c>
      <c r="J262" s="10" t="n">
        <f aca="false">Inputs!$B$13*Inputs!$B$7*(1+Inputs!$B$22)^(B262-1)/12</f>
        <v>372.061018393196</v>
      </c>
      <c r="K262" s="10" t="n">
        <f aca="false">Inputs!$B$14*Inputs!$B$7*(1+Inputs!$B$22)^(B262-1)/12</f>
        <v>744.122036786391</v>
      </c>
      <c r="L262" s="10" t="n">
        <f aca="false">Inputs!$B$15*(1+Inputs!$B$22)^(B262-1)</f>
        <v>0</v>
      </c>
      <c r="M262" s="10" t="n">
        <f aca="false">INDEX(Annual!$N$2:$N$51,B262)/12</f>
        <v>0</v>
      </c>
      <c r="N262" s="10" t="n">
        <f aca="false">D262+E262+G262+I262+J262+K262+L262-M262</f>
        <v>4707.57020994333</v>
      </c>
      <c r="O262" s="10" t="n">
        <f aca="false">Inputs!$B$17*(1+Inputs!$B$18)^(B262-1)+Inputs!$B$19*(1+Inputs!$B$22)^(B262-1)</f>
        <v>5175.36707754218</v>
      </c>
      <c r="P262" s="10" t="n">
        <f aca="false">N262-O262</f>
        <v>-467.796867598851</v>
      </c>
      <c r="Q262" s="10" t="n">
        <f aca="false">Q261*(1+Inputs!$B$42)-U262+MAX(P262,0)</f>
        <v>884044.597029051</v>
      </c>
      <c r="R262" s="10" t="n">
        <f aca="false">R261+Q261*Inputs!$B$48-U262+MAX(P262,0)</f>
        <v>342071.964682896</v>
      </c>
      <c r="S262" s="10" t="n">
        <f aca="false">S261*(1+Inputs!$B$42)-V262+MAX(-P262,0)</f>
        <v>15223.1210803993</v>
      </c>
      <c r="T262" s="10" t="n">
        <f aca="false">T261+S261*Inputs!$B$48-V262+MAX(-P262,0)</f>
        <v>13937.8931778172</v>
      </c>
      <c r="U262" s="10" t="n">
        <f aca="false">Q261*Inputs!$B$48*Inputs!$B$29</f>
        <v>120.889229083484</v>
      </c>
      <c r="V262" s="10" t="n">
        <f aca="false">S261*Inputs!$B$48*Inputs!$B$29</f>
        <v>2.01772600042675</v>
      </c>
    </row>
    <row r="263" customFormat="false" ht="15" hidden="false" customHeight="false" outlineLevel="0" collapsed="false">
      <c r="A263" s="16" t="n">
        <v>262</v>
      </c>
      <c r="B263" s="16" t="n">
        <f aca="false">ROUNDUP(A263/12,0)</f>
        <v>22</v>
      </c>
      <c r="C263" s="10" t="n">
        <f aca="false">F262</f>
        <v>203243.274423018</v>
      </c>
      <c r="D263" s="10" t="n">
        <f aca="false">IF(AND(A263&lt;=Inputs!$B$9*12,C263&gt;0.000001),C263*Inputs!$B$10/12,0)</f>
        <v>1233.00919816631</v>
      </c>
      <c r="E263" s="10" t="n">
        <f aca="false">IF(AND(A263&lt;=Inputs!$B$9*12,C263&gt;0.000001),MIN(C263,Inputs!$B$41-D263),0)</f>
        <v>1503.8399308144</v>
      </c>
      <c r="F263" s="10" t="n">
        <f aca="false">C263-E263</f>
        <v>201739.434492203</v>
      </c>
      <c r="G263" s="10" t="n">
        <f aca="false">IF(AND(Inputs!$B$43=1,C263&gt;0.78*Inputs!$B$7,A263&lt;=Inputs!$B$9*6),Inputs!$B$16*Inputs!$B$39/12,0)</f>
        <v>0</v>
      </c>
      <c r="H263" s="10" t="n">
        <f aca="false">IF(B263=1,Inputs!$B$7,INDEX(Annual!$AC$2:$AC$51,B263-1))</f>
        <v>1139384.03437738</v>
      </c>
      <c r="I263" s="10" t="n">
        <f aca="false">Inputs!$B$12*IF(Inputs!$B$35="",H263,MIN(H263,Inputs!$B$7*(1+Inputs!$B$35)^(B263-1)))/12</f>
        <v>854.538025783034</v>
      </c>
      <c r="J263" s="10" t="n">
        <f aca="false">Inputs!$B$13*Inputs!$B$7*(1+Inputs!$B$22)^(B263-1)/12</f>
        <v>372.061018393196</v>
      </c>
      <c r="K263" s="10" t="n">
        <f aca="false">Inputs!$B$14*Inputs!$B$7*(1+Inputs!$B$22)^(B263-1)/12</f>
        <v>744.122036786391</v>
      </c>
      <c r="L263" s="10" t="n">
        <f aca="false">Inputs!$B$15*(1+Inputs!$B$22)^(B263-1)</f>
        <v>0</v>
      </c>
      <c r="M263" s="10" t="n">
        <f aca="false">INDEX(Annual!$N$2:$N$51,B263)/12</f>
        <v>0</v>
      </c>
      <c r="N263" s="10" t="n">
        <f aca="false">D263+E263+G263+I263+J263+K263+L263-M263</f>
        <v>4707.57020994333</v>
      </c>
      <c r="O263" s="10" t="n">
        <f aca="false">Inputs!$B$17*(1+Inputs!$B$18)^(B263-1)+Inputs!$B$19*(1+Inputs!$B$22)^(B263-1)</f>
        <v>5175.36707754218</v>
      </c>
      <c r="P263" s="10" t="n">
        <f aca="false">N263-O263</f>
        <v>-467.796867598851</v>
      </c>
      <c r="Q263" s="10" t="n">
        <f aca="false">Q262*(1+Inputs!$B$42)-U263+MAX(P263,0)</f>
        <v>888921.557577512</v>
      </c>
      <c r="R263" s="10" t="n">
        <f aca="false">R262+Q262*Inputs!$B$48-U263+MAX(P263,0)</f>
        <v>342760.782764748</v>
      </c>
      <c r="S263" s="10" t="n">
        <f aca="false">S262*(1+Inputs!$B$42)-V263+MAX(-P263,0)</f>
        <v>15774.8985086882</v>
      </c>
      <c r="T263" s="10" t="n">
        <f aca="false">T262+S262*Inputs!$B$48-V263+MAX(-P263,0)</f>
        <v>14417.5513939246</v>
      </c>
      <c r="U263" s="10" t="n">
        <f aca="false">Q262*Inputs!$B$48*Inputs!$B$29</f>
        <v>121.556132091494</v>
      </c>
      <c r="V263" s="10" t="n">
        <f aca="false">S262*Inputs!$B$48*Inputs!$B$29</f>
        <v>2.0931791485549</v>
      </c>
    </row>
    <row r="264" customFormat="false" ht="15" hidden="false" customHeight="false" outlineLevel="0" collapsed="false">
      <c r="A264" s="16" t="n">
        <v>263</v>
      </c>
      <c r="B264" s="16" t="n">
        <f aca="false">ROUNDUP(A264/12,0)</f>
        <v>22</v>
      </c>
      <c r="C264" s="10" t="n">
        <f aca="false">F263</f>
        <v>201739.434492203</v>
      </c>
      <c r="D264" s="10" t="n">
        <f aca="false">IF(AND(A264&lt;=Inputs!$B$9*12,C264&gt;0.000001),C264*Inputs!$B$10/12,0)</f>
        <v>1223.88590258603</v>
      </c>
      <c r="E264" s="10" t="n">
        <f aca="false">IF(AND(A264&lt;=Inputs!$B$9*12,C264&gt;0.000001),MIN(C264,Inputs!$B$41-D264),0)</f>
        <v>1512.96322639467</v>
      </c>
      <c r="F264" s="10" t="n">
        <f aca="false">C264-E264</f>
        <v>200226.471265808</v>
      </c>
      <c r="G264" s="10" t="n">
        <f aca="false">IF(AND(Inputs!$B$43=1,C264&gt;0.78*Inputs!$B$7,A264&lt;=Inputs!$B$9*6),Inputs!$B$16*Inputs!$B$39/12,0)</f>
        <v>0</v>
      </c>
      <c r="H264" s="10" t="n">
        <f aca="false">IF(B264=1,Inputs!$B$7,INDEX(Annual!$AC$2:$AC$51,B264-1))</f>
        <v>1139384.03437738</v>
      </c>
      <c r="I264" s="10" t="n">
        <f aca="false">Inputs!$B$12*IF(Inputs!$B$35="",H264,MIN(H264,Inputs!$B$7*(1+Inputs!$B$35)^(B264-1)))/12</f>
        <v>854.538025783034</v>
      </c>
      <c r="J264" s="10" t="n">
        <f aca="false">Inputs!$B$13*Inputs!$B$7*(1+Inputs!$B$22)^(B264-1)/12</f>
        <v>372.061018393196</v>
      </c>
      <c r="K264" s="10" t="n">
        <f aca="false">Inputs!$B$14*Inputs!$B$7*(1+Inputs!$B$22)^(B264-1)/12</f>
        <v>744.122036786391</v>
      </c>
      <c r="L264" s="10" t="n">
        <f aca="false">Inputs!$B$15*(1+Inputs!$B$22)^(B264-1)</f>
        <v>0</v>
      </c>
      <c r="M264" s="10" t="n">
        <f aca="false">INDEX(Annual!$N$2:$N$51,B264)/12</f>
        <v>0</v>
      </c>
      <c r="N264" s="10" t="n">
        <f aca="false">D264+E264+G264+I264+J264+K264+L264-M264</f>
        <v>4707.57020994333</v>
      </c>
      <c r="O264" s="10" t="n">
        <f aca="false">Inputs!$B$17*(1+Inputs!$B$18)^(B264-1)+Inputs!$B$19*(1+Inputs!$B$22)^(B264-1)</f>
        <v>5175.36707754218</v>
      </c>
      <c r="P264" s="10" t="n">
        <f aca="false">N264-O264</f>
        <v>-467.796867598851</v>
      </c>
      <c r="Q264" s="10" t="n">
        <f aca="false">Q263*(1+Inputs!$B$42)-U264+MAX(P264,0)</f>
        <v>893825.422587887</v>
      </c>
      <c r="R264" s="10" t="n">
        <f aca="false">R263+Q263*Inputs!$B$48-U264+MAX(P264,0)</f>
        <v>343453.400811694</v>
      </c>
      <c r="S264" s="10" t="n">
        <f aca="false">S263*(1+Inputs!$B$42)-V264+MAX(-P264,0)</f>
        <v>16329.7198973818</v>
      </c>
      <c r="T264" s="10" t="n">
        <f aca="false">T263+S263*Inputs!$B$48-V264+MAX(-P264,0)</f>
        <v>14897.6395366114</v>
      </c>
      <c r="U264" s="10" t="n">
        <f aca="false">Q263*Inputs!$B$48*Inputs!$B$29</f>
        <v>122.226714166908</v>
      </c>
      <c r="V264" s="10" t="n">
        <f aca="false">S263*Inputs!$B$48*Inputs!$B$29</f>
        <v>2.16904854494463</v>
      </c>
    </row>
    <row r="265" customFormat="false" ht="15" hidden="false" customHeight="false" outlineLevel="0" collapsed="false">
      <c r="A265" s="16" t="n">
        <v>264</v>
      </c>
      <c r="B265" s="16" t="n">
        <f aca="false">ROUNDUP(A265/12,0)</f>
        <v>22</v>
      </c>
      <c r="C265" s="10" t="n">
        <f aca="false">F264</f>
        <v>200226.471265808</v>
      </c>
      <c r="D265" s="10" t="n">
        <f aca="false">IF(AND(A265&lt;=Inputs!$B$9*12,C265&gt;0.000001),C265*Inputs!$B$10/12,0)</f>
        <v>1214.70725901257</v>
      </c>
      <c r="E265" s="10" t="n">
        <f aca="false">IF(AND(A265&lt;=Inputs!$B$9*12,C265&gt;0.000001),MIN(C265,Inputs!$B$41-D265),0)</f>
        <v>1522.14186996813</v>
      </c>
      <c r="F265" s="10" t="n">
        <f aca="false">C265-E265</f>
        <v>198704.32939584</v>
      </c>
      <c r="G265" s="10" t="n">
        <f aca="false">IF(AND(Inputs!$B$43=1,C265&gt;0.78*Inputs!$B$7,A265&lt;=Inputs!$B$9*6),Inputs!$B$16*Inputs!$B$39/12,0)</f>
        <v>0</v>
      </c>
      <c r="H265" s="10" t="n">
        <f aca="false">IF(B265=1,Inputs!$B$7,INDEX(Annual!$AC$2:$AC$51,B265-1))</f>
        <v>1139384.03437738</v>
      </c>
      <c r="I265" s="10" t="n">
        <f aca="false">Inputs!$B$12*IF(Inputs!$B$35="",H265,MIN(H265,Inputs!$B$7*(1+Inputs!$B$35)^(B265-1)))/12</f>
        <v>854.538025783034</v>
      </c>
      <c r="J265" s="10" t="n">
        <f aca="false">Inputs!$B$13*Inputs!$B$7*(1+Inputs!$B$22)^(B265-1)/12</f>
        <v>372.061018393196</v>
      </c>
      <c r="K265" s="10" t="n">
        <f aca="false">Inputs!$B$14*Inputs!$B$7*(1+Inputs!$B$22)^(B265-1)/12</f>
        <v>744.122036786391</v>
      </c>
      <c r="L265" s="10" t="n">
        <f aca="false">Inputs!$B$15*(1+Inputs!$B$22)^(B265-1)</f>
        <v>0</v>
      </c>
      <c r="M265" s="10" t="n">
        <f aca="false">INDEX(Annual!$N$2:$N$51,B265)/12</f>
        <v>0</v>
      </c>
      <c r="N265" s="10" t="n">
        <f aca="false">D265+E265+G265+I265+J265+K265+L265-M265</f>
        <v>4707.57020994333</v>
      </c>
      <c r="O265" s="10" t="n">
        <f aca="false">Inputs!$B$17*(1+Inputs!$B$18)^(B265-1)+Inputs!$B$19*(1+Inputs!$B$22)^(B265-1)</f>
        <v>5175.36707754218</v>
      </c>
      <c r="P265" s="10" t="n">
        <f aca="false">N265-O265</f>
        <v>-467.796867598851</v>
      </c>
      <c r="Q265" s="10" t="n">
        <f aca="false">Q264*(1+Inputs!$B$42)-U265+MAX(P265,0)</f>
        <v>898756.340482552</v>
      </c>
      <c r="R265" s="10" t="n">
        <f aca="false">R264+Q264*Inputs!$B$48-U265+MAX(P265,0)</f>
        <v>344149.839786794</v>
      </c>
      <c r="S265" s="10" t="n">
        <f aca="false">S264*(1+Inputs!$B$42)-V265+MAX(-P265,0)</f>
        <v>16887.6020389302</v>
      </c>
      <c r="T265" s="10" t="n">
        <f aca="false">T264+S264*Inputs!$B$48-V265+MAX(-P265,0)</f>
        <v>15378.1599776303</v>
      </c>
      <c r="U265" s="10" t="n">
        <f aca="false">Q264*Inputs!$B$48*Inputs!$B$29</f>
        <v>122.900995605834</v>
      </c>
      <c r="V265" s="10" t="n">
        <f aca="false">S264*Inputs!$B$48*Inputs!$B$29</f>
        <v>2.24533648589</v>
      </c>
    </row>
    <row r="266" customFormat="false" ht="15" hidden="false" customHeight="false" outlineLevel="0" collapsed="false">
      <c r="A266" s="16" t="n">
        <v>265</v>
      </c>
      <c r="B266" s="16" t="n">
        <f aca="false">ROUNDUP(A266/12,0)</f>
        <v>23</v>
      </c>
      <c r="C266" s="10" t="n">
        <f aca="false">F265</f>
        <v>198704.32939584</v>
      </c>
      <c r="D266" s="10" t="n">
        <f aca="false">IF(AND(A266&lt;=Inputs!$B$9*12,C266&gt;0.000001),C266*Inputs!$B$10/12,0)</f>
        <v>1205.4729316681</v>
      </c>
      <c r="E266" s="10" t="n">
        <f aca="false">IF(AND(A266&lt;=Inputs!$B$9*12,C266&gt;0.000001),MIN(C266,Inputs!$B$41-D266),0)</f>
        <v>1531.37619731261</v>
      </c>
      <c r="F266" s="10" t="n">
        <f aca="false">C266-E266</f>
        <v>197172.953198528</v>
      </c>
      <c r="G266" s="10" t="n">
        <f aca="false">IF(AND(Inputs!$B$43=1,C266&gt;0.78*Inputs!$B$7,A266&lt;=Inputs!$B$9*6),Inputs!$B$16*Inputs!$B$39/12,0)</f>
        <v>0</v>
      </c>
      <c r="H266" s="10" t="n">
        <f aca="false">IF(B266=1,Inputs!$B$7,INDEX(Annual!$AC$2:$AC$51,B266-1))</f>
        <v>1184959.39575247</v>
      </c>
      <c r="I266" s="10" t="n">
        <f aca="false">Inputs!$B$12*IF(Inputs!$B$35="",H266,MIN(H266,Inputs!$B$7*(1+Inputs!$B$35)^(B266-1)))/12</f>
        <v>888.719546814356</v>
      </c>
      <c r="J266" s="10" t="n">
        <f aca="false">Inputs!$B$13*Inputs!$B$7*(1+Inputs!$B$22)^(B266-1)/12</f>
        <v>382.478726908205</v>
      </c>
      <c r="K266" s="10" t="n">
        <f aca="false">Inputs!$B$14*Inputs!$B$7*(1+Inputs!$B$22)^(B266-1)/12</f>
        <v>764.95745381641</v>
      </c>
      <c r="L266" s="10" t="n">
        <f aca="false">Inputs!$B$15*(1+Inputs!$B$22)^(B266-1)</f>
        <v>0</v>
      </c>
      <c r="M266" s="10" t="n">
        <f aca="false">INDEX(Annual!$N$2:$N$51,B266)/12</f>
        <v>0</v>
      </c>
      <c r="N266" s="10" t="n">
        <f aca="false">D266+E266+G266+I266+J266+K266+L266-M266</f>
        <v>4773.00485651968</v>
      </c>
      <c r="O266" s="10" t="n">
        <f aca="false">Inputs!$B$17*(1+Inputs!$B$18)^(B266-1)+Inputs!$B$19*(1+Inputs!$B$22)^(B266-1)</f>
        <v>5356.31740650288</v>
      </c>
      <c r="P266" s="10" t="n">
        <f aca="false">N266-O266</f>
        <v>-583.312549983208</v>
      </c>
      <c r="Q266" s="10" t="n">
        <f aca="false">Q265*(1+Inputs!$B$42)-U266+MAX(P266,0)</f>
        <v>903714.460502676</v>
      </c>
      <c r="R266" s="10" t="n">
        <f aca="false">R265+Q265*Inputs!$B$48-U266+MAX(P266,0)</f>
        <v>344850.120768753</v>
      </c>
      <c r="S266" s="10" t="n">
        <f aca="false">S265*(1+Inputs!$B$42)-V266+MAX(-P266,0)</f>
        <v>17564.0775008058</v>
      </c>
      <c r="T266" s="10" t="n">
        <f aca="false">T265+S265*Inputs!$B$48-V266+MAX(-P266,0)</f>
        <v>15974.6307842022</v>
      </c>
      <c r="U266" s="10" t="n">
        <f aca="false">Q265*Inputs!$B$48*Inputs!$B$29</f>
        <v>123.578996816351</v>
      </c>
      <c r="V266" s="10" t="n">
        <f aca="false">S265*Inputs!$B$48*Inputs!$B$29</f>
        <v>2.3220452803529</v>
      </c>
    </row>
    <row r="267" customFormat="false" ht="15" hidden="false" customHeight="false" outlineLevel="0" collapsed="false">
      <c r="A267" s="16" t="n">
        <v>266</v>
      </c>
      <c r="B267" s="16" t="n">
        <f aca="false">ROUNDUP(A267/12,0)</f>
        <v>23</v>
      </c>
      <c r="C267" s="10" t="n">
        <f aca="false">F266</f>
        <v>197172.953198528</v>
      </c>
      <c r="D267" s="10" t="n">
        <f aca="false">IF(AND(A267&lt;=Inputs!$B$9*12,C267&gt;0.000001),C267*Inputs!$B$10/12,0)</f>
        <v>1196.18258273773</v>
      </c>
      <c r="E267" s="10" t="n">
        <f aca="false">IF(AND(A267&lt;=Inputs!$B$9*12,C267&gt;0.000001),MIN(C267,Inputs!$B$41-D267),0)</f>
        <v>1540.66654624297</v>
      </c>
      <c r="F267" s="10" t="n">
        <f aca="false">C267-E267</f>
        <v>195632.286652285</v>
      </c>
      <c r="G267" s="10" t="n">
        <f aca="false">IF(AND(Inputs!$B$43=1,C267&gt;0.78*Inputs!$B$7,A267&lt;=Inputs!$B$9*6),Inputs!$B$16*Inputs!$B$39/12,0)</f>
        <v>0</v>
      </c>
      <c r="H267" s="10" t="n">
        <f aca="false">IF(B267=1,Inputs!$B$7,INDEX(Annual!$AC$2:$AC$51,B267-1))</f>
        <v>1184959.39575247</v>
      </c>
      <c r="I267" s="10" t="n">
        <f aca="false">Inputs!$B$12*IF(Inputs!$B$35="",H267,MIN(H267,Inputs!$B$7*(1+Inputs!$B$35)^(B267-1)))/12</f>
        <v>888.719546814356</v>
      </c>
      <c r="J267" s="10" t="n">
        <f aca="false">Inputs!$B$13*Inputs!$B$7*(1+Inputs!$B$22)^(B267-1)/12</f>
        <v>382.478726908205</v>
      </c>
      <c r="K267" s="10" t="n">
        <f aca="false">Inputs!$B$14*Inputs!$B$7*(1+Inputs!$B$22)^(B267-1)/12</f>
        <v>764.95745381641</v>
      </c>
      <c r="L267" s="10" t="n">
        <f aca="false">Inputs!$B$15*(1+Inputs!$B$22)^(B267-1)</f>
        <v>0</v>
      </c>
      <c r="M267" s="10" t="n">
        <f aca="false">INDEX(Annual!$N$2:$N$51,B267)/12</f>
        <v>0</v>
      </c>
      <c r="N267" s="10" t="n">
        <f aca="false">D267+E267+G267+I267+J267+K267+L267-M267</f>
        <v>4773.00485651968</v>
      </c>
      <c r="O267" s="10" t="n">
        <f aca="false">Inputs!$B$17*(1+Inputs!$B$18)^(B267-1)+Inputs!$B$19*(1+Inputs!$B$22)^(B267-1)</f>
        <v>5356.31740650288</v>
      </c>
      <c r="P267" s="10" t="n">
        <f aca="false">N267-O267</f>
        <v>-583.312549983208</v>
      </c>
      <c r="Q267" s="10" t="n">
        <f aca="false">Q266*(1+Inputs!$B$42)-U267+MAX(P267,0)</f>
        <v>908699.93271274</v>
      </c>
      <c r="R267" s="10" t="n">
        <f aca="false">R266+Q266*Inputs!$B$48-U267+MAX(P267,0)</f>
        <v>345554.264952561</v>
      </c>
      <c r="S267" s="10" t="n">
        <f aca="false">S266*(1+Inputs!$B$42)-V267+MAX(-P267,0)</f>
        <v>18244.2848379178</v>
      </c>
      <c r="T267" s="10" t="n">
        <f aca="false">T266+S266*Inputs!$B$48-V267+MAX(-P267,0)</f>
        <v>16571.6286779048</v>
      </c>
      <c r="U267" s="10" t="n">
        <f aca="false">Q266*Inputs!$B$48*Inputs!$B$29</f>
        <v>124.260738319118</v>
      </c>
      <c r="V267" s="10" t="n">
        <f aca="false">S266*Inputs!$B$48*Inputs!$B$29</f>
        <v>2.41506065636079</v>
      </c>
    </row>
    <row r="268" customFormat="false" ht="15" hidden="false" customHeight="false" outlineLevel="0" collapsed="false">
      <c r="A268" s="16" t="n">
        <v>267</v>
      </c>
      <c r="B268" s="16" t="n">
        <f aca="false">ROUNDUP(A268/12,0)</f>
        <v>23</v>
      </c>
      <c r="C268" s="10" t="n">
        <f aca="false">F267</f>
        <v>195632.286652285</v>
      </c>
      <c r="D268" s="10" t="n">
        <f aca="false">IF(AND(A268&lt;=Inputs!$B$9*12,C268&gt;0.000001),C268*Inputs!$B$10/12,0)</f>
        <v>1186.83587235719</v>
      </c>
      <c r="E268" s="10" t="n">
        <f aca="false">IF(AND(A268&lt;=Inputs!$B$9*12,C268&gt;0.000001),MIN(C268,Inputs!$B$41-D268),0)</f>
        <v>1550.01325662351</v>
      </c>
      <c r="F268" s="10" t="n">
        <f aca="false">C268-E268</f>
        <v>194082.273395661</v>
      </c>
      <c r="G268" s="10" t="n">
        <f aca="false">IF(AND(Inputs!$B$43=1,C268&gt;0.78*Inputs!$B$7,A268&lt;=Inputs!$B$9*6),Inputs!$B$16*Inputs!$B$39/12,0)</f>
        <v>0</v>
      </c>
      <c r="H268" s="10" t="n">
        <f aca="false">IF(B268=1,Inputs!$B$7,INDEX(Annual!$AC$2:$AC$51,B268-1))</f>
        <v>1184959.39575247</v>
      </c>
      <c r="I268" s="10" t="n">
        <f aca="false">Inputs!$B$12*IF(Inputs!$B$35="",H268,MIN(H268,Inputs!$B$7*(1+Inputs!$B$35)^(B268-1)))/12</f>
        <v>888.719546814356</v>
      </c>
      <c r="J268" s="10" t="n">
        <f aca="false">Inputs!$B$13*Inputs!$B$7*(1+Inputs!$B$22)^(B268-1)/12</f>
        <v>382.478726908205</v>
      </c>
      <c r="K268" s="10" t="n">
        <f aca="false">Inputs!$B$14*Inputs!$B$7*(1+Inputs!$B$22)^(B268-1)/12</f>
        <v>764.95745381641</v>
      </c>
      <c r="L268" s="10" t="n">
        <f aca="false">Inputs!$B$15*(1+Inputs!$B$22)^(B268-1)</f>
        <v>0</v>
      </c>
      <c r="M268" s="10" t="n">
        <f aca="false">INDEX(Annual!$N$2:$N$51,B268)/12</f>
        <v>0</v>
      </c>
      <c r="N268" s="10" t="n">
        <f aca="false">D268+E268+G268+I268+J268+K268+L268-M268</f>
        <v>4773.00485651968</v>
      </c>
      <c r="O268" s="10" t="n">
        <f aca="false">Inputs!$B$17*(1+Inputs!$B$18)^(B268-1)+Inputs!$B$19*(1+Inputs!$B$22)^(B268-1)</f>
        <v>5356.31740650288</v>
      </c>
      <c r="P268" s="10" t="n">
        <f aca="false">N268-O268</f>
        <v>-583.312549983208</v>
      </c>
      <c r="Q268" s="10" t="n">
        <f aca="false">Q267*(1+Inputs!$B$42)-U268+MAX(P268,0)</f>
        <v>913712.908005075</v>
      </c>
      <c r="R268" s="10" t="n">
        <f aca="false">R267+Q267*Inputs!$B$48-U268+MAX(P268,0)</f>
        <v>346262.293650133</v>
      </c>
      <c r="S268" s="10" t="n">
        <f aca="false">S267*(1+Inputs!$B$42)-V268+MAX(-P268,0)</f>
        <v>18928.2446376986</v>
      </c>
      <c r="T268" s="10" t="n">
        <f aca="false">T267+S267*Inputs!$B$48-V268+MAX(-P268,0)</f>
        <v>17169.1565664909</v>
      </c>
      <c r="U268" s="10" t="n">
        <f aca="false">Q267*Inputs!$B$48*Inputs!$B$29</f>
        <v>124.946240748002</v>
      </c>
      <c r="V268" s="10" t="n">
        <f aca="false">S267*Inputs!$B$48*Inputs!$B$29</f>
        <v>2.5085891652137</v>
      </c>
    </row>
    <row r="269" customFormat="false" ht="15" hidden="false" customHeight="false" outlineLevel="0" collapsed="false">
      <c r="A269" s="16" t="n">
        <v>268</v>
      </c>
      <c r="B269" s="16" t="n">
        <f aca="false">ROUNDUP(A269/12,0)</f>
        <v>23</v>
      </c>
      <c r="C269" s="10" t="n">
        <f aca="false">F268</f>
        <v>194082.273395661</v>
      </c>
      <c r="D269" s="10" t="n">
        <f aca="false">IF(AND(A269&lt;=Inputs!$B$9*12,C269&gt;0.000001),C269*Inputs!$B$10/12,0)</f>
        <v>1177.43245860034</v>
      </c>
      <c r="E269" s="10" t="n">
        <f aca="false">IF(AND(A269&lt;=Inputs!$B$9*12,C269&gt;0.000001),MIN(C269,Inputs!$B$41-D269),0)</f>
        <v>1559.41667038036</v>
      </c>
      <c r="F269" s="10" t="n">
        <f aca="false">C269-E269</f>
        <v>192522.856725281</v>
      </c>
      <c r="G269" s="10" t="n">
        <f aca="false">IF(AND(Inputs!$B$43=1,C269&gt;0.78*Inputs!$B$7,A269&lt;=Inputs!$B$9*6),Inputs!$B$16*Inputs!$B$39/12,0)</f>
        <v>0</v>
      </c>
      <c r="H269" s="10" t="n">
        <f aca="false">IF(B269=1,Inputs!$B$7,INDEX(Annual!$AC$2:$AC$51,B269-1))</f>
        <v>1184959.39575247</v>
      </c>
      <c r="I269" s="10" t="n">
        <f aca="false">Inputs!$B$12*IF(Inputs!$B$35="",H269,MIN(H269,Inputs!$B$7*(1+Inputs!$B$35)^(B269-1)))/12</f>
        <v>888.719546814356</v>
      </c>
      <c r="J269" s="10" t="n">
        <f aca="false">Inputs!$B$13*Inputs!$B$7*(1+Inputs!$B$22)^(B269-1)/12</f>
        <v>382.478726908205</v>
      </c>
      <c r="K269" s="10" t="n">
        <f aca="false">Inputs!$B$14*Inputs!$B$7*(1+Inputs!$B$22)^(B269-1)/12</f>
        <v>764.95745381641</v>
      </c>
      <c r="L269" s="10" t="n">
        <f aca="false">Inputs!$B$15*(1+Inputs!$B$22)^(B269-1)</f>
        <v>0</v>
      </c>
      <c r="M269" s="10" t="n">
        <f aca="false">INDEX(Annual!$N$2:$N$51,B269)/12</f>
        <v>0</v>
      </c>
      <c r="N269" s="10" t="n">
        <f aca="false">D269+E269+G269+I269+J269+K269+L269-M269</f>
        <v>4773.00485651968</v>
      </c>
      <c r="O269" s="10" t="n">
        <f aca="false">Inputs!$B$17*(1+Inputs!$B$18)^(B269-1)+Inputs!$B$19*(1+Inputs!$B$22)^(B269-1)</f>
        <v>5356.31740650288</v>
      </c>
      <c r="P269" s="10" t="n">
        <f aca="false">N269-O269</f>
        <v>-583.312549983208</v>
      </c>
      <c r="Q269" s="10" t="n">
        <f aca="false">Q268*(1+Inputs!$B$42)-U269+MAX(P269,0)</f>
        <v>918753.538104434</v>
      </c>
      <c r="R269" s="10" t="n">
        <f aca="false">R268+Q268*Inputs!$B$48-U269+MAX(P269,0)</f>
        <v>346974.228290954</v>
      </c>
      <c r="S269" s="10" t="n">
        <f aca="false">S268*(1+Inputs!$B$42)-V269+MAX(-P269,0)</f>
        <v>19615.9776011541</v>
      </c>
      <c r="T269" s="10" t="n">
        <f aca="false">T268+S268*Inputs!$B$48-V269+MAX(-P269,0)</f>
        <v>17767.2173737543</v>
      </c>
      <c r="U269" s="10" t="n">
        <f aca="false">Q268*Inputs!$B$48*Inputs!$B$29</f>
        <v>125.635524850698</v>
      </c>
      <c r="V269" s="10" t="n">
        <f aca="false">S268*Inputs!$B$48*Inputs!$B$29</f>
        <v>2.60263363768356</v>
      </c>
    </row>
    <row r="270" customFormat="false" ht="15" hidden="false" customHeight="false" outlineLevel="0" collapsed="false">
      <c r="A270" s="16" t="n">
        <v>269</v>
      </c>
      <c r="B270" s="16" t="n">
        <f aca="false">ROUNDUP(A270/12,0)</f>
        <v>23</v>
      </c>
      <c r="C270" s="10" t="n">
        <f aca="false">F269</f>
        <v>192522.856725281</v>
      </c>
      <c r="D270" s="10" t="n">
        <f aca="false">IF(AND(A270&lt;=Inputs!$B$9*12,C270&gt;0.000001),C270*Inputs!$B$10/12,0)</f>
        <v>1167.9719974667</v>
      </c>
      <c r="E270" s="10" t="n">
        <f aca="false">IF(AND(A270&lt;=Inputs!$B$9*12,C270&gt;0.000001),MIN(C270,Inputs!$B$41-D270),0)</f>
        <v>1568.877131514</v>
      </c>
      <c r="F270" s="10" t="n">
        <f aca="false">C270-E270</f>
        <v>190953.979593767</v>
      </c>
      <c r="G270" s="10" t="n">
        <f aca="false">IF(AND(Inputs!$B$43=1,C270&gt;0.78*Inputs!$B$7,A270&lt;=Inputs!$B$9*6),Inputs!$B$16*Inputs!$B$39/12,0)</f>
        <v>0</v>
      </c>
      <c r="H270" s="10" t="n">
        <f aca="false">IF(B270=1,Inputs!$B$7,INDEX(Annual!$AC$2:$AC$51,B270-1))</f>
        <v>1184959.39575247</v>
      </c>
      <c r="I270" s="10" t="n">
        <f aca="false">Inputs!$B$12*IF(Inputs!$B$35="",H270,MIN(H270,Inputs!$B$7*(1+Inputs!$B$35)^(B270-1)))/12</f>
        <v>888.719546814356</v>
      </c>
      <c r="J270" s="10" t="n">
        <f aca="false">Inputs!$B$13*Inputs!$B$7*(1+Inputs!$B$22)^(B270-1)/12</f>
        <v>382.478726908205</v>
      </c>
      <c r="K270" s="10" t="n">
        <f aca="false">Inputs!$B$14*Inputs!$B$7*(1+Inputs!$B$22)^(B270-1)/12</f>
        <v>764.95745381641</v>
      </c>
      <c r="L270" s="10" t="n">
        <f aca="false">Inputs!$B$15*(1+Inputs!$B$22)^(B270-1)</f>
        <v>0</v>
      </c>
      <c r="M270" s="10" t="n">
        <f aca="false">INDEX(Annual!$N$2:$N$51,B270)/12</f>
        <v>0</v>
      </c>
      <c r="N270" s="10" t="n">
        <f aca="false">D270+E270+G270+I270+J270+K270+L270-M270</f>
        <v>4773.00485651968</v>
      </c>
      <c r="O270" s="10" t="n">
        <f aca="false">Inputs!$B$17*(1+Inputs!$B$18)^(B270-1)+Inputs!$B$19*(1+Inputs!$B$22)^(B270-1)</f>
        <v>5356.31740650288</v>
      </c>
      <c r="P270" s="10" t="n">
        <f aca="false">N270-O270</f>
        <v>-583.312549983208</v>
      </c>
      <c r="Q270" s="10" t="n">
        <f aca="false">Q269*(1+Inputs!$B$42)-U270+MAX(P270,0)</f>
        <v>923821.97557258</v>
      </c>
      <c r="R270" s="10" t="n">
        <f aca="false">R269+Q269*Inputs!$B$48-U270+MAX(P270,0)</f>
        <v>347690.090422727</v>
      </c>
      <c r="S270" s="10" t="n">
        <f aca="false">S269*(1+Inputs!$B$42)-V270+MAX(-P270,0)</f>
        <v>20307.5045434901</v>
      </c>
      <c r="T270" s="10" t="n">
        <f aca="false">T269+S269*Inputs!$B$48-V270+MAX(-P270,0)</f>
        <v>18365.8140396184</v>
      </c>
      <c r="U270" s="10" t="n">
        <f aca="false">Q269*Inputs!$B$48*Inputs!$B$29</f>
        <v>126.32861148936</v>
      </c>
      <c r="V270" s="10" t="n">
        <f aca="false">S269*Inputs!$B$48*Inputs!$B$29</f>
        <v>2.69719692015869</v>
      </c>
    </row>
    <row r="271" customFormat="false" ht="15" hidden="false" customHeight="false" outlineLevel="0" collapsed="false">
      <c r="A271" s="16" t="n">
        <v>270</v>
      </c>
      <c r="B271" s="16" t="n">
        <f aca="false">ROUNDUP(A271/12,0)</f>
        <v>23</v>
      </c>
      <c r="C271" s="10" t="n">
        <f aca="false">F270</f>
        <v>190953.979593767</v>
      </c>
      <c r="D271" s="10" t="n">
        <f aca="false">IF(AND(A271&lt;=Inputs!$B$9*12,C271&gt;0.000001),C271*Inputs!$B$10/12,0)</f>
        <v>1158.45414286885</v>
      </c>
      <c r="E271" s="10" t="n">
        <f aca="false">IF(AND(A271&lt;=Inputs!$B$9*12,C271&gt;0.000001),MIN(C271,Inputs!$B$41-D271),0)</f>
        <v>1578.39498611185</v>
      </c>
      <c r="F271" s="10" t="n">
        <f aca="false">C271-E271</f>
        <v>189375.584607655</v>
      </c>
      <c r="G271" s="10" t="n">
        <f aca="false">IF(AND(Inputs!$B$43=1,C271&gt;0.78*Inputs!$B$7,A271&lt;=Inputs!$B$9*6),Inputs!$B$16*Inputs!$B$39/12,0)</f>
        <v>0</v>
      </c>
      <c r="H271" s="10" t="n">
        <f aca="false">IF(B271=1,Inputs!$B$7,INDEX(Annual!$AC$2:$AC$51,B271-1))</f>
        <v>1184959.39575247</v>
      </c>
      <c r="I271" s="10" t="n">
        <f aca="false">Inputs!$B$12*IF(Inputs!$B$35="",H271,MIN(H271,Inputs!$B$7*(1+Inputs!$B$35)^(B271-1)))/12</f>
        <v>888.719546814356</v>
      </c>
      <c r="J271" s="10" t="n">
        <f aca="false">Inputs!$B$13*Inputs!$B$7*(1+Inputs!$B$22)^(B271-1)/12</f>
        <v>382.478726908205</v>
      </c>
      <c r="K271" s="10" t="n">
        <f aca="false">Inputs!$B$14*Inputs!$B$7*(1+Inputs!$B$22)^(B271-1)/12</f>
        <v>764.95745381641</v>
      </c>
      <c r="L271" s="10" t="n">
        <f aca="false">Inputs!$B$15*(1+Inputs!$B$22)^(B271-1)</f>
        <v>0</v>
      </c>
      <c r="M271" s="10" t="n">
        <f aca="false">INDEX(Annual!$N$2:$N$51,B271)/12</f>
        <v>0</v>
      </c>
      <c r="N271" s="10" t="n">
        <f aca="false">D271+E271+G271+I271+J271+K271+L271-M271</f>
        <v>4773.00485651968</v>
      </c>
      <c r="O271" s="10" t="n">
        <f aca="false">Inputs!$B$17*(1+Inputs!$B$18)^(B271-1)+Inputs!$B$19*(1+Inputs!$B$22)^(B271-1)</f>
        <v>5356.31740650288</v>
      </c>
      <c r="P271" s="10" t="n">
        <f aca="false">N271-O271</f>
        <v>-583.312549983208</v>
      </c>
      <c r="Q271" s="10" t="n">
        <f aca="false">Q270*(1+Inputs!$B$42)-U271+MAX(P271,0)</f>
        <v>928918.373812906</v>
      </c>
      <c r="R271" s="10" t="n">
        <f aca="false">R270+Q270*Inputs!$B$48-U271+MAX(P271,0)</f>
        <v>348409.901712027</v>
      </c>
      <c r="S271" s="10" t="n">
        <f aca="false">S270*(1+Inputs!$B$42)-V271+MAX(-P271,0)</f>
        <v>21002.8463947429</v>
      </c>
      <c r="T271" s="10" t="n">
        <f aca="false">T270+S270*Inputs!$B$48-V271+MAX(-P271,0)</f>
        <v>18964.9495202251</v>
      </c>
      <c r="U271" s="10" t="n">
        <f aca="false">Q270*Inputs!$B$48*Inputs!$B$29</f>
        <v>127.02552164123</v>
      </c>
      <c r="V271" s="10" t="n">
        <f aca="false">S270*Inputs!$B$48*Inputs!$B$29</f>
        <v>2.79228187472989</v>
      </c>
    </row>
    <row r="272" customFormat="false" ht="15" hidden="false" customHeight="false" outlineLevel="0" collapsed="false">
      <c r="A272" s="16" t="n">
        <v>271</v>
      </c>
      <c r="B272" s="16" t="n">
        <f aca="false">ROUNDUP(A272/12,0)</f>
        <v>23</v>
      </c>
      <c r="C272" s="10" t="n">
        <f aca="false">F271</f>
        <v>189375.584607655</v>
      </c>
      <c r="D272" s="10" t="n">
        <f aca="false">IF(AND(A272&lt;=Inputs!$B$9*12,C272&gt;0.000001),C272*Inputs!$B$10/12,0)</f>
        <v>1148.87854661977</v>
      </c>
      <c r="E272" s="10" t="n">
        <f aca="false">IF(AND(A272&lt;=Inputs!$B$9*12,C272&gt;0.000001),MIN(C272,Inputs!$B$41-D272),0)</f>
        <v>1587.97058236093</v>
      </c>
      <c r="F272" s="10" t="n">
        <f aca="false">C272-E272</f>
        <v>187787.614025294</v>
      </c>
      <c r="G272" s="10" t="n">
        <f aca="false">IF(AND(Inputs!$B$43=1,C272&gt;0.78*Inputs!$B$7,A272&lt;=Inputs!$B$9*6),Inputs!$B$16*Inputs!$B$39/12,0)</f>
        <v>0</v>
      </c>
      <c r="H272" s="10" t="n">
        <f aca="false">IF(B272=1,Inputs!$B$7,INDEX(Annual!$AC$2:$AC$51,B272-1))</f>
        <v>1184959.39575247</v>
      </c>
      <c r="I272" s="10" t="n">
        <f aca="false">Inputs!$B$12*IF(Inputs!$B$35="",H272,MIN(H272,Inputs!$B$7*(1+Inputs!$B$35)^(B272-1)))/12</f>
        <v>888.719546814356</v>
      </c>
      <c r="J272" s="10" t="n">
        <f aca="false">Inputs!$B$13*Inputs!$B$7*(1+Inputs!$B$22)^(B272-1)/12</f>
        <v>382.478726908205</v>
      </c>
      <c r="K272" s="10" t="n">
        <f aca="false">Inputs!$B$14*Inputs!$B$7*(1+Inputs!$B$22)^(B272-1)/12</f>
        <v>764.95745381641</v>
      </c>
      <c r="L272" s="10" t="n">
        <f aca="false">Inputs!$B$15*(1+Inputs!$B$22)^(B272-1)</f>
        <v>0</v>
      </c>
      <c r="M272" s="10" t="n">
        <f aca="false">INDEX(Annual!$N$2:$N$51,B272)/12</f>
        <v>0</v>
      </c>
      <c r="N272" s="10" t="n">
        <f aca="false">D272+E272+G272+I272+J272+K272+L272-M272</f>
        <v>4773.00485651968</v>
      </c>
      <c r="O272" s="10" t="n">
        <f aca="false">Inputs!$B$17*(1+Inputs!$B$18)^(B272-1)+Inputs!$B$19*(1+Inputs!$B$22)^(B272-1)</f>
        <v>5356.31740650288</v>
      </c>
      <c r="P272" s="10" t="n">
        <f aca="false">N272-O272</f>
        <v>-583.312549983208</v>
      </c>
      <c r="Q272" s="10" t="n">
        <f aca="false">Q271*(1+Inputs!$B$42)-U272+MAX(P272,0)</f>
        <v>934042.887075077</v>
      </c>
      <c r="R272" s="10" t="n">
        <f aca="false">R271+Q271*Inputs!$B$48-U272+MAX(P272,0)</f>
        <v>349133.683944956</v>
      </c>
      <c r="S272" s="10" t="n">
        <f aca="false">S271*(1+Inputs!$B$42)-V272+MAX(-P272,0)</f>
        <v>21702.0242004121</v>
      </c>
      <c r="T272" s="10" t="n">
        <f aca="false">T271+S271*Inputs!$B$48-V272+MAX(-P272,0)</f>
        <v>19564.6267880242</v>
      </c>
      <c r="U272" s="10" t="n">
        <f aca="false">Q271*Inputs!$B$48*Inputs!$B$29</f>
        <v>127.726276399275</v>
      </c>
      <c r="V272" s="10" t="n">
        <f aca="false">S271*Inputs!$B$48*Inputs!$B$29</f>
        <v>2.88789137927715</v>
      </c>
    </row>
    <row r="273" customFormat="false" ht="15" hidden="false" customHeight="false" outlineLevel="0" collapsed="false">
      <c r="A273" s="16" t="n">
        <v>272</v>
      </c>
      <c r="B273" s="16" t="n">
        <f aca="false">ROUNDUP(A273/12,0)</f>
        <v>23</v>
      </c>
      <c r="C273" s="10" t="n">
        <f aca="false">F272</f>
        <v>187787.614025294</v>
      </c>
      <c r="D273" s="10" t="n">
        <f aca="false">IF(AND(A273&lt;=Inputs!$B$9*12,C273&gt;0.000001),C273*Inputs!$B$10/12,0)</f>
        <v>1139.24485842012</v>
      </c>
      <c r="E273" s="10" t="n">
        <f aca="false">IF(AND(A273&lt;=Inputs!$B$9*12,C273&gt;0.000001),MIN(C273,Inputs!$B$41-D273),0)</f>
        <v>1597.60427056059</v>
      </c>
      <c r="F273" s="10" t="n">
        <f aca="false">C273-E273</f>
        <v>186190.009754733</v>
      </c>
      <c r="G273" s="10" t="n">
        <f aca="false">IF(AND(Inputs!$B$43=1,C273&gt;0.78*Inputs!$B$7,A273&lt;=Inputs!$B$9*6),Inputs!$B$16*Inputs!$B$39/12,0)</f>
        <v>0</v>
      </c>
      <c r="H273" s="10" t="n">
        <f aca="false">IF(B273=1,Inputs!$B$7,INDEX(Annual!$AC$2:$AC$51,B273-1))</f>
        <v>1184959.39575247</v>
      </c>
      <c r="I273" s="10" t="n">
        <f aca="false">Inputs!$B$12*IF(Inputs!$B$35="",H273,MIN(H273,Inputs!$B$7*(1+Inputs!$B$35)^(B273-1)))/12</f>
        <v>888.719546814356</v>
      </c>
      <c r="J273" s="10" t="n">
        <f aca="false">Inputs!$B$13*Inputs!$B$7*(1+Inputs!$B$22)^(B273-1)/12</f>
        <v>382.478726908205</v>
      </c>
      <c r="K273" s="10" t="n">
        <f aca="false">Inputs!$B$14*Inputs!$B$7*(1+Inputs!$B$22)^(B273-1)/12</f>
        <v>764.95745381641</v>
      </c>
      <c r="L273" s="10" t="n">
        <f aca="false">Inputs!$B$15*(1+Inputs!$B$22)^(B273-1)</f>
        <v>0</v>
      </c>
      <c r="M273" s="10" t="n">
        <f aca="false">INDEX(Annual!$N$2:$N$51,B273)/12</f>
        <v>0</v>
      </c>
      <c r="N273" s="10" t="n">
        <f aca="false">D273+E273+G273+I273+J273+K273+L273-M273</f>
        <v>4773.00485651968</v>
      </c>
      <c r="O273" s="10" t="n">
        <f aca="false">Inputs!$B$17*(1+Inputs!$B$18)^(B273-1)+Inputs!$B$19*(1+Inputs!$B$22)^(B273-1)</f>
        <v>5356.31740650288</v>
      </c>
      <c r="P273" s="10" t="n">
        <f aca="false">N273-O273</f>
        <v>-583.312549983208</v>
      </c>
      <c r="Q273" s="10" t="n">
        <f aca="false">Q272*(1+Inputs!$B$42)-U273+MAX(P273,0)</f>
        <v>939195.670459698</v>
      </c>
      <c r="R273" s="10" t="n">
        <f aca="false">R272+Q272*Inputs!$B$48-U273+MAX(P273,0)</f>
        <v>349861.459027802</v>
      </c>
      <c r="S273" s="10" t="n">
        <f aca="false">S272*(1+Inputs!$B$42)-V273+MAX(-P273,0)</f>
        <v>22405.0591220978</v>
      </c>
      <c r="T273" s="10" t="n">
        <f aca="false">T272+S272*Inputs!$B$48-V273+MAX(-P273,0)</f>
        <v>20164.8488318636</v>
      </c>
      <c r="U273" s="10" t="n">
        <f aca="false">Q272*Inputs!$B$48*Inputs!$B$29</f>
        <v>128.430896972823</v>
      </c>
      <c r="V273" s="10" t="n">
        <f aca="false">S272*Inputs!$B$48*Inputs!$B$29</f>
        <v>2.98402832755666</v>
      </c>
    </row>
    <row r="274" customFormat="false" ht="15" hidden="false" customHeight="false" outlineLevel="0" collapsed="false">
      <c r="A274" s="16" t="n">
        <v>273</v>
      </c>
      <c r="B274" s="16" t="n">
        <f aca="false">ROUNDUP(A274/12,0)</f>
        <v>23</v>
      </c>
      <c r="C274" s="10" t="n">
        <f aca="false">F273</f>
        <v>186190.009754733</v>
      </c>
      <c r="D274" s="10" t="n">
        <f aca="false">IF(AND(A274&lt;=Inputs!$B$9*12,C274&gt;0.000001),C274*Inputs!$B$10/12,0)</f>
        <v>1129.55272584538</v>
      </c>
      <c r="E274" s="10" t="n">
        <f aca="false">IF(AND(A274&lt;=Inputs!$B$9*12,C274&gt;0.000001),MIN(C274,Inputs!$B$41-D274),0)</f>
        <v>1607.29640313532</v>
      </c>
      <c r="F274" s="10" t="n">
        <f aca="false">C274-E274</f>
        <v>184582.713351598</v>
      </c>
      <c r="G274" s="10" t="n">
        <f aca="false">IF(AND(Inputs!$B$43=1,C274&gt;0.78*Inputs!$B$7,A274&lt;=Inputs!$B$9*6),Inputs!$B$16*Inputs!$B$39/12,0)</f>
        <v>0</v>
      </c>
      <c r="H274" s="10" t="n">
        <f aca="false">IF(B274=1,Inputs!$B$7,INDEX(Annual!$AC$2:$AC$51,B274-1))</f>
        <v>1184959.39575247</v>
      </c>
      <c r="I274" s="10" t="n">
        <f aca="false">Inputs!$B$12*IF(Inputs!$B$35="",H274,MIN(H274,Inputs!$B$7*(1+Inputs!$B$35)^(B274-1)))/12</f>
        <v>888.719546814356</v>
      </c>
      <c r="J274" s="10" t="n">
        <f aca="false">Inputs!$B$13*Inputs!$B$7*(1+Inputs!$B$22)^(B274-1)/12</f>
        <v>382.478726908205</v>
      </c>
      <c r="K274" s="10" t="n">
        <f aca="false">Inputs!$B$14*Inputs!$B$7*(1+Inputs!$B$22)^(B274-1)/12</f>
        <v>764.95745381641</v>
      </c>
      <c r="L274" s="10" t="n">
        <f aca="false">Inputs!$B$15*(1+Inputs!$B$22)^(B274-1)</f>
        <v>0</v>
      </c>
      <c r="M274" s="10" t="n">
        <f aca="false">INDEX(Annual!$N$2:$N$51,B274)/12</f>
        <v>0</v>
      </c>
      <c r="N274" s="10" t="n">
        <f aca="false">D274+E274+G274+I274+J274+K274+L274-M274</f>
        <v>4773.00485651968</v>
      </c>
      <c r="O274" s="10" t="n">
        <f aca="false">Inputs!$B$17*(1+Inputs!$B$18)^(B274-1)+Inputs!$B$19*(1+Inputs!$B$22)^(B274-1)</f>
        <v>5356.31740650288</v>
      </c>
      <c r="P274" s="10" t="n">
        <f aca="false">N274-O274</f>
        <v>-583.312549983208</v>
      </c>
      <c r="Q274" s="10" t="n">
        <f aca="false">Q273*(1+Inputs!$B$42)-U274+MAX(P274,0)</f>
        <v>944376.879923011</v>
      </c>
      <c r="R274" s="10" t="n">
        <f aca="false">R273+Q273*Inputs!$B$48-U274+MAX(P274,0)</f>
        <v>350593.248987702</v>
      </c>
      <c r="S274" s="10" t="n">
        <f aca="false">S273*(1+Inputs!$B$42)-V274+MAX(-P274,0)</f>
        <v>23111.9724381415</v>
      </c>
      <c r="T274" s="10" t="n">
        <f aca="false">T273+S273*Inputs!$B$48-V274+MAX(-P274,0)</f>
        <v>20765.6186570794</v>
      </c>
      <c r="U274" s="10" t="n">
        <f aca="false">Q273*Inputs!$B$48*Inputs!$B$29</f>
        <v>129.139404688209</v>
      </c>
      <c r="V274" s="10" t="n">
        <f aca="false">S273*Inputs!$B$48*Inputs!$B$29</f>
        <v>3.08069562928845</v>
      </c>
    </row>
    <row r="275" customFormat="false" ht="15" hidden="false" customHeight="false" outlineLevel="0" collapsed="false">
      <c r="A275" s="16" t="n">
        <v>274</v>
      </c>
      <c r="B275" s="16" t="n">
        <f aca="false">ROUNDUP(A275/12,0)</f>
        <v>23</v>
      </c>
      <c r="C275" s="10" t="n">
        <f aca="false">F274</f>
        <v>184582.713351598</v>
      </c>
      <c r="D275" s="10" t="n">
        <f aca="false">IF(AND(A275&lt;=Inputs!$B$9*12,C275&gt;0.000001),C275*Inputs!$B$10/12,0)</f>
        <v>1119.80179433303</v>
      </c>
      <c r="E275" s="10" t="n">
        <f aca="false">IF(AND(A275&lt;=Inputs!$B$9*12,C275&gt;0.000001),MIN(C275,Inputs!$B$41-D275),0)</f>
        <v>1617.04733464768</v>
      </c>
      <c r="F275" s="10" t="n">
        <f aca="false">C275-E275</f>
        <v>182965.66601695</v>
      </c>
      <c r="G275" s="10" t="n">
        <f aca="false">IF(AND(Inputs!$B$43=1,C275&gt;0.78*Inputs!$B$7,A275&lt;=Inputs!$B$9*6),Inputs!$B$16*Inputs!$B$39/12,0)</f>
        <v>0</v>
      </c>
      <c r="H275" s="10" t="n">
        <f aca="false">IF(B275=1,Inputs!$B$7,INDEX(Annual!$AC$2:$AC$51,B275-1))</f>
        <v>1184959.39575247</v>
      </c>
      <c r="I275" s="10" t="n">
        <f aca="false">Inputs!$B$12*IF(Inputs!$B$35="",H275,MIN(H275,Inputs!$B$7*(1+Inputs!$B$35)^(B275-1)))/12</f>
        <v>888.719546814356</v>
      </c>
      <c r="J275" s="10" t="n">
        <f aca="false">Inputs!$B$13*Inputs!$B$7*(1+Inputs!$B$22)^(B275-1)/12</f>
        <v>382.478726908205</v>
      </c>
      <c r="K275" s="10" t="n">
        <f aca="false">Inputs!$B$14*Inputs!$B$7*(1+Inputs!$B$22)^(B275-1)/12</f>
        <v>764.95745381641</v>
      </c>
      <c r="L275" s="10" t="n">
        <f aca="false">Inputs!$B$15*(1+Inputs!$B$22)^(B275-1)</f>
        <v>0</v>
      </c>
      <c r="M275" s="10" t="n">
        <f aca="false">INDEX(Annual!$N$2:$N$51,B275)/12</f>
        <v>0</v>
      </c>
      <c r="N275" s="10" t="n">
        <f aca="false">D275+E275+G275+I275+J275+K275+L275-M275</f>
        <v>4773.00485651968</v>
      </c>
      <c r="O275" s="10" t="n">
        <f aca="false">Inputs!$B$17*(1+Inputs!$B$18)^(B275-1)+Inputs!$B$19*(1+Inputs!$B$22)^(B275-1)</f>
        <v>5356.31740650288</v>
      </c>
      <c r="P275" s="10" t="n">
        <f aca="false">N275-O275</f>
        <v>-583.312549983208</v>
      </c>
      <c r="Q275" s="10" t="n">
        <f aca="false">Q274*(1+Inputs!$B$42)-U275+MAX(P275,0)</f>
        <v>949586.67228161</v>
      </c>
      <c r="R275" s="10" t="n">
        <f aca="false">R274+Q274*Inputs!$B$48-U275+MAX(P275,0)</f>
        <v>351329.075973309</v>
      </c>
      <c r="S275" s="10" t="n">
        <f aca="false">S274*(1+Inputs!$B$42)-V275+MAX(-P275,0)</f>
        <v>23822.7855442694</v>
      </c>
      <c r="T275" s="10" t="n">
        <f aca="false">T274+S274*Inputs!$B$48-V275+MAX(-P275,0)</f>
        <v>21366.9392855873</v>
      </c>
      <c r="U275" s="10" t="n">
        <f aca="false">Q274*Inputs!$B$48*Inputs!$B$29</f>
        <v>129.851820989414</v>
      </c>
      <c r="V275" s="10" t="n">
        <f aca="false">S274*Inputs!$B$48*Inputs!$B$29</f>
        <v>3.17789621024446</v>
      </c>
    </row>
    <row r="276" customFormat="false" ht="15" hidden="false" customHeight="false" outlineLevel="0" collapsed="false">
      <c r="A276" s="16" t="n">
        <v>275</v>
      </c>
      <c r="B276" s="16" t="n">
        <f aca="false">ROUNDUP(A276/12,0)</f>
        <v>23</v>
      </c>
      <c r="C276" s="10" t="n">
        <f aca="false">F275</f>
        <v>182965.66601695</v>
      </c>
      <c r="D276" s="10" t="n">
        <f aca="false">IF(AND(A276&lt;=Inputs!$B$9*12,C276&gt;0.000001),C276*Inputs!$B$10/12,0)</f>
        <v>1109.9917071695</v>
      </c>
      <c r="E276" s="10" t="n">
        <f aca="false">IF(AND(A276&lt;=Inputs!$B$9*12,C276&gt;0.000001),MIN(C276,Inputs!$B$41-D276),0)</f>
        <v>1626.85742181121</v>
      </c>
      <c r="F276" s="10" t="n">
        <f aca="false">C276-E276</f>
        <v>181338.808595139</v>
      </c>
      <c r="G276" s="10" t="n">
        <f aca="false">IF(AND(Inputs!$B$43=1,C276&gt;0.78*Inputs!$B$7,A276&lt;=Inputs!$B$9*6),Inputs!$B$16*Inputs!$B$39/12,0)</f>
        <v>0</v>
      </c>
      <c r="H276" s="10" t="n">
        <f aca="false">IF(B276=1,Inputs!$B$7,INDEX(Annual!$AC$2:$AC$51,B276-1))</f>
        <v>1184959.39575247</v>
      </c>
      <c r="I276" s="10" t="n">
        <f aca="false">Inputs!$B$12*IF(Inputs!$B$35="",H276,MIN(H276,Inputs!$B$7*(1+Inputs!$B$35)^(B276-1)))/12</f>
        <v>888.719546814356</v>
      </c>
      <c r="J276" s="10" t="n">
        <f aca="false">Inputs!$B$13*Inputs!$B$7*(1+Inputs!$B$22)^(B276-1)/12</f>
        <v>382.478726908205</v>
      </c>
      <c r="K276" s="10" t="n">
        <f aca="false">Inputs!$B$14*Inputs!$B$7*(1+Inputs!$B$22)^(B276-1)/12</f>
        <v>764.95745381641</v>
      </c>
      <c r="L276" s="10" t="n">
        <f aca="false">Inputs!$B$15*(1+Inputs!$B$22)^(B276-1)</f>
        <v>0</v>
      </c>
      <c r="M276" s="10" t="n">
        <f aca="false">INDEX(Annual!$N$2:$N$51,B276)/12</f>
        <v>0</v>
      </c>
      <c r="N276" s="10" t="n">
        <f aca="false">D276+E276+G276+I276+J276+K276+L276-M276</f>
        <v>4773.00485651968</v>
      </c>
      <c r="O276" s="10" t="n">
        <f aca="false">Inputs!$B$17*(1+Inputs!$B$18)^(B276-1)+Inputs!$B$19*(1+Inputs!$B$22)^(B276-1)</f>
        <v>5356.31740650288</v>
      </c>
      <c r="P276" s="10" t="n">
        <f aca="false">N276-O276</f>
        <v>-583.312549983208</v>
      </c>
      <c r="Q276" s="10" t="n">
        <f aca="false">Q275*(1+Inputs!$B$42)-U276+MAX(P276,0)</f>
        <v>954825.205217194</v>
      </c>
      <c r="R276" s="10" t="n">
        <f aca="false">R275+Q275*Inputs!$B$48-U276+MAX(P276,0)</f>
        <v>352068.962255462</v>
      </c>
      <c r="S276" s="10" t="n">
        <f aca="false">S275*(1+Inputs!$B$42)-V276+MAX(-P276,0)</f>
        <v>24537.5199542406</v>
      </c>
      <c r="T276" s="10" t="n">
        <f aca="false">T275+S275*Inputs!$B$48-V276+MAX(-P276,0)</f>
        <v>21968.8137559738</v>
      </c>
      <c r="U276" s="10" t="n">
        <f aca="false">Q275*Inputs!$B$48*Inputs!$B$29</f>
        <v>130.568167438721</v>
      </c>
      <c r="V276" s="10" t="n">
        <f aca="false">S275*Inputs!$B$48*Inputs!$B$29</f>
        <v>3.27563301233705</v>
      </c>
    </row>
    <row r="277" customFormat="false" ht="15" hidden="false" customHeight="false" outlineLevel="0" collapsed="false">
      <c r="A277" s="16" t="n">
        <v>276</v>
      </c>
      <c r="B277" s="16" t="n">
        <f aca="false">ROUNDUP(A277/12,0)</f>
        <v>23</v>
      </c>
      <c r="C277" s="10" t="n">
        <f aca="false">F276</f>
        <v>181338.808595139</v>
      </c>
      <c r="D277" s="10" t="n">
        <f aca="false">IF(AND(A277&lt;=Inputs!$B$9*12,C277&gt;0.000001),C277*Inputs!$B$10/12,0)</f>
        <v>1100.12210547718</v>
      </c>
      <c r="E277" s="10" t="n">
        <f aca="false">IF(AND(A277&lt;=Inputs!$B$9*12,C277&gt;0.000001),MIN(C277,Inputs!$B$41-D277),0)</f>
        <v>1636.72702350353</v>
      </c>
      <c r="F277" s="10" t="n">
        <f aca="false">C277-E277</f>
        <v>179702.081571636</v>
      </c>
      <c r="G277" s="10" t="n">
        <f aca="false">IF(AND(Inputs!$B$43=1,C277&gt;0.78*Inputs!$B$7,A277&lt;=Inputs!$B$9*6),Inputs!$B$16*Inputs!$B$39/12,0)</f>
        <v>0</v>
      </c>
      <c r="H277" s="10" t="n">
        <f aca="false">IF(B277=1,Inputs!$B$7,INDEX(Annual!$AC$2:$AC$51,B277-1))</f>
        <v>1184959.39575247</v>
      </c>
      <c r="I277" s="10" t="n">
        <f aca="false">Inputs!$B$12*IF(Inputs!$B$35="",H277,MIN(H277,Inputs!$B$7*(1+Inputs!$B$35)^(B277-1)))/12</f>
        <v>888.719546814356</v>
      </c>
      <c r="J277" s="10" t="n">
        <f aca="false">Inputs!$B$13*Inputs!$B$7*(1+Inputs!$B$22)^(B277-1)/12</f>
        <v>382.478726908205</v>
      </c>
      <c r="K277" s="10" t="n">
        <f aca="false">Inputs!$B$14*Inputs!$B$7*(1+Inputs!$B$22)^(B277-1)/12</f>
        <v>764.95745381641</v>
      </c>
      <c r="L277" s="10" t="n">
        <f aca="false">Inputs!$B$15*(1+Inputs!$B$22)^(B277-1)</f>
        <v>0</v>
      </c>
      <c r="M277" s="10" t="n">
        <f aca="false">INDEX(Annual!$N$2:$N$51,B277)/12</f>
        <v>0</v>
      </c>
      <c r="N277" s="10" t="n">
        <f aca="false">D277+E277+G277+I277+J277+K277+L277-M277</f>
        <v>4773.00485651968</v>
      </c>
      <c r="O277" s="10" t="n">
        <f aca="false">Inputs!$B$17*(1+Inputs!$B$18)^(B277-1)+Inputs!$B$19*(1+Inputs!$B$22)^(B277-1)</f>
        <v>5356.31740650288</v>
      </c>
      <c r="P277" s="10" t="n">
        <f aca="false">N277-O277</f>
        <v>-583.312549983208</v>
      </c>
      <c r="Q277" s="10" t="n">
        <f aca="false">Q276*(1+Inputs!$B$42)-U277+MAX(P277,0)</f>
        <v>960092.637281334</v>
      </c>
      <c r="R277" s="10" t="n">
        <f aca="false">R276+Q276*Inputs!$B$48-U277+MAX(P277,0)</f>
        <v>352812.93022786</v>
      </c>
      <c r="S277" s="10" t="n">
        <f aca="false">S276*(1+Inputs!$B$42)-V277+MAX(-P277,0)</f>
        <v>25256.1973004977</v>
      </c>
      <c r="T277" s="10" t="n">
        <f aca="false">T276+S276*Inputs!$B$48-V277+MAX(-P277,0)</f>
        <v>22571.245123588</v>
      </c>
      <c r="U277" s="10" t="n">
        <f aca="false">Q276*Inputs!$B$48*Inputs!$B$29</f>
        <v>131.288465717364</v>
      </c>
      <c r="V277" s="10" t="n">
        <f aca="false">S276*Inputs!$B$48*Inputs!$B$29</f>
        <v>3.37390899370808</v>
      </c>
    </row>
    <row r="278" customFormat="false" ht="15" hidden="false" customHeight="false" outlineLevel="0" collapsed="false">
      <c r="A278" s="16" t="n">
        <v>277</v>
      </c>
      <c r="B278" s="16" t="n">
        <f aca="false">ROUNDUP(A278/12,0)</f>
        <v>24</v>
      </c>
      <c r="C278" s="10" t="n">
        <f aca="false">F277</f>
        <v>179702.081571636</v>
      </c>
      <c r="D278" s="10" t="n">
        <f aca="false">IF(AND(A278&lt;=Inputs!$B$9*12,C278&gt;0.000001),C278*Inputs!$B$10/12,0)</f>
        <v>1090.19262820126</v>
      </c>
      <c r="E278" s="10" t="n">
        <f aca="false">IF(AND(A278&lt;=Inputs!$B$9*12,C278&gt;0.000001),MIN(C278,Inputs!$B$41-D278),0)</f>
        <v>1646.65650077945</v>
      </c>
      <c r="F278" s="10" t="n">
        <f aca="false">C278-E278</f>
        <v>178055.425070856</v>
      </c>
      <c r="G278" s="10" t="n">
        <f aca="false">IF(AND(Inputs!$B$43=1,C278&gt;0.78*Inputs!$B$7,A278&lt;=Inputs!$B$9*6),Inputs!$B$16*Inputs!$B$39/12,0)</f>
        <v>0</v>
      </c>
      <c r="H278" s="10" t="n">
        <f aca="false">IF(B278=1,Inputs!$B$7,INDEX(Annual!$AC$2:$AC$51,B278-1))</f>
        <v>1232357.77158257</v>
      </c>
      <c r="I278" s="10" t="n">
        <f aca="false">Inputs!$B$12*IF(Inputs!$B$35="",H278,MIN(H278,Inputs!$B$7*(1+Inputs!$B$35)^(B278-1)))/12</f>
        <v>924.26832868693</v>
      </c>
      <c r="J278" s="10" t="n">
        <f aca="false">Inputs!$B$13*Inputs!$B$7*(1+Inputs!$B$22)^(B278-1)/12</f>
        <v>393.188131261635</v>
      </c>
      <c r="K278" s="10" t="n">
        <f aca="false">Inputs!$B$14*Inputs!$B$7*(1+Inputs!$B$22)^(B278-1)/12</f>
        <v>786.37626252327</v>
      </c>
      <c r="L278" s="10" t="n">
        <f aca="false">Inputs!$B$15*(1+Inputs!$B$22)^(B278-1)</f>
        <v>0</v>
      </c>
      <c r="M278" s="10" t="n">
        <f aca="false">INDEX(Annual!$N$2:$N$51,B278)/12</f>
        <v>0</v>
      </c>
      <c r="N278" s="10" t="n">
        <f aca="false">D278+E278+G278+I278+J278+K278+L278-M278</f>
        <v>4840.68185145254</v>
      </c>
      <c r="O278" s="10" t="n">
        <f aca="false">Inputs!$B$17*(1+Inputs!$B$18)^(B278-1)+Inputs!$B$19*(1+Inputs!$B$22)^(B278-1)</f>
        <v>5543.59574645212</v>
      </c>
      <c r="P278" s="10" t="n">
        <f aca="false">N278-O278</f>
        <v>-702.913894999583</v>
      </c>
      <c r="Q278" s="10" t="n">
        <f aca="false">Q277*(1+Inputs!$B$42)-U278+MAX(P278,0)</f>
        <v>965389.127900274</v>
      </c>
      <c r="R278" s="10" t="n">
        <f aca="false">R277+Q277*Inputs!$B$48-U278+MAX(P278,0)</f>
        <v>353561.002407742</v>
      </c>
      <c r="S278" s="10" t="n">
        <f aca="false">S277*(1+Inputs!$B$42)-V278+MAX(-P278,0)</f>
        <v>26098.4406798385</v>
      </c>
      <c r="T278" s="10" t="n">
        <f aca="false">T277+S277*Inputs!$B$48-V278+MAX(-P278,0)</f>
        <v>23293.8378056509</v>
      </c>
      <c r="U278" s="10" t="n">
        <f aca="false">Q277*Inputs!$B$48*Inputs!$B$29</f>
        <v>132.012737626183</v>
      </c>
      <c r="V278" s="10" t="n">
        <f aca="false">S277*Inputs!$B$48*Inputs!$B$29</f>
        <v>3.47272712881843</v>
      </c>
    </row>
    <row r="279" customFormat="false" ht="15" hidden="false" customHeight="false" outlineLevel="0" collapsed="false">
      <c r="A279" s="16" t="n">
        <v>278</v>
      </c>
      <c r="B279" s="16" t="n">
        <f aca="false">ROUNDUP(A279/12,0)</f>
        <v>24</v>
      </c>
      <c r="C279" s="10" t="n">
        <f aca="false">F278</f>
        <v>178055.425070856</v>
      </c>
      <c r="D279" s="10" t="n">
        <f aca="false">IF(AND(A279&lt;=Inputs!$B$9*12,C279&gt;0.000001),C279*Inputs!$B$10/12,0)</f>
        <v>1080.20291209653</v>
      </c>
      <c r="E279" s="10" t="n">
        <f aca="false">IF(AND(A279&lt;=Inputs!$B$9*12,C279&gt;0.000001),MIN(C279,Inputs!$B$41-D279),0)</f>
        <v>1656.64621688418</v>
      </c>
      <c r="F279" s="10" t="n">
        <f aca="false">C279-E279</f>
        <v>176398.778853972</v>
      </c>
      <c r="G279" s="10" t="n">
        <f aca="false">IF(AND(Inputs!$B$43=1,C279&gt;0.78*Inputs!$B$7,A279&lt;=Inputs!$B$9*6),Inputs!$B$16*Inputs!$B$39/12,0)</f>
        <v>0</v>
      </c>
      <c r="H279" s="10" t="n">
        <f aca="false">IF(B279=1,Inputs!$B$7,INDEX(Annual!$AC$2:$AC$51,B279-1))</f>
        <v>1232357.77158257</v>
      </c>
      <c r="I279" s="10" t="n">
        <f aca="false">Inputs!$B$12*IF(Inputs!$B$35="",H279,MIN(H279,Inputs!$B$7*(1+Inputs!$B$35)^(B279-1)))/12</f>
        <v>924.26832868693</v>
      </c>
      <c r="J279" s="10" t="n">
        <f aca="false">Inputs!$B$13*Inputs!$B$7*(1+Inputs!$B$22)^(B279-1)/12</f>
        <v>393.188131261635</v>
      </c>
      <c r="K279" s="10" t="n">
        <f aca="false">Inputs!$B$14*Inputs!$B$7*(1+Inputs!$B$22)^(B279-1)/12</f>
        <v>786.37626252327</v>
      </c>
      <c r="L279" s="10" t="n">
        <f aca="false">Inputs!$B$15*(1+Inputs!$B$22)^(B279-1)</f>
        <v>0</v>
      </c>
      <c r="M279" s="10" t="n">
        <f aca="false">INDEX(Annual!$N$2:$N$51,B279)/12</f>
        <v>0</v>
      </c>
      <c r="N279" s="10" t="n">
        <f aca="false">D279+E279+G279+I279+J279+K279+L279-M279</f>
        <v>4840.68185145254</v>
      </c>
      <c r="O279" s="10" t="n">
        <f aca="false">Inputs!$B$17*(1+Inputs!$B$18)^(B279-1)+Inputs!$B$19*(1+Inputs!$B$22)^(B279-1)</f>
        <v>5543.59574645212</v>
      </c>
      <c r="P279" s="10" t="n">
        <f aca="false">N279-O279</f>
        <v>-702.913894999583</v>
      </c>
      <c r="Q279" s="10" t="n">
        <f aca="false">Q278*(1+Inputs!$B$42)-U279+MAX(P279,0)</f>
        <v>970714.837379756</v>
      </c>
      <c r="R279" s="10" t="n">
        <f aca="false">R278+Q278*Inputs!$B$48-U279+MAX(P279,0)</f>
        <v>354313.201436564</v>
      </c>
      <c r="S279" s="10" t="n">
        <f aca="false">S278*(1+Inputs!$B$42)-V279+MAX(-P279,0)</f>
        <v>26945.330417233</v>
      </c>
      <c r="T279" s="10" t="n">
        <f aca="false">T278+S278*Inputs!$B$48-V279+MAX(-P279,0)</f>
        <v>24017.0867356802</v>
      </c>
      <c r="U279" s="10" t="n">
        <f aca="false">Q278*Inputs!$B$48*Inputs!$B$29</f>
        <v>132.741005086288</v>
      </c>
      <c r="V279" s="10" t="n">
        <f aca="false">S278*Inputs!$B$48*Inputs!$B$29</f>
        <v>3.58853559347779</v>
      </c>
    </row>
    <row r="280" customFormat="false" ht="15" hidden="false" customHeight="false" outlineLevel="0" collapsed="false">
      <c r="A280" s="16" t="n">
        <v>279</v>
      </c>
      <c r="B280" s="16" t="n">
        <f aca="false">ROUNDUP(A280/12,0)</f>
        <v>24</v>
      </c>
      <c r="C280" s="10" t="n">
        <f aca="false">F279</f>
        <v>176398.778853972</v>
      </c>
      <c r="D280" s="10" t="n">
        <f aca="false">IF(AND(A280&lt;=Inputs!$B$9*12,C280&gt;0.000001),C280*Inputs!$B$10/12,0)</f>
        <v>1070.1525917141</v>
      </c>
      <c r="E280" s="10" t="n">
        <f aca="false">IF(AND(A280&lt;=Inputs!$B$9*12,C280&gt;0.000001),MIN(C280,Inputs!$B$41-D280),0)</f>
        <v>1666.69653726661</v>
      </c>
      <c r="F280" s="10" t="n">
        <f aca="false">C280-E280</f>
        <v>174732.082316706</v>
      </c>
      <c r="G280" s="10" t="n">
        <f aca="false">IF(AND(Inputs!$B$43=1,C280&gt;0.78*Inputs!$B$7,A280&lt;=Inputs!$B$9*6),Inputs!$B$16*Inputs!$B$39/12,0)</f>
        <v>0</v>
      </c>
      <c r="H280" s="10" t="n">
        <f aca="false">IF(B280=1,Inputs!$B$7,INDEX(Annual!$AC$2:$AC$51,B280-1))</f>
        <v>1232357.77158257</v>
      </c>
      <c r="I280" s="10" t="n">
        <f aca="false">Inputs!$B$12*IF(Inputs!$B$35="",H280,MIN(H280,Inputs!$B$7*(1+Inputs!$B$35)^(B280-1)))/12</f>
        <v>924.26832868693</v>
      </c>
      <c r="J280" s="10" t="n">
        <f aca="false">Inputs!$B$13*Inputs!$B$7*(1+Inputs!$B$22)^(B280-1)/12</f>
        <v>393.188131261635</v>
      </c>
      <c r="K280" s="10" t="n">
        <f aca="false">Inputs!$B$14*Inputs!$B$7*(1+Inputs!$B$22)^(B280-1)/12</f>
        <v>786.37626252327</v>
      </c>
      <c r="L280" s="10" t="n">
        <f aca="false">Inputs!$B$15*(1+Inputs!$B$22)^(B280-1)</f>
        <v>0</v>
      </c>
      <c r="M280" s="10" t="n">
        <f aca="false">INDEX(Annual!$N$2:$N$51,B280)/12</f>
        <v>0</v>
      </c>
      <c r="N280" s="10" t="n">
        <f aca="false">D280+E280+G280+I280+J280+K280+L280-M280</f>
        <v>4840.68185145254</v>
      </c>
      <c r="O280" s="10" t="n">
        <f aca="false">Inputs!$B$17*(1+Inputs!$B$18)^(B280-1)+Inputs!$B$19*(1+Inputs!$B$22)^(B280-1)</f>
        <v>5543.59574645212</v>
      </c>
      <c r="P280" s="10" t="n">
        <f aca="false">N280-O280</f>
        <v>-702.913894999583</v>
      </c>
      <c r="Q280" s="10" t="n">
        <f aca="false">Q279*(1+Inputs!$B$42)-U280+MAX(P280,0)</f>
        <v>976069.926909873</v>
      </c>
      <c r="R280" s="10" t="n">
        <f aca="false">R279+Q279*Inputs!$B$48-U280+MAX(P280,0)</f>
        <v>355069.550080689</v>
      </c>
      <c r="S280" s="10" t="n">
        <f aca="false">S279*(1+Inputs!$B$42)-V280+MAX(-P280,0)</f>
        <v>27796.8921449909</v>
      </c>
      <c r="T280" s="10" t="n">
        <f aca="false">T279+S279*Inputs!$B$48-V280+MAX(-P280,0)</f>
        <v>24740.9955339632</v>
      </c>
      <c r="U280" s="10" t="n">
        <f aca="false">Q279*Inputs!$B$48*Inputs!$B$29</f>
        <v>133.473290139716</v>
      </c>
      <c r="V280" s="10" t="n">
        <f aca="false">S279*Inputs!$B$48*Inputs!$B$29</f>
        <v>3.70498293236953</v>
      </c>
    </row>
    <row r="281" customFormat="false" ht="15" hidden="false" customHeight="false" outlineLevel="0" collapsed="false">
      <c r="A281" s="16" t="n">
        <v>280</v>
      </c>
      <c r="B281" s="16" t="n">
        <f aca="false">ROUNDUP(A281/12,0)</f>
        <v>24</v>
      </c>
      <c r="C281" s="10" t="n">
        <f aca="false">F280</f>
        <v>174732.082316706</v>
      </c>
      <c r="D281" s="10" t="n">
        <f aca="false">IF(AND(A281&lt;=Inputs!$B$9*12,C281&gt;0.000001),C281*Inputs!$B$10/12,0)</f>
        <v>1060.04129938801</v>
      </c>
      <c r="E281" s="10" t="n">
        <f aca="false">IF(AND(A281&lt;=Inputs!$B$9*12,C281&gt;0.000001),MIN(C281,Inputs!$B$41-D281),0)</f>
        <v>1676.80782959269</v>
      </c>
      <c r="F281" s="10" t="n">
        <f aca="false">C281-E281</f>
        <v>173055.274487113</v>
      </c>
      <c r="G281" s="10" t="n">
        <f aca="false">IF(AND(Inputs!$B$43=1,C281&gt;0.78*Inputs!$B$7,A281&lt;=Inputs!$B$9*6),Inputs!$B$16*Inputs!$B$39/12,0)</f>
        <v>0</v>
      </c>
      <c r="H281" s="10" t="n">
        <f aca="false">IF(B281=1,Inputs!$B$7,INDEX(Annual!$AC$2:$AC$51,B281-1))</f>
        <v>1232357.77158257</v>
      </c>
      <c r="I281" s="10" t="n">
        <f aca="false">Inputs!$B$12*IF(Inputs!$B$35="",H281,MIN(H281,Inputs!$B$7*(1+Inputs!$B$35)^(B281-1)))/12</f>
        <v>924.26832868693</v>
      </c>
      <c r="J281" s="10" t="n">
        <f aca="false">Inputs!$B$13*Inputs!$B$7*(1+Inputs!$B$22)^(B281-1)/12</f>
        <v>393.188131261635</v>
      </c>
      <c r="K281" s="10" t="n">
        <f aca="false">Inputs!$B$14*Inputs!$B$7*(1+Inputs!$B$22)^(B281-1)/12</f>
        <v>786.37626252327</v>
      </c>
      <c r="L281" s="10" t="n">
        <f aca="false">Inputs!$B$15*(1+Inputs!$B$22)^(B281-1)</f>
        <v>0</v>
      </c>
      <c r="M281" s="10" t="n">
        <f aca="false">INDEX(Annual!$N$2:$N$51,B281)/12</f>
        <v>0</v>
      </c>
      <c r="N281" s="10" t="n">
        <f aca="false">D281+E281+G281+I281+J281+K281+L281-M281</f>
        <v>4840.68185145254</v>
      </c>
      <c r="O281" s="10" t="n">
        <f aca="false">Inputs!$B$17*(1+Inputs!$B$18)^(B281-1)+Inputs!$B$19*(1+Inputs!$B$22)^(B281-1)</f>
        <v>5543.59574645212</v>
      </c>
      <c r="P281" s="10" t="n">
        <f aca="false">N281-O281</f>
        <v>-702.913894999583</v>
      </c>
      <c r="Q281" s="10" t="n">
        <f aca="false">Q280*(1+Inputs!$B$42)-U281+MAX(P281,0)</f>
        <v>981454.558569945</v>
      </c>
      <c r="R281" s="10" t="n">
        <f aca="false">R280+Q280*Inputs!$B$48-U281+MAX(P281,0)</f>
        <v>355830.071232073</v>
      </c>
      <c r="S281" s="10" t="n">
        <f aca="false">S280*(1+Inputs!$B$42)-V281+MAX(-P281,0)</f>
        <v>28653.1516368263</v>
      </c>
      <c r="T281" s="10" t="n">
        <f aca="false">T280+S280*Inputs!$B$48-V281+MAX(-P281,0)</f>
        <v>25465.5678407591</v>
      </c>
      <c r="U281" s="10" t="n">
        <f aca="false">Q280*Inputs!$B$48*Inputs!$B$29</f>
        <v>134.209614950108</v>
      </c>
      <c r="V281" s="10" t="n">
        <f aca="false">S280*Inputs!$B$48*Inputs!$B$29</f>
        <v>3.82207266993625</v>
      </c>
    </row>
    <row r="282" customFormat="false" ht="15" hidden="false" customHeight="false" outlineLevel="0" collapsed="false">
      <c r="A282" s="16" t="n">
        <v>281</v>
      </c>
      <c r="B282" s="16" t="n">
        <f aca="false">ROUNDUP(A282/12,0)</f>
        <v>24</v>
      </c>
      <c r="C282" s="10" t="n">
        <f aca="false">F281</f>
        <v>173055.274487113</v>
      </c>
      <c r="D282" s="10" t="n">
        <f aca="false">IF(AND(A282&lt;=Inputs!$B$9*12,C282&gt;0.000001),C282*Inputs!$B$10/12,0)</f>
        <v>1049.86866522182</v>
      </c>
      <c r="E282" s="10" t="n">
        <f aca="false">IF(AND(A282&lt;=Inputs!$B$9*12,C282&gt;0.000001),MIN(C282,Inputs!$B$41-D282),0)</f>
        <v>1686.98046375889</v>
      </c>
      <c r="F282" s="10" t="n">
        <f aca="false">C282-E282</f>
        <v>171368.294023354</v>
      </c>
      <c r="G282" s="10" t="n">
        <f aca="false">IF(AND(Inputs!$B$43=1,C282&gt;0.78*Inputs!$B$7,A282&lt;=Inputs!$B$9*6),Inputs!$B$16*Inputs!$B$39/12,0)</f>
        <v>0</v>
      </c>
      <c r="H282" s="10" t="n">
        <f aca="false">IF(B282=1,Inputs!$B$7,INDEX(Annual!$AC$2:$AC$51,B282-1))</f>
        <v>1232357.77158257</v>
      </c>
      <c r="I282" s="10" t="n">
        <f aca="false">Inputs!$B$12*IF(Inputs!$B$35="",H282,MIN(H282,Inputs!$B$7*(1+Inputs!$B$35)^(B282-1)))/12</f>
        <v>924.26832868693</v>
      </c>
      <c r="J282" s="10" t="n">
        <f aca="false">Inputs!$B$13*Inputs!$B$7*(1+Inputs!$B$22)^(B282-1)/12</f>
        <v>393.188131261635</v>
      </c>
      <c r="K282" s="10" t="n">
        <f aca="false">Inputs!$B$14*Inputs!$B$7*(1+Inputs!$B$22)^(B282-1)/12</f>
        <v>786.37626252327</v>
      </c>
      <c r="L282" s="10" t="n">
        <f aca="false">Inputs!$B$15*(1+Inputs!$B$22)^(B282-1)</f>
        <v>0</v>
      </c>
      <c r="M282" s="10" t="n">
        <f aca="false">INDEX(Annual!$N$2:$N$51,B282)/12</f>
        <v>0</v>
      </c>
      <c r="N282" s="10" t="n">
        <f aca="false">D282+E282+G282+I282+J282+K282+L282-M282</f>
        <v>4840.68185145254</v>
      </c>
      <c r="O282" s="10" t="n">
        <f aca="false">Inputs!$B$17*(1+Inputs!$B$18)^(B282-1)+Inputs!$B$19*(1+Inputs!$B$22)^(B282-1)</f>
        <v>5543.59574645212</v>
      </c>
      <c r="P282" s="10" t="n">
        <f aca="false">N282-O282</f>
        <v>-702.913894999583</v>
      </c>
      <c r="Q282" s="10" t="n">
        <f aca="false">Q281*(1+Inputs!$B$42)-U282+MAX(P282,0)</f>
        <v>986868.895333428</v>
      </c>
      <c r="R282" s="10" t="n">
        <f aca="false">R281+Q281*Inputs!$B$48-U282+MAX(P282,0)</f>
        <v>356594.787908959</v>
      </c>
      <c r="S282" s="10" t="n">
        <f aca="false">S281*(1+Inputs!$B$42)-V282+MAX(-P282,0)</f>
        <v>29514.1348086378</v>
      </c>
      <c r="T282" s="10" t="n">
        <f aca="false">T281+S281*Inputs!$B$48-V282+MAX(-P282,0)</f>
        <v>26190.807316409</v>
      </c>
      <c r="U282" s="10" t="n">
        <f aca="false">Q281*Inputs!$B$48*Inputs!$B$29</f>
        <v>134.950001803367</v>
      </c>
      <c r="V282" s="10" t="n">
        <f aca="false">S281*Inputs!$B$48*Inputs!$B$29</f>
        <v>3.93980835006362</v>
      </c>
    </row>
    <row r="283" customFormat="false" ht="15" hidden="false" customHeight="false" outlineLevel="0" collapsed="false">
      <c r="A283" s="16" t="n">
        <v>282</v>
      </c>
      <c r="B283" s="16" t="n">
        <f aca="false">ROUNDUP(A283/12,0)</f>
        <v>24</v>
      </c>
      <c r="C283" s="10" t="n">
        <f aca="false">F282</f>
        <v>171368.294023354</v>
      </c>
      <c r="D283" s="10" t="n">
        <f aca="false">IF(AND(A283&lt;=Inputs!$B$9*12,C283&gt;0.000001),C283*Inputs!$B$10/12,0)</f>
        <v>1039.63431707501</v>
      </c>
      <c r="E283" s="10" t="n">
        <f aca="false">IF(AND(A283&lt;=Inputs!$B$9*12,C283&gt;0.000001),MIN(C283,Inputs!$B$41-D283),0)</f>
        <v>1697.21481190569</v>
      </c>
      <c r="F283" s="10" t="n">
        <f aca="false">C283-E283</f>
        <v>169671.079211448</v>
      </c>
      <c r="G283" s="10" t="n">
        <f aca="false">IF(AND(Inputs!$B$43=1,C283&gt;0.78*Inputs!$B$7,A283&lt;=Inputs!$B$9*6),Inputs!$B$16*Inputs!$B$39/12,0)</f>
        <v>0</v>
      </c>
      <c r="H283" s="10" t="n">
        <f aca="false">IF(B283=1,Inputs!$B$7,INDEX(Annual!$AC$2:$AC$51,B283-1))</f>
        <v>1232357.77158257</v>
      </c>
      <c r="I283" s="10" t="n">
        <f aca="false">Inputs!$B$12*IF(Inputs!$B$35="",H283,MIN(H283,Inputs!$B$7*(1+Inputs!$B$35)^(B283-1)))/12</f>
        <v>924.26832868693</v>
      </c>
      <c r="J283" s="10" t="n">
        <f aca="false">Inputs!$B$13*Inputs!$B$7*(1+Inputs!$B$22)^(B283-1)/12</f>
        <v>393.188131261635</v>
      </c>
      <c r="K283" s="10" t="n">
        <f aca="false">Inputs!$B$14*Inputs!$B$7*(1+Inputs!$B$22)^(B283-1)/12</f>
        <v>786.37626252327</v>
      </c>
      <c r="L283" s="10" t="n">
        <f aca="false">Inputs!$B$15*(1+Inputs!$B$22)^(B283-1)</f>
        <v>0</v>
      </c>
      <c r="M283" s="10" t="n">
        <f aca="false">INDEX(Annual!$N$2:$N$51,B283)/12</f>
        <v>0</v>
      </c>
      <c r="N283" s="10" t="n">
        <f aca="false">D283+E283+G283+I283+J283+K283+L283-M283</f>
        <v>4840.68185145254</v>
      </c>
      <c r="O283" s="10" t="n">
        <f aca="false">Inputs!$B$17*(1+Inputs!$B$18)^(B283-1)+Inputs!$B$19*(1+Inputs!$B$22)^(B283-1)</f>
        <v>5543.59574645212</v>
      </c>
      <c r="P283" s="10" t="n">
        <f aca="false">N283-O283</f>
        <v>-702.913894999583</v>
      </c>
      <c r="Q283" s="10" t="n">
        <f aca="false">Q282*(1+Inputs!$B$42)-U283+MAX(P283,0)</f>
        <v>992313.101072843</v>
      </c>
      <c r="R283" s="10" t="n">
        <f aca="false">R282+Q282*Inputs!$B$48-U283+MAX(P283,0)</f>
        <v>357363.723256573</v>
      </c>
      <c r="S283" s="10" t="n">
        <f aca="false">S282*(1+Inputs!$B$42)-V283+MAX(-P283,0)</f>
        <v>30379.8677192928</v>
      </c>
      <c r="T283" s="10" t="n">
        <f aca="false">T282+S282*Inputs!$B$48-V283+MAX(-P283,0)</f>
        <v>26916.717641447</v>
      </c>
      <c r="U283" s="10" t="n">
        <f aca="false">Q282*Inputs!$B$48*Inputs!$B$29</f>
        <v>135.694473108346</v>
      </c>
      <c r="V283" s="10" t="n">
        <f aca="false">S282*Inputs!$B$48*Inputs!$B$29</f>
        <v>4.0581935361877</v>
      </c>
    </row>
    <row r="284" customFormat="false" ht="15" hidden="false" customHeight="false" outlineLevel="0" collapsed="false">
      <c r="A284" s="16" t="n">
        <v>283</v>
      </c>
      <c r="B284" s="16" t="n">
        <f aca="false">ROUNDUP(A284/12,0)</f>
        <v>24</v>
      </c>
      <c r="C284" s="10" t="n">
        <f aca="false">F283</f>
        <v>169671.079211448</v>
      </c>
      <c r="D284" s="10" t="n">
        <f aca="false">IF(AND(A284&lt;=Inputs!$B$9*12,C284&gt;0.000001),C284*Inputs!$B$10/12,0)</f>
        <v>1029.33788054945</v>
      </c>
      <c r="E284" s="10" t="n">
        <f aca="false">IF(AND(A284&lt;=Inputs!$B$9*12,C284&gt;0.000001),MIN(C284,Inputs!$B$41-D284),0)</f>
        <v>1707.51124843125</v>
      </c>
      <c r="F284" s="10" t="n">
        <f aca="false">C284-E284</f>
        <v>167963.567963017</v>
      </c>
      <c r="G284" s="10" t="n">
        <f aca="false">IF(AND(Inputs!$B$43=1,C284&gt;0.78*Inputs!$B$7,A284&lt;=Inputs!$B$9*6),Inputs!$B$16*Inputs!$B$39/12,0)</f>
        <v>0</v>
      </c>
      <c r="H284" s="10" t="n">
        <f aca="false">IF(B284=1,Inputs!$B$7,INDEX(Annual!$AC$2:$AC$51,B284-1))</f>
        <v>1232357.77158257</v>
      </c>
      <c r="I284" s="10" t="n">
        <f aca="false">Inputs!$B$12*IF(Inputs!$B$35="",H284,MIN(H284,Inputs!$B$7*(1+Inputs!$B$35)^(B284-1)))/12</f>
        <v>924.26832868693</v>
      </c>
      <c r="J284" s="10" t="n">
        <f aca="false">Inputs!$B$13*Inputs!$B$7*(1+Inputs!$B$22)^(B284-1)/12</f>
        <v>393.188131261635</v>
      </c>
      <c r="K284" s="10" t="n">
        <f aca="false">Inputs!$B$14*Inputs!$B$7*(1+Inputs!$B$22)^(B284-1)/12</f>
        <v>786.37626252327</v>
      </c>
      <c r="L284" s="10" t="n">
        <f aca="false">Inputs!$B$15*(1+Inputs!$B$22)^(B284-1)</f>
        <v>0</v>
      </c>
      <c r="M284" s="10" t="n">
        <f aca="false">INDEX(Annual!$N$2:$N$51,B284)/12</f>
        <v>0</v>
      </c>
      <c r="N284" s="10" t="n">
        <f aca="false">D284+E284+G284+I284+J284+K284+L284-M284</f>
        <v>4840.68185145254</v>
      </c>
      <c r="O284" s="10" t="n">
        <f aca="false">Inputs!$B$17*(1+Inputs!$B$18)^(B284-1)+Inputs!$B$19*(1+Inputs!$B$22)^(B284-1)</f>
        <v>5543.59574645212</v>
      </c>
      <c r="P284" s="10" t="n">
        <f aca="false">N284-O284</f>
        <v>-702.913894999583</v>
      </c>
      <c r="Q284" s="10" t="n">
        <f aca="false">Q283*(1+Inputs!$B$42)-U284+MAX(P284,0)</f>
        <v>997787.340564738</v>
      </c>
      <c r="R284" s="10" t="n">
        <f aca="false">R283+Q283*Inputs!$B$48-U284+MAX(P284,0)</f>
        <v>358136.900547825</v>
      </c>
      <c r="S284" s="10" t="n">
        <f aca="false">S283*(1+Inputs!$B$42)-V284+MAX(-P284,0)</f>
        <v>31250.376571416</v>
      </c>
      <c r="T284" s="10" t="n">
        <f aca="false">T283+S283*Inputs!$B$48-V284+MAX(-P284,0)</f>
        <v>27643.3025167112</v>
      </c>
      <c r="U284" s="10" t="n">
        <f aca="false">Q283*Inputs!$B$48*Inputs!$B$29</f>
        <v>136.443051397516</v>
      </c>
      <c r="V284" s="10" t="n">
        <f aca="false">S283*Inputs!$B$48*Inputs!$B$29</f>
        <v>4.17723181140275</v>
      </c>
    </row>
    <row r="285" customFormat="false" ht="15" hidden="false" customHeight="false" outlineLevel="0" collapsed="false">
      <c r="A285" s="16" t="n">
        <v>284</v>
      </c>
      <c r="B285" s="16" t="n">
        <f aca="false">ROUNDUP(A285/12,0)</f>
        <v>24</v>
      </c>
      <c r="C285" s="10" t="n">
        <f aca="false">F284</f>
        <v>167963.567963017</v>
      </c>
      <c r="D285" s="10" t="n">
        <f aca="false">IF(AND(A285&lt;=Inputs!$B$9*12,C285&gt;0.000001),C285*Inputs!$B$10/12,0)</f>
        <v>1018.97897897564</v>
      </c>
      <c r="E285" s="10" t="n">
        <f aca="false">IF(AND(A285&lt;=Inputs!$B$9*12,C285&gt;0.000001),MIN(C285,Inputs!$B$41-D285),0)</f>
        <v>1717.87015000507</v>
      </c>
      <c r="F285" s="10" t="n">
        <f aca="false">C285-E285</f>
        <v>166245.697813012</v>
      </c>
      <c r="G285" s="10" t="n">
        <f aca="false">IF(AND(Inputs!$B$43=1,C285&gt;0.78*Inputs!$B$7,A285&lt;=Inputs!$B$9*6),Inputs!$B$16*Inputs!$B$39/12,0)</f>
        <v>0</v>
      </c>
      <c r="H285" s="10" t="n">
        <f aca="false">IF(B285=1,Inputs!$B$7,INDEX(Annual!$AC$2:$AC$51,B285-1))</f>
        <v>1232357.77158257</v>
      </c>
      <c r="I285" s="10" t="n">
        <f aca="false">Inputs!$B$12*IF(Inputs!$B$35="",H285,MIN(H285,Inputs!$B$7*(1+Inputs!$B$35)^(B285-1)))/12</f>
        <v>924.26832868693</v>
      </c>
      <c r="J285" s="10" t="n">
        <f aca="false">Inputs!$B$13*Inputs!$B$7*(1+Inputs!$B$22)^(B285-1)/12</f>
        <v>393.188131261635</v>
      </c>
      <c r="K285" s="10" t="n">
        <f aca="false">Inputs!$B$14*Inputs!$B$7*(1+Inputs!$B$22)^(B285-1)/12</f>
        <v>786.37626252327</v>
      </c>
      <c r="L285" s="10" t="n">
        <f aca="false">Inputs!$B$15*(1+Inputs!$B$22)^(B285-1)</f>
        <v>0</v>
      </c>
      <c r="M285" s="10" t="n">
        <f aca="false">INDEX(Annual!$N$2:$N$51,B285)/12</f>
        <v>0</v>
      </c>
      <c r="N285" s="10" t="n">
        <f aca="false">D285+E285+G285+I285+J285+K285+L285-M285</f>
        <v>4840.68185145254</v>
      </c>
      <c r="O285" s="10" t="n">
        <f aca="false">Inputs!$B$17*(1+Inputs!$B$18)^(B285-1)+Inputs!$B$19*(1+Inputs!$B$22)^(B285-1)</f>
        <v>5543.59574645212</v>
      </c>
      <c r="P285" s="10" t="n">
        <f aca="false">N285-O285</f>
        <v>-702.913894999583</v>
      </c>
      <c r="Q285" s="10" t="n">
        <f aca="false">Q284*(1+Inputs!$B$42)-U285+MAX(P285,0)</f>
        <v>1003291.77949468</v>
      </c>
      <c r="R285" s="10" t="n">
        <f aca="false">R284+Q284*Inputs!$B$48-U285+MAX(P285,0)</f>
        <v>358914.343184015</v>
      </c>
      <c r="S285" s="10" t="n">
        <f aca="false">S284*(1+Inputs!$B$42)-V285+MAX(-P285,0)</f>
        <v>32125.6877121829</v>
      </c>
      <c r="T285" s="10" t="n">
        <f aca="false">T284+S284*Inputs!$B$48-V285+MAX(-P285,0)</f>
        <v>28370.565663456</v>
      </c>
      <c r="U285" s="10" t="n">
        <f aca="false">Q284*Inputs!$B$48*Inputs!$B$29</f>
        <v>137.195759327651</v>
      </c>
      <c r="V285" s="10" t="n">
        <f aca="false">S284*Inputs!$B$48*Inputs!$B$29</f>
        <v>4.29692677856969</v>
      </c>
    </row>
    <row r="286" customFormat="false" ht="15" hidden="false" customHeight="false" outlineLevel="0" collapsed="false">
      <c r="A286" s="16" t="n">
        <v>285</v>
      </c>
      <c r="B286" s="16" t="n">
        <f aca="false">ROUNDUP(A286/12,0)</f>
        <v>24</v>
      </c>
      <c r="C286" s="10" t="n">
        <f aca="false">F285</f>
        <v>166245.697813012</v>
      </c>
      <c r="D286" s="10" t="n">
        <f aca="false">IF(AND(A286&lt;=Inputs!$B$9*12,C286&gt;0.000001),C286*Inputs!$B$10/12,0)</f>
        <v>1008.55723339894</v>
      </c>
      <c r="E286" s="10" t="n">
        <f aca="false">IF(AND(A286&lt;=Inputs!$B$9*12,C286&gt;0.000001),MIN(C286,Inputs!$B$41-D286),0)</f>
        <v>1728.29189558177</v>
      </c>
      <c r="F286" s="10" t="n">
        <f aca="false">C286-E286</f>
        <v>164517.40591743</v>
      </c>
      <c r="G286" s="10" t="n">
        <f aca="false">IF(AND(Inputs!$B$43=1,C286&gt;0.78*Inputs!$B$7,A286&lt;=Inputs!$B$9*6),Inputs!$B$16*Inputs!$B$39/12,0)</f>
        <v>0</v>
      </c>
      <c r="H286" s="10" t="n">
        <f aca="false">IF(B286=1,Inputs!$B$7,INDEX(Annual!$AC$2:$AC$51,B286-1))</f>
        <v>1232357.77158257</v>
      </c>
      <c r="I286" s="10" t="n">
        <f aca="false">Inputs!$B$12*IF(Inputs!$B$35="",H286,MIN(H286,Inputs!$B$7*(1+Inputs!$B$35)^(B286-1)))/12</f>
        <v>924.26832868693</v>
      </c>
      <c r="J286" s="10" t="n">
        <f aca="false">Inputs!$B$13*Inputs!$B$7*(1+Inputs!$B$22)^(B286-1)/12</f>
        <v>393.188131261635</v>
      </c>
      <c r="K286" s="10" t="n">
        <f aca="false">Inputs!$B$14*Inputs!$B$7*(1+Inputs!$B$22)^(B286-1)/12</f>
        <v>786.37626252327</v>
      </c>
      <c r="L286" s="10" t="n">
        <f aca="false">Inputs!$B$15*(1+Inputs!$B$22)^(B286-1)</f>
        <v>0</v>
      </c>
      <c r="M286" s="10" t="n">
        <f aca="false">INDEX(Annual!$N$2:$N$51,B286)/12</f>
        <v>0</v>
      </c>
      <c r="N286" s="10" t="n">
        <f aca="false">D286+E286+G286+I286+J286+K286+L286-M286</f>
        <v>4840.68185145254</v>
      </c>
      <c r="O286" s="10" t="n">
        <f aca="false">Inputs!$B$17*(1+Inputs!$B$18)^(B286-1)+Inputs!$B$19*(1+Inputs!$B$22)^(B286-1)</f>
        <v>5543.59574645212</v>
      </c>
      <c r="P286" s="10" t="n">
        <f aca="false">N286-O286</f>
        <v>-702.913894999583</v>
      </c>
      <c r="Q286" s="10" t="n">
        <f aca="false">Q285*(1+Inputs!$B$42)-U286+MAX(P286,0)</f>
        <v>1008826.58446225</v>
      </c>
      <c r="R286" s="10" t="n">
        <f aca="false">R285+Q285*Inputs!$B$48-U286+MAX(P286,0)</f>
        <v>359696.074695538</v>
      </c>
      <c r="S286" s="10" t="n">
        <f aca="false">S285*(1+Inputs!$B$42)-V286+MAX(-P286,0)</f>
        <v>33005.8276341171</v>
      </c>
      <c r="T286" s="10" t="n">
        <f aca="false">T285+S285*Inputs!$B$48-V286+MAX(-P286,0)</f>
        <v>29098.5108234647</v>
      </c>
      <c r="U286" s="10" t="n">
        <f aca="false">Q285*Inputs!$B$48*Inputs!$B$29</f>
        <v>137.952619680518</v>
      </c>
      <c r="V286" s="10" t="n">
        <f aca="false">S285*Inputs!$B$48*Inputs!$B$29</f>
        <v>4.41728206042515</v>
      </c>
    </row>
    <row r="287" customFormat="false" ht="15" hidden="false" customHeight="false" outlineLevel="0" collapsed="false">
      <c r="A287" s="16" t="n">
        <v>286</v>
      </c>
      <c r="B287" s="16" t="n">
        <f aca="false">ROUNDUP(A287/12,0)</f>
        <v>24</v>
      </c>
      <c r="C287" s="10" t="n">
        <f aca="false">F286</f>
        <v>164517.40591743</v>
      </c>
      <c r="D287" s="10" t="n">
        <f aca="false">IF(AND(A287&lt;=Inputs!$B$9*12,C287&gt;0.000001),C287*Inputs!$B$10/12,0)</f>
        <v>998.072262565743</v>
      </c>
      <c r="E287" s="10" t="n">
        <f aca="false">IF(AND(A287&lt;=Inputs!$B$9*12,C287&gt;0.000001),MIN(C287,Inputs!$B$41-D287),0)</f>
        <v>1738.77686641496</v>
      </c>
      <c r="F287" s="10" t="n">
        <f aca="false">C287-E287</f>
        <v>162778.629051015</v>
      </c>
      <c r="G287" s="10" t="n">
        <f aca="false">IF(AND(Inputs!$B$43=1,C287&gt;0.78*Inputs!$B$7,A287&lt;=Inputs!$B$9*6),Inputs!$B$16*Inputs!$B$39/12,0)</f>
        <v>0</v>
      </c>
      <c r="H287" s="10" t="n">
        <f aca="false">IF(B287=1,Inputs!$B$7,INDEX(Annual!$AC$2:$AC$51,B287-1))</f>
        <v>1232357.77158257</v>
      </c>
      <c r="I287" s="10" t="n">
        <f aca="false">Inputs!$B$12*IF(Inputs!$B$35="",H287,MIN(H287,Inputs!$B$7*(1+Inputs!$B$35)^(B287-1)))/12</f>
        <v>924.26832868693</v>
      </c>
      <c r="J287" s="10" t="n">
        <f aca="false">Inputs!$B$13*Inputs!$B$7*(1+Inputs!$B$22)^(B287-1)/12</f>
        <v>393.188131261635</v>
      </c>
      <c r="K287" s="10" t="n">
        <f aca="false">Inputs!$B$14*Inputs!$B$7*(1+Inputs!$B$22)^(B287-1)/12</f>
        <v>786.37626252327</v>
      </c>
      <c r="L287" s="10" t="n">
        <f aca="false">Inputs!$B$15*(1+Inputs!$B$22)^(B287-1)</f>
        <v>0</v>
      </c>
      <c r="M287" s="10" t="n">
        <f aca="false">INDEX(Annual!$N$2:$N$51,B287)/12</f>
        <v>0</v>
      </c>
      <c r="N287" s="10" t="n">
        <f aca="false">D287+E287+G287+I287+J287+K287+L287-M287</f>
        <v>4840.68185145254</v>
      </c>
      <c r="O287" s="10" t="n">
        <f aca="false">Inputs!$B$17*(1+Inputs!$B$18)^(B287-1)+Inputs!$B$19*(1+Inputs!$B$22)^(B287-1)</f>
        <v>5543.59574645212</v>
      </c>
      <c r="P287" s="10" t="n">
        <f aca="false">N287-O287</f>
        <v>-702.913894999583</v>
      </c>
      <c r="Q287" s="10" t="n">
        <f aca="false">Q286*(1+Inputs!$B$42)-U287+MAX(P287,0)</f>
        <v>1014391.92298611</v>
      </c>
      <c r="R287" s="10" t="n">
        <f aca="false">R286+Q286*Inputs!$B$48-U287+MAX(P287,0)</f>
        <v>360482.118742598</v>
      </c>
      <c r="S287" s="10" t="n">
        <f aca="false">S286*(1+Inputs!$B$42)-V287+MAX(-P287,0)</f>
        <v>33890.822975892</v>
      </c>
      <c r="T287" s="10" t="n">
        <f aca="false">T286+S286*Inputs!$B$48-V287+MAX(-P287,0)</f>
        <v>29827.1417591625</v>
      </c>
      <c r="U287" s="10" t="n">
        <f aca="false">Q286*Inputs!$B$48*Inputs!$B$29</f>
        <v>138.713655363559</v>
      </c>
      <c r="V287" s="10" t="n">
        <f aca="false">S286*Inputs!$B$48*Inputs!$B$29</f>
        <v>4.53830129969111</v>
      </c>
    </row>
    <row r="288" customFormat="false" ht="15" hidden="false" customHeight="false" outlineLevel="0" collapsed="false">
      <c r="A288" s="16" t="n">
        <v>287</v>
      </c>
      <c r="B288" s="16" t="n">
        <f aca="false">ROUNDUP(A288/12,0)</f>
        <v>24</v>
      </c>
      <c r="C288" s="10" t="n">
        <f aca="false">F287</f>
        <v>162778.629051015</v>
      </c>
      <c r="D288" s="10" t="n">
        <f aca="false">IF(AND(A288&lt;=Inputs!$B$9*12,C288&gt;0.000001),C288*Inputs!$B$10/12,0)</f>
        <v>987.523682909492</v>
      </c>
      <c r="E288" s="10" t="n">
        <f aca="false">IF(AND(A288&lt;=Inputs!$B$9*12,C288&gt;0.000001),MIN(C288,Inputs!$B$41-D288),0)</f>
        <v>1749.32544607121</v>
      </c>
      <c r="F288" s="10" t="n">
        <f aca="false">C288-E288</f>
        <v>161029.303604944</v>
      </c>
      <c r="G288" s="10" t="n">
        <f aca="false">IF(AND(Inputs!$B$43=1,C288&gt;0.78*Inputs!$B$7,A288&lt;=Inputs!$B$9*6),Inputs!$B$16*Inputs!$B$39/12,0)</f>
        <v>0</v>
      </c>
      <c r="H288" s="10" t="n">
        <f aca="false">IF(B288=1,Inputs!$B$7,INDEX(Annual!$AC$2:$AC$51,B288-1))</f>
        <v>1232357.77158257</v>
      </c>
      <c r="I288" s="10" t="n">
        <f aca="false">Inputs!$B$12*IF(Inputs!$B$35="",H288,MIN(H288,Inputs!$B$7*(1+Inputs!$B$35)^(B288-1)))/12</f>
        <v>924.26832868693</v>
      </c>
      <c r="J288" s="10" t="n">
        <f aca="false">Inputs!$B$13*Inputs!$B$7*(1+Inputs!$B$22)^(B288-1)/12</f>
        <v>393.188131261635</v>
      </c>
      <c r="K288" s="10" t="n">
        <f aca="false">Inputs!$B$14*Inputs!$B$7*(1+Inputs!$B$22)^(B288-1)/12</f>
        <v>786.37626252327</v>
      </c>
      <c r="L288" s="10" t="n">
        <f aca="false">Inputs!$B$15*(1+Inputs!$B$22)^(B288-1)</f>
        <v>0</v>
      </c>
      <c r="M288" s="10" t="n">
        <f aca="false">INDEX(Annual!$N$2:$N$51,B288)/12</f>
        <v>0</v>
      </c>
      <c r="N288" s="10" t="n">
        <f aca="false">D288+E288+G288+I288+J288+K288+L288-M288</f>
        <v>4840.68185145254</v>
      </c>
      <c r="O288" s="10" t="n">
        <f aca="false">Inputs!$B$17*(1+Inputs!$B$18)^(B288-1)+Inputs!$B$19*(1+Inputs!$B$22)^(B288-1)</f>
        <v>5543.59574645212</v>
      </c>
      <c r="P288" s="10" t="n">
        <f aca="false">N288-O288</f>
        <v>-702.913894999583</v>
      </c>
      <c r="Q288" s="10" t="n">
        <f aca="false">Q287*(1+Inputs!$B$42)-U288+MAX(P288,0)</f>
        <v>1019987.96350907</v>
      </c>
      <c r="R288" s="10" t="n">
        <f aca="false">R287+Q287*Inputs!$B$48-U288+MAX(P288,0)</f>
        <v>361272.499115925</v>
      </c>
      <c r="S288" s="10" t="n">
        <f aca="false">S287*(1+Inputs!$B$42)-V288+MAX(-P288,0)</f>
        <v>34780.7005231369</v>
      </c>
      <c r="T288" s="10" t="n">
        <f aca="false">T287+S287*Inputs!$B$48-V288+MAX(-P288,0)</f>
        <v>30556.4622537308</v>
      </c>
      <c r="U288" s="10" t="n">
        <f aca="false">Q287*Inputs!$B$48*Inputs!$B$29</f>
        <v>139.47888941059</v>
      </c>
      <c r="V288" s="10" t="n">
        <f aca="false">S287*Inputs!$B$48*Inputs!$B$29</f>
        <v>4.65998815918515</v>
      </c>
    </row>
    <row r="289" customFormat="false" ht="15" hidden="false" customHeight="false" outlineLevel="0" collapsed="false">
      <c r="A289" s="16" t="n">
        <v>288</v>
      </c>
      <c r="B289" s="16" t="n">
        <f aca="false">ROUNDUP(A289/12,0)</f>
        <v>24</v>
      </c>
      <c r="C289" s="10" t="n">
        <f aca="false">F288</f>
        <v>161029.303604944</v>
      </c>
      <c r="D289" s="10" t="n">
        <f aca="false">IF(AND(A289&lt;=Inputs!$B$9*12,C289&gt;0.000001),C289*Inputs!$B$10/12,0)</f>
        <v>976.91110853666</v>
      </c>
      <c r="E289" s="10" t="n">
        <f aca="false">IF(AND(A289&lt;=Inputs!$B$9*12,C289&gt;0.000001),MIN(C289,Inputs!$B$41-D289),0)</f>
        <v>1759.93802044405</v>
      </c>
      <c r="F289" s="10" t="n">
        <f aca="false">C289-E289</f>
        <v>159269.3655845</v>
      </c>
      <c r="G289" s="10" t="n">
        <f aca="false">IF(AND(Inputs!$B$43=1,C289&gt;0.78*Inputs!$B$7,A289&lt;=Inputs!$B$9*6),Inputs!$B$16*Inputs!$B$39/12,0)</f>
        <v>0</v>
      </c>
      <c r="H289" s="10" t="n">
        <f aca="false">IF(B289=1,Inputs!$B$7,INDEX(Annual!$AC$2:$AC$51,B289-1))</f>
        <v>1232357.77158257</v>
      </c>
      <c r="I289" s="10" t="n">
        <f aca="false">Inputs!$B$12*IF(Inputs!$B$35="",H289,MIN(H289,Inputs!$B$7*(1+Inputs!$B$35)^(B289-1)))/12</f>
        <v>924.26832868693</v>
      </c>
      <c r="J289" s="10" t="n">
        <f aca="false">Inputs!$B$13*Inputs!$B$7*(1+Inputs!$B$22)^(B289-1)/12</f>
        <v>393.188131261635</v>
      </c>
      <c r="K289" s="10" t="n">
        <f aca="false">Inputs!$B$14*Inputs!$B$7*(1+Inputs!$B$22)^(B289-1)/12</f>
        <v>786.37626252327</v>
      </c>
      <c r="L289" s="10" t="n">
        <f aca="false">Inputs!$B$15*(1+Inputs!$B$22)^(B289-1)</f>
        <v>0</v>
      </c>
      <c r="M289" s="10" t="n">
        <f aca="false">INDEX(Annual!$N$2:$N$51,B289)/12</f>
        <v>0</v>
      </c>
      <c r="N289" s="10" t="n">
        <f aca="false">D289+E289+G289+I289+J289+K289+L289-M289</f>
        <v>4840.68185145254</v>
      </c>
      <c r="O289" s="10" t="n">
        <f aca="false">Inputs!$B$17*(1+Inputs!$B$18)^(B289-1)+Inputs!$B$19*(1+Inputs!$B$22)^(B289-1)</f>
        <v>5543.59574645212</v>
      </c>
      <c r="P289" s="10" t="n">
        <f aca="false">N289-O289</f>
        <v>-702.913894999583</v>
      </c>
      <c r="Q289" s="10" t="n">
        <f aca="false">Q288*(1+Inputs!$B$42)-U289+MAX(P289,0)</f>
        <v>1025614.87540318</v>
      </c>
      <c r="R289" s="10" t="n">
        <f aca="false">R288+Q288*Inputs!$B$48-U289+MAX(P289,0)</f>
        <v>362067.239737493</v>
      </c>
      <c r="S289" s="10" t="n">
        <f aca="false">S288*(1+Inputs!$B$42)-V289+MAX(-P289,0)</f>
        <v>35675.4872092481</v>
      </c>
      <c r="T289" s="10" t="n">
        <f aca="false">T288+S288*Inputs!$B$48-V289+MAX(-P289,0)</f>
        <v>31286.4761112213</v>
      </c>
      <c r="U289" s="10" t="n">
        <f aca="false">Q288*Inputs!$B$48*Inputs!$B$29</f>
        <v>140.248344982498</v>
      </c>
      <c r="V289" s="10" t="n">
        <f aca="false">S288*Inputs!$B$48*Inputs!$B$29</f>
        <v>4.78234632193132</v>
      </c>
    </row>
    <row r="290" customFormat="false" ht="15" hidden="false" customHeight="false" outlineLevel="0" collapsed="false">
      <c r="A290" s="16" t="n">
        <v>289</v>
      </c>
      <c r="B290" s="16" t="n">
        <f aca="false">ROUNDUP(A290/12,0)</f>
        <v>25</v>
      </c>
      <c r="C290" s="10" t="n">
        <f aca="false">F289</f>
        <v>159269.3655845</v>
      </c>
      <c r="D290" s="10" t="n">
        <f aca="false">IF(AND(A290&lt;=Inputs!$B$9*12,C290&gt;0.000001),C290*Inputs!$B$10/12,0)</f>
        <v>966.234151212633</v>
      </c>
      <c r="E290" s="10" t="n">
        <f aca="false">IF(AND(A290&lt;=Inputs!$B$9*12,C290&gt;0.000001),MIN(C290,Inputs!$B$41-D290),0)</f>
        <v>1770.61497776807</v>
      </c>
      <c r="F290" s="10" t="n">
        <f aca="false">C290-E290</f>
        <v>157498.750606732</v>
      </c>
      <c r="G290" s="10" t="n">
        <f aca="false">IF(AND(Inputs!$B$43=1,C290&gt;0.78*Inputs!$B$7,A290&lt;=Inputs!$B$9*6),Inputs!$B$16*Inputs!$B$39/12,0)</f>
        <v>0</v>
      </c>
      <c r="H290" s="10" t="n">
        <f aca="false">IF(B290=1,Inputs!$B$7,INDEX(Annual!$AC$2:$AC$51,B290-1))</f>
        <v>1281652.08244588</v>
      </c>
      <c r="I290" s="10" t="n">
        <f aca="false">Inputs!$B$12*IF(Inputs!$B$35="",H290,MIN(H290,Inputs!$B$7*(1+Inputs!$B$35)^(B290-1)))/12</f>
        <v>961.239061834407</v>
      </c>
      <c r="J290" s="10" t="n">
        <f aca="false">Inputs!$B$13*Inputs!$B$7*(1+Inputs!$B$22)^(B290-1)/12</f>
        <v>404.197398936961</v>
      </c>
      <c r="K290" s="10" t="n">
        <f aca="false">Inputs!$B$14*Inputs!$B$7*(1+Inputs!$B$22)^(B290-1)/12</f>
        <v>808.394797873921</v>
      </c>
      <c r="L290" s="10" t="n">
        <f aca="false">Inputs!$B$15*(1+Inputs!$B$22)^(B290-1)</f>
        <v>0</v>
      </c>
      <c r="M290" s="10" t="n">
        <f aca="false">INDEX(Annual!$N$2:$N$51,B290)/12</f>
        <v>0</v>
      </c>
      <c r="N290" s="10" t="n">
        <f aca="false">D290+E290+G290+I290+J290+K290+L290-M290</f>
        <v>4910.680387626</v>
      </c>
      <c r="O290" s="10" t="n">
        <f aca="false">Inputs!$B$17*(1+Inputs!$B$18)^(B290-1)+Inputs!$B$19*(1+Inputs!$B$22)^(B290-1)</f>
        <v>5737.42343075979</v>
      </c>
      <c r="P290" s="10" t="n">
        <f aca="false">N290-O290</f>
        <v>-826.743043133796</v>
      </c>
      <c r="Q290" s="10" t="n">
        <f aca="false">Q289*(1+Inputs!$B$42)-U290+MAX(P290,0)</f>
        <v>1031272.82897482</v>
      </c>
      <c r="R290" s="10" t="n">
        <f aca="false">R289+Q289*Inputs!$B$48-U290+MAX(P290,0)</f>
        <v>362866.364661244</v>
      </c>
      <c r="S290" s="10" t="n">
        <f aca="false">S289*(1+Inputs!$B$42)-V290+MAX(-P290,0)</f>
        <v>36699.0392643383</v>
      </c>
      <c r="T290" s="10" t="n">
        <f aca="false">T289+S289*Inputs!$B$48-V290+MAX(-P290,0)</f>
        <v>32141.0163048057</v>
      </c>
      <c r="U290" s="10" t="n">
        <f aca="false">Q289*Inputs!$B$48*Inputs!$B$29</f>
        <v>141.022045367937</v>
      </c>
      <c r="V290" s="10" t="n">
        <f aca="false">S289*Inputs!$B$48*Inputs!$B$29</f>
        <v>4.90537949127162</v>
      </c>
    </row>
    <row r="291" customFormat="false" ht="15" hidden="false" customHeight="false" outlineLevel="0" collapsed="false">
      <c r="A291" s="16" t="n">
        <v>290</v>
      </c>
      <c r="B291" s="16" t="n">
        <f aca="false">ROUNDUP(A291/12,0)</f>
        <v>25</v>
      </c>
      <c r="C291" s="10" t="n">
        <f aca="false">F290</f>
        <v>157498.750606732</v>
      </c>
      <c r="D291" s="10" t="n">
        <f aca="false">IF(AND(A291&lt;=Inputs!$B$9*12,C291&gt;0.000001),C291*Inputs!$B$10/12,0)</f>
        <v>955.492420347507</v>
      </c>
      <c r="E291" s="10" t="n">
        <f aca="false">IF(AND(A291&lt;=Inputs!$B$9*12,C291&gt;0.000001),MIN(C291,Inputs!$B$41-D291),0)</f>
        <v>1781.3567086332</v>
      </c>
      <c r="F291" s="10" t="n">
        <f aca="false">C291-E291</f>
        <v>155717.393898099</v>
      </c>
      <c r="G291" s="10" t="n">
        <f aca="false">IF(AND(Inputs!$B$43=1,C291&gt;0.78*Inputs!$B$7,A291&lt;=Inputs!$B$9*6),Inputs!$B$16*Inputs!$B$39/12,0)</f>
        <v>0</v>
      </c>
      <c r="H291" s="10" t="n">
        <f aca="false">IF(B291=1,Inputs!$B$7,INDEX(Annual!$AC$2:$AC$51,B291-1))</f>
        <v>1281652.08244588</v>
      </c>
      <c r="I291" s="10" t="n">
        <f aca="false">Inputs!$B$12*IF(Inputs!$B$35="",H291,MIN(H291,Inputs!$B$7*(1+Inputs!$B$35)^(B291-1)))/12</f>
        <v>961.239061834407</v>
      </c>
      <c r="J291" s="10" t="n">
        <f aca="false">Inputs!$B$13*Inputs!$B$7*(1+Inputs!$B$22)^(B291-1)/12</f>
        <v>404.197398936961</v>
      </c>
      <c r="K291" s="10" t="n">
        <f aca="false">Inputs!$B$14*Inputs!$B$7*(1+Inputs!$B$22)^(B291-1)/12</f>
        <v>808.394797873921</v>
      </c>
      <c r="L291" s="10" t="n">
        <f aca="false">Inputs!$B$15*(1+Inputs!$B$22)^(B291-1)</f>
        <v>0</v>
      </c>
      <c r="M291" s="10" t="n">
        <f aca="false">INDEX(Annual!$N$2:$N$51,B291)/12</f>
        <v>0</v>
      </c>
      <c r="N291" s="10" t="n">
        <f aca="false">D291+E291+G291+I291+J291+K291+L291-M291</f>
        <v>4910.680387626</v>
      </c>
      <c r="O291" s="10" t="n">
        <f aca="false">Inputs!$B$17*(1+Inputs!$B$18)^(B291-1)+Inputs!$B$19*(1+Inputs!$B$22)^(B291-1)</f>
        <v>5737.42343075979</v>
      </c>
      <c r="P291" s="10" t="n">
        <f aca="false">N291-O291</f>
        <v>-826.743043133796</v>
      </c>
      <c r="Q291" s="10" t="n">
        <f aca="false">Q290*(1+Inputs!$B$42)-U291+MAX(P291,0)</f>
        <v>1036961.99546994</v>
      </c>
      <c r="R291" s="10" t="n">
        <f aca="false">R290+Q290*Inputs!$B$48-U291+MAX(P291,0)</f>
        <v>363669.89807382</v>
      </c>
      <c r="S291" s="10" t="n">
        <f aca="false">S290*(1+Inputs!$B$42)-V291+MAX(-P291,0)</f>
        <v>37728.2378931519</v>
      </c>
      <c r="T291" s="10" t="n">
        <f aca="false">T290+S290*Inputs!$B$48-V291+MAX(-P291,0)</f>
        <v>32996.3540160329</v>
      </c>
      <c r="U291" s="10" t="n">
        <f aca="false">Q290*Inputs!$B$48*Inputs!$B$29</f>
        <v>141.800013984038</v>
      </c>
      <c r="V291" s="10" t="n">
        <f aca="false">S290*Inputs!$B$48*Inputs!$B$29</f>
        <v>5.04611789884651</v>
      </c>
    </row>
    <row r="292" customFormat="false" ht="15" hidden="false" customHeight="false" outlineLevel="0" collapsed="false">
      <c r="A292" s="16" t="n">
        <v>291</v>
      </c>
      <c r="B292" s="16" t="n">
        <f aca="false">ROUNDUP(A292/12,0)</f>
        <v>25</v>
      </c>
      <c r="C292" s="10" t="n">
        <f aca="false">F291</f>
        <v>155717.393898099</v>
      </c>
      <c r="D292" s="10" t="n">
        <f aca="false">IF(AND(A292&lt;=Inputs!$B$9*12,C292&gt;0.000001),C292*Inputs!$B$10/12,0)</f>
        <v>944.685522981799</v>
      </c>
      <c r="E292" s="10" t="n">
        <f aca="false">IF(AND(A292&lt;=Inputs!$B$9*12,C292&gt;0.000001),MIN(C292,Inputs!$B$41-D292),0)</f>
        <v>1792.16360599891</v>
      </c>
      <c r="F292" s="10" t="n">
        <f aca="false">C292-E292</f>
        <v>153925.2302921</v>
      </c>
      <c r="G292" s="10" t="n">
        <f aca="false">IF(AND(Inputs!$B$43=1,C292&gt;0.78*Inputs!$B$7,A292&lt;=Inputs!$B$9*6),Inputs!$B$16*Inputs!$B$39/12,0)</f>
        <v>0</v>
      </c>
      <c r="H292" s="10" t="n">
        <f aca="false">IF(B292=1,Inputs!$B$7,INDEX(Annual!$AC$2:$AC$51,B292-1))</f>
        <v>1281652.08244588</v>
      </c>
      <c r="I292" s="10" t="n">
        <f aca="false">Inputs!$B$12*IF(Inputs!$B$35="",H292,MIN(H292,Inputs!$B$7*(1+Inputs!$B$35)^(B292-1)))/12</f>
        <v>961.239061834407</v>
      </c>
      <c r="J292" s="10" t="n">
        <f aca="false">Inputs!$B$13*Inputs!$B$7*(1+Inputs!$B$22)^(B292-1)/12</f>
        <v>404.197398936961</v>
      </c>
      <c r="K292" s="10" t="n">
        <f aca="false">Inputs!$B$14*Inputs!$B$7*(1+Inputs!$B$22)^(B292-1)/12</f>
        <v>808.394797873921</v>
      </c>
      <c r="L292" s="10" t="n">
        <f aca="false">Inputs!$B$15*(1+Inputs!$B$22)^(B292-1)</f>
        <v>0</v>
      </c>
      <c r="M292" s="10" t="n">
        <f aca="false">INDEX(Annual!$N$2:$N$51,B292)/12</f>
        <v>0</v>
      </c>
      <c r="N292" s="10" t="n">
        <f aca="false">D292+E292+G292+I292+J292+K292+L292-M292</f>
        <v>4910.680387626</v>
      </c>
      <c r="O292" s="10" t="n">
        <f aca="false">Inputs!$B$17*(1+Inputs!$B$18)^(B292-1)+Inputs!$B$19*(1+Inputs!$B$22)^(B292-1)</f>
        <v>5737.42343075979</v>
      </c>
      <c r="P292" s="10" t="n">
        <f aca="false">N292-O292</f>
        <v>-826.743043133796</v>
      </c>
      <c r="Q292" s="10" t="n">
        <f aca="false">Q291*(1+Inputs!$B$42)-U292+MAX(P292,0)</f>
        <v>1042682.54707917</v>
      </c>
      <c r="R292" s="10" t="n">
        <f aca="false">R291+Q291*Inputs!$B$48-U292+MAX(P292,0)</f>
        <v>364477.864295291</v>
      </c>
      <c r="S292" s="10" t="n">
        <f aca="false">S291*(1+Inputs!$B$42)-V292+MAX(-P292,0)</f>
        <v>38763.1142458339</v>
      </c>
      <c r="T292" s="10" t="n">
        <f aca="false">T291+S291*Inputs!$B$48-V292+MAX(-P292,0)</f>
        <v>33852.4936445251</v>
      </c>
      <c r="U292" s="10" t="n">
        <f aca="false">Q291*Inputs!$B$48*Inputs!$B$29</f>
        <v>142.582274377117</v>
      </c>
      <c r="V292" s="10" t="n">
        <f aca="false">S291*Inputs!$B$48*Inputs!$B$29</f>
        <v>5.18763271030838</v>
      </c>
    </row>
    <row r="293" customFormat="false" ht="15" hidden="false" customHeight="false" outlineLevel="0" collapsed="false">
      <c r="A293" s="16" t="n">
        <v>292</v>
      </c>
      <c r="B293" s="16" t="n">
        <f aca="false">ROUNDUP(A293/12,0)</f>
        <v>25</v>
      </c>
      <c r="C293" s="10" t="n">
        <f aca="false">F292</f>
        <v>153925.2302921</v>
      </c>
      <c r="D293" s="10" t="n">
        <f aca="false">IF(AND(A293&lt;=Inputs!$B$9*12,C293&gt;0.000001),C293*Inputs!$B$10/12,0)</f>
        <v>933.813063772072</v>
      </c>
      <c r="E293" s="10" t="n">
        <f aca="false">IF(AND(A293&lt;=Inputs!$B$9*12,C293&gt;0.000001),MIN(C293,Inputs!$B$41-D293),0)</f>
        <v>1803.03606520863</v>
      </c>
      <c r="F293" s="10" t="n">
        <f aca="false">C293-E293</f>
        <v>152122.194226891</v>
      </c>
      <c r="G293" s="10" t="n">
        <f aca="false">IF(AND(Inputs!$B$43=1,C293&gt;0.78*Inputs!$B$7,A293&lt;=Inputs!$B$9*6),Inputs!$B$16*Inputs!$B$39/12,0)</f>
        <v>0</v>
      </c>
      <c r="H293" s="10" t="n">
        <f aca="false">IF(B293=1,Inputs!$B$7,INDEX(Annual!$AC$2:$AC$51,B293-1))</f>
        <v>1281652.08244588</v>
      </c>
      <c r="I293" s="10" t="n">
        <f aca="false">Inputs!$B$12*IF(Inputs!$B$35="",H293,MIN(H293,Inputs!$B$7*(1+Inputs!$B$35)^(B293-1)))/12</f>
        <v>961.239061834407</v>
      </c>
      <c r="J293" s="10" t="n">
        <f aca="false">Inputs!$B$13*Inputs!$B$7*(1+Inputs!$B$22)^(B293-1)/12</f>
        <v>404.197398936961</v>
      </c>
      <c r="K293" s="10" t="n">
        <f aca="false">Inputs!$B$14*Inputs!$B$7*(1+Inputs!$B$22)^(B293-1)/12</f>
        <v>808.394797873921</v>
      </c>
      <c r="L293" s="10" t="n">
        <f aca="false">Inputs!$B$15*(1+Inputs!$B$22)^(B293-1)</f>
        <v>0</v>
      </c>
      <c r="M293" s="10" t="n">
        <f aca="false">INDEX(Annual!$N$2:$N$51,B293)/12</f>
        <v>0</v>
      </c>
      <c r="N293" s="10" t="n">
        <f aca="false">D293+E293+G293+I293+J293+K293+L293-M293</f>
        <v>4910.680387626</v>
      </c>
      <c r="O293" s="10" t="n">
        <f aca="false">Inputs!$B$17*(1+Inputs!$B$18)^(B293-1)+Inputs!$B$19*(1+Inputs!$B$22)^(B293-1)</f>
        <v>5737.42343075979</v>
      </c>
      <c r="P293" s="10" t="n">
        <f aca="false">N293-O293</f>
        <v>-826.743043133796</v>
      </c>
      <c r="Q293" s="10" t="n">
        <f aca="false">Q292*(1+Inputs!$B$42)-U293+MAX(P293,0)</f>
        <v>1048434.65694304</v>
      </c>
      <c r="R293" s="10" t="n">
        <f aca="false">R292+Q292*Inputs!$B$48-U293+MAX(P293,0)</f>
        <v>365290.28777989</v>
      </c>
      <c r="S293" s="10" t="n">
        <f aca="false">S292*(1+Inputs!$B$42)-V293+MAX(-P293,0)</f>
        <v>39803.6996443734</v>
      </c>
      <c r="T293" s="10" t="n">
        <f aca="false">T292+S292*Inputs!$B$48-V293+MAX(-P293,0)</f>
        <v>34709.4396141755</v>
      </c>
      <c r="U293" s="10" t="n">
        <f aca="false">Q292*Inputs!$B$48*Inputs!$B$29</f>
        <v>143.368850223386</v>
      </c>
      <c r="V293" s="10" t="n">
        <f aca="false">S292*Inputs!$B$48*Inputs!$B$29</f>
        <v>5.32992820880216</v>
      </c>
    </row>
    <row r="294" customFormat="false" ht="15" hidden="false" customHeight="false" outlineLevel="0" collapsed="false">
      <c r="A294" s="16" t="n">
        <v>293</v>
      </c>
      <c r="B294" s="16" t="n">
        <f aca="false">ROUNDUP(A294/12,0)</f>
        <v>25</v>
      </c>
      <c r="C294" s="10" t="n">
        <f aca="false">F293</f>
        <v>152122.194226891</v>
      </c>
      <c r="D294" s="10" t="n">
        <f aca="false">IF(AND(A294&lt;=Inputs!$B$9*12,C294&gt;0.000001),C294*Inputs!$B$10/12,0)</f>
        <v>922.874644976473</v>
      </c>
      <c r="E294" s="10" t="n">
        <f aca="false">IF(AND(A294&lt;=Inputs!$B$9*12,C294&gt;0.000001),MIN(C294,Inputs!$B$41-D294),0)</f>
        <v>1813.97448400423</v>
      </c>
      <c r="F294" s="10" t="n">
        <f aca="false">C294-E294</f>
        <v>150308.219742887</v>
      </c>
      <c r="G294" s="10" t="n">
        <f aca="false">IF(AND(Inputs!$B$43=1,C294&gt;0.78*Inputs!$B$7,A294&lt;=Inputs!$B$9*6),Inputs!$B$16*Inputs!$B$39/12,0)</f>
        <v>0</v>
      </c>
      <c r="H294" s="10" t="n">
        <f aca="false">IF(B294=1,Inputs!$B$7,INDEX(Annual!$AC$2:$AC$51,B294-1))</f>
        <v>1281652.08244588</v>
      </c>
      <c r="I294" s="10" t="n">
        <f aca="false">Inputs!$B$12*IF(Inputs!$B$35="",H294,MIN(H294,Inputs!$B$7*(1+Inputs!$B$35)^(B294-1)))/12</f>
        <v>961.239061834407</v>
      </c>
      <c r="J294" s="10" t="n">
        <f aca="false">Inputs!$B$13*Inputs!$B$7*(1+Inputs!$B$22)^(B294-1)/12</f>
        <v>404.197398936961</v>
      </c>
      <c r="K294" s="10" t="n">
        <f aca="false">Inputs!$B$14*Inputs!$B$7*(1+Inputs!$B$22)^(B294-1)/12</f>
        <v>808.394797873921</v>
      </c>
      <c r="L294" s="10" t="n">
        <f aca="false">Inputs!$B$15*(1+Inputs!$B$22)^(B294-1)</f>
        <v>0</v>
      </c>
      <c r="M294" s="10" t="n">
        <f aca="false">INDEX(Annual!$N$2:$N$51,B294)/12</f>
        <v>0</v>
      </c>
      <c r="N294" s="10" t="n">
        <f aca="false">D294+E294+G294+I294+J294+K294+L294-M294</f>
        <v>4910.680387626</v>
      </c>
      <c r="O294" s="10" t="n">
        <f aca="false">Inputs!$B$17*(1+Inputs!$B$18)^(B294-1)+Inputs!$B$19*(1+Inputs!$B$22)^(B294-1)</f>
        <v>5737.42343075979</v>
      </c>
      <c r="P294" s="10" t="n">
        <f aca="false">N294-O294</f>
        <v>-826.743043133796</v>
      </c>
      <c r="Q294" s="10" t="n">
        <f aca="false">Q293*(1+Inputs!$B$42)-U294+MAX(P294,0)</f>
        <v>1054218.49915726</v>
      </c>
      <c r="R294" s="10" t="n">
        <f aca="false">R293+Q293*Inputs!$B$48-U294+MAX(P294,0)</f>
        <v>366107.193116758</v>
      </c>
      <c r="S294" s="10" t="n">
        <f aca="false">S293*(1+Inputs!$B$42)-V294+MAX(-P294,0)</f>
        <v>40850.025583552</v>
      </c>
      <c r="T294" s="10" t="n">
        <f aca="false">T293+S293*Inputs!$B$48-V294+MAX(-P294,0)</f>
        <v>35567.1963732822</v>
      </c>
      <c r="U294" s="10" t="n">
        <f aca="false">Q293*Inputs!$B$48*Inputs!$B$29</f>
        <v>144.159765329668</v>
      </c>
      <c r="V294" s="10" t="n">
        <f aca="false">S293*Inputs!$B$48*Inputs!$B$29</f>
        <v>5.47300870110134</v>
      </c>
    </row>
    <row r="295" customFormat="false" ht="15" hidden="false" customHeight="false" outlineLevel="0" collapsed="false">
      <c r="A295" s="16" t="n">
        <v>294</v>
      </c>
      <c r="B295" s="16" t="n">
        <f aca="false">ROUNDUP(A295/12,0)</f>
        <v>25</v>
      </c>
      <c r="C295" s="10" t="n">
        <f aca="false">F294</f>
        <v>150308.219742887</v>
      </c>
      <c r="D295" s="10" t="n">
        <f aca="false">IF(AND(A295&lt;=Inputs!$B$9*12,C295&gt;0.000001),C295*Inputs!$B$10/12,0)</f>
        <v>911.869866440181</v>
      </c>
      <c r="E295" s="10" t="n">
        <f aca="false">IF(AND(A295&lt;=Inputs!$B$9*12,C295&gt;0.000001),MIN(C295,Inputs!$B$41-D295),0)</f>
        <v>1824.97926254053</v>
      </c>
      <c r="F295" s="10" t="n">
        <f aca="false">C295-E295</f>
        <v>148483.240480346</v>
      </c>
      <c r="G295" s="10" t="n">
        <f aca="false">IF(AND(Inputs!$B$43=1,C295&gt;0.78*Inputs!$B$7,A295&lt;=Inputs!$B$9*6),Inputs!$B$16*Inputs!$B$39/12,0)</f>
        <v>0</v>
      </c>
      <c r="H295" s="10" t="n">
        <f aca="false">IF(B295=1,Inputs!$B$7,INDEX(Annual!$AC$2:$AC$51,B295-1))</f>
        <v>1281652.08244588</v>
      </c>
      <c r="I295" s="10" t="n">
        <f aca="false">Inputs!$B$12*IF(Inputs!$B$35="",H295,MIN(H295,Inputs!$B$7*(1+Inputs!$B$35)^(B295-1)))/12</f>
        <v>961.239061834407</v>
      </c>
      <c r="J295" s="10" t="n">
        <f aca="false">Inputs!$B$13*Inputs!$B$7*(1+Inputs!$B$22)^(B295-1)/12</f>
        <v>404.197398936961</v>
      </c>
      <c r="K295" s="10" t="n">
        <f aca="false">Inputs!$B$14*Inputs!$B$7*(1+Inputs!$B$22)^(B295-1)/12</f>
        <v>808.394797873921</v>
      </c>
      <c r="L295" s="10" t="n">
        <f aca="false">Inputs!$B$15*(1+Inputs!$B$22)^(B295-1)</f>
        <v>0</v>
      </c>
      <c r="M295" s="10" t="n">
        <f aca="false">INDEX(Annual!$N$2:$N$51,B295)/12</f>
        <v>0</v>
      </c>
      <c r="N295" s="10" t="n">
        <f aca="false">D295+E295+G295+I295+J295+K295+L295-M295</f>
        <v>4910.680387626</v>
      </c>
      <c r="O295" s="10" t="n">
        <f aca="false">Inputs!$B$17*(1+Inputs!$B$18)^(B295-1)+Inputs!$B$19*(1+Inputs!$B$22)^(B295-1)</f>
        <v>5737.42343075979</v>
      </c>
      <c r="P295" s="10" t="n">
        <f aca="false">N295-O295</f>
        <v>-826.743043133796</v>
      </c>
      <c r="Q295" s="10" t="n">
        <f aca="false">Q294*(1+Inputs!$B$42)-U295+MAX(P295,0)</f>
        <v>1060034.24877795</v>
      </c>
      <c r="R295" s="10" t="n">
        <f aca="false">R294+Q294*Inputs!$B$48-U295+MAX(P295,0)</f>
        <v>366928.605030685</v>
      </c>
      <c r="S295" s="10" t="n">
        <f aca="false">S294*(1+Inputs!$B$42)-V295+MAX(-P295,0)</f>
        <v>41902.1237318967</v>
      </c>
      <c r="T295" s="10" t="n">
        <f aca="false">T294+S294*Inputs!$B$48-V295+MAX(-P295,0)</f>
        <v>36425.7683946832</v>
      </c>
      <c r="U295" s="10" t="n">
        <f aca="false">Q294*Inputs!$B$48*Inputs!$B$29</f>
        <v>144.955043634123</v>
      </c>
      <c r="V295" s="10" t="n">
        <f aca="false">S294*Inputs!$B$48*Inputs!$B$29</f>
        <v>5.6168785177384</v>
      </c>
    </row>
    <row r="296" customFormat="false" ht="15" hidden="false" customHeight="false" outlineLevel="0" collapsed="false">
      <c r="A296" s="16" t="n">
        <v>295</v>
      </c>
      <c r="B296" s="16" t="n">
        <f aca="false">ROUNDUP(A296/12,0)</f>
        <v>25</v>
      </c>
      <c r="C296" s="10" t="n">
        <f aca="false">F295</f>
        <v>148483.240480346</v>
      </c>
      <c r="D296" s="10" t="n">
        <f aca="false">IF(AND(A296&lt;=Inputs!$B$9*12,C296&gt;0.000001),C296*Inputs!$B$10/12,0)</f>
        <v>900.798325580768</v>
      </c>
      <c r="E296" s="10" t="n">
        <f aca="false">IF(AND(A296&lt;=Inputs!$B$9*12,C296&gt;0.000001),MIN(C296,Inputs!$B$41-D296),0)</f>
        <v>1836.05080339994</v>
      </c>
      <c r="F296" s="10" t="n">
        <f aca="false">C296-E296</f>
        <v>146647.189676946</v>
      </c>
      <c r="G296" s="10" t="n">
        <f aca="false">IF(AND(Inputs!$B$43=1,C296&gt;0.78*Inputs!$B$7,A296&lt;=Inputs!$B$9*6),Inputs!$B$16*Inputs!$B$39/12,0)</f>
        <v>0</v>
      </c>
      <c r="H296" s="10" t="n">
        <f aca="false">IF(B296=1,Inputs!$B$7,INDEX(Annual!$AC$2:$AC$51,B296-1))</f>
        <v>1281652.08244588</v>
      </c>
      <c r="I296" s="10" t="n">
        <f aca="false">Inputs!$B$12*IF(Inputs!$B$35="",H296,MIN(H296,Inputs!$B$7*(1+Inputs!$B$35)^(B296-1)))/12</f>
        <v>961.239061834407</v>
      </c>
      <c r="J296" s="10" t="n">
        <f aca="false">Inputs!$B$13*Inputs!$B$7*(1+Inputs!$B$22)^(B296-1)/12</f>
        <v>404.197398936961</v>
      </c>
      <c r="K296" s="10" t="n">
        <f aca="false">Inputs!$B$14*Inputs!$B$7*(1+Inputs!$B$22)^(B296-1)/12</f>
        <v>808.394797873921</v>
      </c>
      <c r="L296" s="10" t="n">
        <f aca="false">Inputs!$B$15*(1+Inputs!$B$22)^(B296-1)</f>
        <v>0</v>
      </c>
      <c r="M296" s="10" t="n">
        <f aca="false">INDEX(Annual!$N$2:$N$51,B296)/12</f>
        <v>0</v>
      </c>
      <c r="N296" s="10" t="n">
        <f aca="false">D296+E296+G296+I296+J296+K296+L296-M296</f>
        <v>4910.680387626</v>
      </c>
      <c r="O296" s="10" t="n">
        <f aca="false">Inputs!$B$17*(1+Inputs!$B$18)^(B296-1)+Inputs!$B$19*(1+Inputs!$B$22)^(B296-1)</f>
        <v>5737.42343075979</v>
      </c>
      <c r="P296" s="10" t="n">
        <f aca="false">N296-O296</f>
        <v>-826.743043133796</v>
      </c>
      <c r="Q296" s="10" t="n">
        <f aca="false">Q295*(1+Inputs!$B$42)-U296+MAX(P296,0)</f>
        <v>1065882.08182697</v>
      </c>
      <c r="R296" s="10" t="n">
        <f aca="false">R295+Q295*Inputs!$B$48-U296+MAX(P296,0)</f>
        <v>367754.548382858</v>
      </c>
      <c r="S296" s="10" t="n">
        <f aca="false">S295*(1+Inputs!$B$42)-V296+MAX(-P296,0)</f>
        <v>42960.0259326385</v>
      </c>
      <c r="T296" s="10" t="n">
        <f aca="false">T295+S295*Inputs!$B$48-V296+MAX(-P296,0)</f>
        <v>37285.1601758914</v>
      </c>
      <c r="U296" s="10" t="n">
        <f aca="false">Q295*Inputs!$B$48*Inputs!$B$29</f>
        <v>145.754709206969</v>
      </c>
      <c r="V296" s="10" t="n">
        <f aca="false">S295*Inputs!$B$48*Inputs!$B$29</f>
        <v>5.76154201313579</v>
      </c>
    </row>
    <row r="297" customFormat="false" ht="15" hidden="false" customHeight="false" outlineLevel="0" collapsed="false">
      <c r="A297" s="16" t="n">
        <v>296</v>
      </c>
      <c r="B297" s="16" t="n">
        <f aca="false">ROUNDUP(A297/12,0)</f>
        <v>25</v>
      </c>
      <c r="C297" s="10" t="n">
        <f aca="false">F296</f>
        <v>146647.189676946</v>
      </c>
      <c r="D297" s="10" t="n">
        <f aca="false">IF(AND(A297&lt;=Inputs!$B$9*12,C297&gt;0.000001),C297*Inputs!$B$10/12,0)</f>
        <v>889.659617373475</v>
      </c>
      <c r="E297" s="10" t="n">
        <f aca="false">IF(AND(A297&lt;=Inputs!$B$9*12,C297&gt;0.000001),MIN(C297,Inputs!$B$41-D297),0)</f>
        <v>1847.18951160723</v>
      </c>
      <c r="F297" s="10" t="n">
        <f aca="false">C297-E297</f>
        <v>144800.000165339</v>
      </c>
      <c r="G297" s="10" t="n">
        <f aca="false">IF(AND(Inputs!$B$43=1,C297&gt;0.78*Inputs!$B$7,A297&lt;=Inputs!$B$9*6),Inputs!$B$16*Inputs!$B$39/12,0)</f>
        <v>0</v>
      </c>
      <c r="H297" s="10" t="n">
        <f aca="false">IF(B297=1,Inputs!$B$7,INDEX(Annual!$AC$2:$AC$51,B297-1))</f>
        <v>1281652.08244588</v>
      </c>
      <c r="I297" s="10" t="n">
        <f aca="false">Inputs!$B$12*IF(Inputs!$B$35="",H297,MIN(H297,Inputs!$B$7*(1+Inputs!$B$35)^(B297-1)))/12</f>
        <v>961.239061834407</v>
      </c>
      <c r="J297" s="10" t="n">
        <f aca="false">Inputs!$B$13*Inputs!$B$7*(1+Inputs!$B$22)^(B297-1)/12</f>
        <v>404.197398936961</v>
      </c>
      <c r="K297" s="10" t="n">
        <f aca="false">Inputs!$B$14*Inputs!$B$7*(1+Inputs!$B$22)^(B297-1)/12</f>
        <v>808.394797873921</v>
      </c>
      <c r="L297" s="10" t="n">
        <f aca="false">Inputs!$B$15*(1+Inputs!$B$22)^(B297-1)</f>
        <v>0</v>
      </c>
      <c r="M297" s="10" t="n">
        <f aca="false">INDEX(Annual!$N$2:$N$51,B297)/12</f>
        <v>0</v>
      </c>
      <c r="N297" s="10" t="n">
        <f aca="false">D297+E297+G297+I297+J297+K297+L297-M297</f>
        <v>4910.680387626</v>
      </c>
      <c r="O297" s="10" t="n">
        <f aca="false">Inputs!$B$17*(1+Inputs!$B$18)^(B297-1)+Inputs!$B$19*(1+Inputs!$B$22)^(B297-1)</f>
        <v>5737.42343075979</v>
      </c>
      <c r="P297" s="10" t="n">
        <f aca="false">N297-O297</f>
        <v>-826.743043133796</v>
      </c>
      <c r="Q297" s="10" t="n">
        <f aca="false">Q296*(1+Inputs!$B$42)-U297+MAX(P297,0)</f>
        <v>1071762.17529719</v>
      </c>
      <c r="R297" s="10" t="n">
        <f aca="false">R296+Q296*Inputs!$B$48-U297+MAX(P297,0)</f>
        <v>368585.048171615</v>
      </c>
      <c r="S297" s="10" t="n">
        <f aca="false">S296*(1+Inputs!$B$42)-V297+MAX(-P297,0)</f>
        <v>44023.7642046764</v>
      </c>
      <c r="T297" s="10" t="n">
        <f aca="false">T296+S296*Inputs!$B$48-V297+MAX(-P297,0)</f>
        <v>38145.376239231</v>
      </c>
      <c r="U297" s="10" t="n">
        <f aca="false">Q296*Inputs!$B$48*Inputs!$B$29</f>
        <v>146.558786251208</v>
      </c>
      <c r="V297" s="10" t="n">
        <f aca="false">S296*Inputs!$B$48*Inputs!$B$29</f>
        <v>5.9070035657378</v>
      </c>
    </row>
    <row r="298" customFormat="false" ht="15" hidden="false" customHeight="false" outlineLevel="0" collapsed="false">
      <c r="A298" s="16" t="n">
        <v>297</v>
      </c>
      <c r="B298" s="16" t="n">
        <f aca="false">ROUNDUP(A298/12,0)</f>
        <v>25</v>
      </c>
      <c r="C298" s="10" t="n">
        <f aca="false">F297</f>
        <v>144800.000165339</v>
      </c>
      <c r="D298" s="10" t="n">
        <f aca="false">IF(AND(A298&lt;=Inputs!$B$9*12,C298&gt;0.000001),C298*Inputs!$B$10/12,0)</f>
        <v>878.453334336391</v>
      </c>
      <c r="E298" s="10" t="n">
        <f aca="false">IF(AND(A298&lt;=Inputs!$B$9*12,C298&gt;0.000001),MIN(C298,Inputs!$B$41-D298),0)</f>
        <v>1858.39579464431</v>
      </c>
      <c r="F298" s="10" t="n">
        <f aca="false">C298-E298</f>
        <v>142941.604370695</v>
      </c>
      <c r="G298" s="10" t="n">
        <f aca="false">IF(AND(Inputs!$B$43=1,C298&gt;0.78*Inputs!$B$7,A298&lt;=Inputs!$B$9*6),Inputs!$B$16*Inputs!$B$39/12,0)</f>
        <v>0</v>
      </c>
      <c r="H298" s="10" t="n">
        <f aca="false">IF(B298=1,Inputs!$B$7,INDEX(Annual!$AC$2:$AC$51,B298-1))</f>
        <v>1281652.08244588</v>
      </c>
      <c r="I298" s="10" t="n">
        <f aca="false">Inputs!$B$12*IF(Inputs!$B$35="",H298,MIN(H298,Inputs!$B$7*(1+Inputs!$B$35)^(B298-1)))/12</f>
        <v>961.239061834407</v>
      </c>
      <c r="J298" s="10" t="n">
        <f aca="false">Inputs!$B$13*Inputs!$B$7*(1+Inputs!$B$22)^(B298-1)/12</f>
        <v>404.197398936961</v>
      </c>
      <c r="K298" s="10" t="n">
        <f aca="false">Inputs!$B$14*Inputs!$B$7*(1+Inputs!$B$22)^(B298-1)/12</f>
        <v>808.394797873921</v>
      </c>
      <c r="L298" s="10" t="n">
        <f aca="false">Inputs!$B$15*(1+Inputs!$B$22)^(B298-1)</f>
        <v>0</v>
      </c>
      <c r="M298" s="10" t="n">
        <f aca="false">INDEX(Annual!$N$2:$N$51,B298)/12</f>
        <v>0</v>
      </c>
      <c r="N298" s="10" t="n">
        <f aca="false">D298+E298+G298+I298+J298+K298+L298-M298</f>
        <v>4910.680387626</v>
      </c>
      <c r="O298" s="10" t="n">
        <f aca="false">Inputs!$B$17*(1+Inputs!$B$18)^(B298-1)+Inputs!$B$19*(1+Inputs!$B$22)^(B298-1)</f>
        <v>5737.42343075979</v>
      </c>
      <c r="P298" s="10" t="n">
        <f aca="false">N298-O298</f>
        <v>-826.743043133796</v>
      </c>
      <c r="Q298" s="10" t="n">
        <f aca="false">Q297*(1+Inputs!$B$42)-U298+MAX(P298,0)</f>
        <v>1077674.70715794</v>
      </c>
      <c r="R298" s="10" t="n">
        <f aca="false">R297+Q297*Inputs!$B$48-U298+MAX(P298,0)</f>
        <v>369420.1295332</v>
      </c>
      <c r="S298" s="10" t="n">
        <f aca="false">S297*(1+Inputs!$B$42)-V298+MAX(-P298,0)</f>
        <v>45093.3707435462</v>
      </c>
      <c r="T298" s="10" t="n">
        <f aca="false">T297+S297*Inputs!$B$48-V298+MAX(-P298,0)</f>
        <v>39006.4211319743</v>
      </c>
      <c r="U298" s="10" t="n">
        <f aca="false">Q297*Inputs!$B$48*Inputs!$B$29</f>
        <v>147.367299103364</v>
      </c>
      <c r="V298" s="10" t="n">
        <f aca="false">S297*Inputs!$B$48*Inputs!$B$29</f>
        <v>6.05326757814301</v>
      </c>
    </row>
    <row r="299" customFormat="false" ht="15" hidden="false" customHeight="false" outlineLevel="0" collapsed="false">
      <c r="A299" s="16" t="n">
        <v>298</v>
      </c>
      <c r="B299" s="16" t="n">
        <f aca="false">ROUNDUP(A299/12,0)</f>
        <v>25</v>
      </c>
      <c r="C299" s="10" t="n">
        <f aca="false">F298</f>
        <v>142941.604370695</v>
      </c>
      <c r="D299" s="10" t="n">
        <f aca="false">IF(AND(A299&lt;=Inputs!$B$9*12,C299&gt;0.000001),C299*Inputs!$B$10/12,0)</f>
        <v>867.179066515549</v>
      </c>
      <c r="E299" s="10" t="n">
        <f aca="false">IF(AND(A299&lt;=Inputs!$B$9*12,C299&gt;0.000001),MIN(C299,Inputs!$B$41-D299),0)</f>
        <v>1869.67006246516</v>
      </c>
      <c r="F299" s="10" t="n">
        <f aca="false">C299-E299</f>
        <v>141071.93430823</v>
      </c>
      <c r="G299" s="10" t="n">
        <f aca="false">IF(AND(Inputs!$B$43=1,C299&gt;0.78*Inputs!$B$7,A299&lt;=Inputs!$B$9*6),Inputs!$B$16*Inputs!$B$39/12,0)</f>
        <v>0</v>
      </c>
      <c r="H299" s="10" t="n">
        <f aca="false">IF(B299=1,Inputs!$B$7,INDEX(Annual!$AC$2:$AC$51,B299-1))</f>
        <v>1281652.08244588</v>
      </c>
      <c r="I299" s="10" t="n">
        <f aca="false">Inputs!$B$12*IF(Inputs!$B$35="",H299,MIN(H299,Inputs!$B$7*(1+Inputs!$B$35)^(B299-1)))/12</f>
        <v>961.239061834407</v>
      </c>
      <c r="J299" s="10" t="n">
        <f aca="false">Inputs!$B$13*Inputs!$B$7*(1+Inputs!$B$22)^(B299-1)/12</f>
        <v>404.197398936961</v>
      </c>
      <c r="K299" s="10" t="n">
        <f aca="false">Inputs!$B$14*Inputs!$B$7*(1+Inputs!$B$22)^(B299-1)/12</f>
        <v>808.394797873921</v>
      </c>
      <c r="L299" s="10" t="n">
        <f aca="false">Inputs!$B$15*(1+Inputs!$B$22)^(B299-1)</f>
        <v>0</v>
      </c>
      <c r="M299" s="10" t="n">
        <f aca="false">INDEX(Annual!$N$2:$N$51,B299)/12</f>
        <v>0</v>
      </c>
      <c r="N299" s="10" t="n">
        <f aca="false">D299+E299+G299+I299+J299+K299+L299-M299</f>
        <v>4910.680387626</v>
      </c>
      <c r="O299" s="10" t="n">
        <f aca="false">Inputs!$B$17*(1+Inputs!$B$18)^(B299-1)+Inputs!$B$19*(1+Inputs!$B$22)^(B299-1)</f>
        <v>5737.42343075979</v>
      </c>
      <c r="P299" s="10" t="n">
        <f aca="false">N299-O299</f>
        <v>-826.743043133796</v>
      </c>
      <c r="Q299" s="10" t="n">
        <f aca="false">Q298*(1+Inputs!$B$42)-U299+MAX(P299,0)</f>
        <v>1083619.85636031</v>
      </c>
      <c r="R299" s="10" t="n">
        <f aca="false">R298+Q298*Inputs!$B$48-U299+MAX(P299,0)</f>
        <v>370259.817742527</v>
      </c>
      <c r="S299" s="10" t="n">
        <f aca="false">S298*(1+Inputs!$B$42)-V299+MAX(-P299,0)</f>
        <v>46168.8779223949</v>
      </c>
      <c r="T299" s="10" t="n">
        <f aca="false">T298+S298*Inputs!$B$48-V299+MAX(-P299,0)</f>
        <v>39868.2994264791</v>
      </c>
      <c r="U299" s="10" t="n">
        <f aca="false">Q298*Inputs!$B$48*Inputs!$B$29</f>
        <v>148.180272234217</v>
      </c>
      <c r="V299" s="10" t="n">
        <f aca="false">S298*Inputs!$B$48*Inputs!$B$29</f>
        <v>6.2003384772376</v>
      </c>
    </row>
    <row r="300" customFormat="false" ht="15" hidden="false" customHeight="false" outlineLevel="0" collapsed="false">
      <c r="A300" s="16" t="n">
        <v>299</v>
      </c>
      <c r="B300" s="16" t="n">
        <f aca="false">ROUNDUP(A300/12,0)</f>
        <v>25</v>
      </c>
      <c r="C300" s="10" t="n">
        <f aca="false">F299</f>
        <v>141071.93430823</v>
      </c>
      <c r="D300" s="10" t="n">
        <f aca="false">IF(AND(A300&lt;=Inputs!$B$9*12,C300&gt;0.000001),C300*Inputs!$B$10/12,0)</f>
        <v>855.836401469927</v>
      </c>
      <c r="E300" s="10" t="n">
        <f aca="false">IF(AND(A300&lt;=Inputs!$B$9*12,C300&gt;0.000001),MIN(C300,Inputs!$B$41-D300),0)</f>
        <v>1881.01272751078</v>
      </c>
      <c r="F300" s="10" t="n">
        <f aca="false">C300-E300</f>
        <v>139190.921580719</v>
      </c>
      <c r="G300" s="10" t="n">
        <f aca="false">IF(AND(Inputs!$B$43=1,C300&gt;0.78*Inputs!$B$7,A300&lt;=Inputs!$B$9*6),Inputs!$B$16*Inputs!$B$39/12,0)</f>
        <v>0</v>
      </c>
      <c r="H300" s="10" t="n">
        <f aca="false">IF(B300=1,Inputs!$B$7,INDEX(Annual!$AC$2:$AC$51,B300-1))</f>
        <v>1281652.08244588</v>
      </c>
      <c r="I300" s="10" t="n">
        <f aca="false">Inputs!$B$12*IF(Inputs!$B$35="",H300,MIN(H300,Inputs!$B$7*(1+Inputs!$B$35)^(B300-1)))/12</f>
        <v>961.239061834407</v>
      </c>
      <c r="J300" s="10" t="n">
        <f aca="false">Inputs!$B$13*Inputs!$B$7*(1+Inputs!$B$22)^(B300-1)/12</f>
        <v>404.197398936961</v>
      </c>
      <c r="K300" s="10" t="n">
        <f aca="false">Inputs!$B$14*Inputs!$B$7*(1+Inputs!$B$22)^(B300-1)/12</f>
        <v>808.394797873921</v>
      </c>
      <c r="L300" s="10" t="n">
        <f aca="false">Inputs!$B$15*(1+Inputs!$B$22)^(B300-1)</f>
        <v>0</v>
      </c>
      <c r="M300" s="10" t="n">
        <f aca="false">INDEX(Annual!$N$2:$N$51,B300)/12</f>
        <v>0</v>
      </c>
      <c r="N300" s="10" t="n">
        <f aca="false">D300+E300+G300+I300+J300+K300+L300-M300</f>
        <v>4910.680387626</v>
      </c>
      <c r="O300" s="10" t="n">
        <f aca="false">Inputs!$B$17*(1+Inputs!$B$18)^(B300-1)+Inputs!$B$19*(1+Inputs!$B$22)^(B300-1)</f>
        <v>5737.42343075979</v>
      </c>
      <c r="P300" s="10" t="n">
        <f aca="false">N300-O300</f>
        <v>-826.743043133796</v>
      </c>
      <c r="Q300" s="10" t="n">
        <f aca="false">Q299*(1+Inputs!$B$42)-U300+MAX(P300,0)</f>
        <v>1089597.8028426</v>
      </c>
      <c r="R300" s="10" t="n">
        <f aca="false">R299+Q299*Inputs!$B$48-U300+MAX(P300,0)</f>
        <v>371104.138213942</v>
      </c>
      <c r="S300" s="10" t="n">
        <f aca="false">S299*(1+Inputs!$B$42)-V300+MAX(-P300,0)</f>
        <v>47250.318292961</v>
      </c>
      <c r="T300" s="10" t="n">
        <f aca="false">T299+S299*Inputs!$B$48-V300+MAX(-P300,0)</f>
        <v>40731.0157203274</v>
      </c>
      <c r="U300" s="10" t="n">
        <f aca="false">Q299*Inputs!$B$48*Inputs!$B$29</f>
        <v>148.997730249543</v>
      </c>
      <c r="V300" s="10" t="n">
        <f aca="false">S299*Inputs!$B$48*Inputs!$B$29</f>
        <v>6.3482207143293</v>
      </c>
    </row>
    <row r="301" customFormat="false" ht="15" hidden="false" customHeight="false" outlineLevel="0" collapsed="false">
      <c r="A301" s="16" t="n">
        <v>300</v>
      </c>
      <c r="B301" s="16" t="n">
        <f aca="false">ROUNDUP(A301/12,0)</f>
        <v>25</v>
      </c>
      <c r="C301" s="10" t="n">
        <f aca="false">F300</f>
        <v>139190.921580719</v>
      </c>
      <c r="D301" s="10" t="n">
        <f aca="false">IF(AND(A301&lt;=Inputs!$B$9*12,C301&gt;0.000001),C301*Inputs!$B$10/12,0)</f>
        <v>844.424924256362</v>
      </c>
      <c r="E301" s="10" t="n">
        <f aca="false">IF(AND(A301&lt;=Inputs!$B$9*12,C301&gt;0.000001),MIN(C301,Inputs!$B$41-D301),0)</f>
        <v>1892.42420472434</v>
      </c>
      <c r="F301" s="10" t="n">
        <f aca="false">C301-E301</f>
        <v>137298.497375995</v>
      </c>
      <c r="G301" s="10" t="n">
        <f aca="false">IF(AND(Inputs!$B$43=1,C301&gt;0.78*Inputs!$B$7,A301&lt;=Inputs!$B$9*6),Inputs!$B$16*Inputs!$B$39/12,0)</f>
        <v>0</v>
      </c>
      <c r="H301" s="10" t="n">
        <f aca="false">IF(B301=1,Inputs!$B$7,INDEX(Annual!$AC$2:$AC$51,B301-1))</f>
        <v>1281652.08244588</v>
      </c>
      <c r="I301" s="10" t="n">
        <f aca="false">Inputs!$B$12*IF(Inputs!$B$35="",H301,MIN(H301,Inputs!$B$7*(1+Inputs!$B$35)^(B301-1)))/12</f>
        <v>961.239061834407</v>
      </c>
      <c r="J301" s="10" t="n">
        <f aca="false">Inputs!$B$13*Inputs!$B$7*(1+Inputs!$B$22)^(B301-1)/12</f>
        <v>404.197398936961</v>
      </c>
      <c r="K301" s="10" t="n">
        <f aca="false">Inputs!$B$14*Inputs!$B$7*(1+Inputs!$B$22)^(B301-1)/12</f>
        <v>808.394797873921</v>
      </c>
      <c r="L301" s="10" t="n">
        <f aca="false">Inputs!$B$15*(1+Inputs!$B$22)^(B301-1)</f>
        <v>0</v>
      </c>
      <c r="M301" s="10" t="n">
        <f aca="false">INDEX(Annual!$N$2:$N$51,B301)/12</f>
        <v>0</v>
      </c>
      <c r="N301" s="10" t="n">
        <f aca="false">D301+E301+G301+I301+J301+K301+L301-M301</f>
        <v>4910.680387626</v>
      </c>
      <c r="O301" s="10" t="n">
        <f aca="false">Inputs!$B$17*(1+Inputs!$B$18)^(B301-1)+Inputs!$B$19*(1+Inputs!$B$22)^(B301-1)</f>
        <v>5737.42343075979</v>
      </c>
      <c r="P301" s="10" t="n">
        <f aca="false">N301-O301</f>
        <v>-826.743043133796</v>
      </c>
      <c r="Q301" s="10" t="n">
        <f aca="false">Q300*(1+Inputs!$B$42)-U301+MAX(P301,0)</f>
        <v>1095608.72753578</v>
      </c>
      <c r="R301" s="10" t="n">
        <f aca="false">R300+Q300*Inputs!$B$48-U301+MAX(P301,0)</f>
        <v>371953.11650199</v>
      </c>
      <c r="S301" s="10" t="n">
        <f aca="false">S300*(1+Inputs!$B$42)-V301+MAX(-P301,0)</f>
        <v>48337.7245865591</v>
      </c>
      <c r="T301" s="10" t="n">
        <f aca="false">T300+S300*Inputs!$B$48-V301+MAX(-P301,0)</f>
        <v>41594.5746364645</v>
      </c>
      <c r="U301" s="10" t="n">
        <f aca="false">Q300*Inputs!$B$48*Inputs!$B$29</f>
        <v>149.819697890858</v>
      </c>
      <c r="V301" s="10" t="n">
        <f aca="false">S300*Inputs!$B$48*Inputs!$B$29</f>
        <v>6.49691876528213</v>
      </c>
    </row>
    <row r="302" customFormat="false" ht="15" hidden="false" customHeight="false" outlineLevel="0" collapsed="false">
      <c r="A302" s="16" t="n">
        <v>301</v>
      </c>
      <c r="B302" s="16" t="n">
        <f aca="false">ROUNDUP(A302/12,0)</f>
        <v>26</v>
      </c>
      <c r="C302" s="10" t="n">
        <f aca="false">F301</f>
        <v>137298.497375995</v>
      </c>
      <c r="D302" s="10" t="n">
        <f aca="false">IF(AND(A302&lt;=Inputs!$B$9*12,C302&gt;0.000001),C302*Inputs!$B$10/12,0)</f>
        <v>832.944217414368</v>
      </c>
      <c r="E302" s="10" t="n">
        <f aca="false">IF(AND(A302&lt;=Inputs!$B$9*12,C302&gt;0.000001),MIN(C302,Inputs!$B$41-D302),0)</f>
        <v>1903.90491156634</v>
      </c>
      <c r="F302" s="10" t="n">
        <f aca="false">C302-E302</f>
        <v>135394.592464428</v>
      </c>
      <c r="G302" s="10" t="n">
        <f aca="false">IF(AND(Inputs!$B$43=1,C302&gt;0.78*Inputs!$B$7,A302&lt;=Inputs!$B$9*6),Inputs!$B$16*Inputs!$B$39/12,0)</f>
        <v>0</v>
      </c>
      <c r="H302" s="10" t="n">
        <f aca="false">IF(B302=1,Inputs!$B$7,INDEX(Annual!$AC$2:$AC$51,B302-1))</f>
        <v>1332918.16574371</v>
      </c>
      <c r="I302" s="10" t="n">
        <f aca="false">Inputs!$B$12*IF(Inputs!$B$35="",H302,MIN(H302,Inputs!$B$7*(1+Inputs!$B$35)^(B302-1)))/12</f>
        <v>999.688624307783</v>
      </c>
      <c r="J302" s="10" t="n">
        <f aca="false">Inputs!$B$13*Inputs!$B$7*(1+Inputs!$B$22)^(B302-1)/12</f>
        <v>415.514926107196</v>
      </c>
      <c r="K302" s="10" t="n">
        <f aca="false">Inputs!$B$14*Inputs!$B$7*(1+Inputs!$B$22)^(B302-1)/12</f>
        <v>831.029852214391</v>
      </c>
      <c r="L302" s="10" t="n">
        <f aca="false">Inputs!$B$15*(1+Inputs!$B$22)^(B302-1)</f>
        <v>0</v>
      </c>
      <c r="M302" s="10" t="n">
        <f aca="false">INDEX(Annual!$N$2:$N$51,B302)/12</f>
        <v>0</v>
      </c>
      <c r="N302" s="10" t="n">
        <f aca="false">D302+E302+G302+I302+J302+K302+L302-M302</f>
        <v>4983.08253161008</v>
      </c>
      <c r="O302" s="10" t="n">
        <f aca="false">Inputs!$B$17*(1+Inputs!$B$18)^(B302-1)+Inputs!$B$19*(1+Inputs!$B$22)^(B302-1)</f>
        <v>5938.02953534732</v>
      </c>
      <c r="P302" s="10" t="n">
        <f aca="false">N302-O302</f>
        <v>-954.947003737243</v>
      </c>
      <c r="Q302" s="10" t="n">
        <f aca="false">Q301*(1+Inputs!$B$42)-U302+MAX(P302,0)</f>
        <v>1101652.81236894</v>
      </c>
      <c r="R302" s="10" t="n">
        <f aca="false">R301+Q301*Inputs!$B$48-U302+MAX(P302,0)</f>
        <v>372806.778302195</v>
      </c>
      <c r="S302" s="10" t="n">
        <f aca="false">S301*(1+Inputs!$B$42)-V302+MAX(-P302,0)</f>
        <v>49559.3336756744</v>
      </c>
      <c r="T302" s="10" t="n">
        <f aca="false">T301+S301*Inputs!$B$48-V302+MAX(-P302,0)</f>
        <v>42587.1847839421</v>
      </c>
      <c r="U302" s="10" t="n">
        <f aca="false">Q301*Inputs!$B$48*Inputs!$B$29</f>
        <v>150.64620003617</v>
      </c>
      <c r="V302" s="10" t="n">
        <f aca="false">S301*Inputs!$B$48*Inputs!$B$29</f>
        <v>6.64643713065187</v>
      </c>
    </row>
    <row r="303" customFormat="false" ht="15" hidden="false" customHeight="false" outlineLevel="0" collapsed="false">
      <c r="A303" s="16" t="n">
        <v>302</v>
      </c>
      <c r="B303" s="16" t="n">
        <f aca="false">ROUNDUP(A303/12,0)</f>
        <v>26</v>
      </c>
      <c r="C303" s="10" t="n">
        <f aca="false">F302</f>
        <v>135394.592464428</v>
      </c>
      <c r="D303" s="10" t="n">
        <f aca="false">IF(AND(A303&lt;=Inputs!$B$9*12,C303&gt;0.000001),C303*Inputs!$B$10/12,0)</f>
        <v>821.393860950865</v>
      </c>
      <c r="E303" s="10" t="n">
        <f aca="false">IF(AND(A303&lt;=Inputs!$B$9*12,C303&gt;0.000001),MIN(C303,Inputs!$B$41-D303),0)</f>
        <v>1915.45526802984</v>
      </c>
      <c r="F303" s="10" t="n">
        <f aca="false">C303-E303</f>
        <v>133479.137196398</v>
      </c>
      <c r="G303" s="10" t="n">
        <f aca="false">IF(AND(Inputs!$B$43=1,C303&gt;0.78*Inputs!$B$7,A303&lt;=Inputs!$B$9*6),Inputs!$B$16*Inputs!$B$39/12,0)</f>
        <v>0</v>
      </c>
      <c r="H303" s="10" t="n">
        <f aca="false">IF(B303=1,Inputs!$B$7,INDEX(Annual!$AC$2:$AC$51,B303-1))</f>
        <v>1332918.16574371</v>
      </c>
      <c r="I303" s="10" t="n">
        <f aca="false">Inputs!$B$12*IF(Inputs!$B$35="",H303,MIN(H303,Inputs!$B$7*(1+Inputs!$B$35)^(B303-1)))/12</f>
        <v>999.688624307783</v>
      </c>
      <c r="J303" s="10" t="n">
        <f aca="false">Inputs!$B$13*Inputs!$B$7*(1+Inputs!$B$22)^(B303-1)/12</f>
        <v>415.514926107196</v>
      </c>
      <c r="K303" s="10" t="n">
        <f aca="false">Inputs!$B$14*Inputs!$B$7*(1+Inputs!$B$22)^(B303-1)/12</f>
        <v>831.029852214391</v>
      </c>
      <c r="L303" s="10" t="n">
        <f aca="false">Inputs!$B$15*(1+Inputs!$B$22)^(B303-1)</f>
        <v>0</v>
      </c>
      <c r="M303" s="10" t="n">
        <f aca="false">INDEX(Annual!$N$2:$N$51,B303)/12</f>
        <v>0</v>
      </c>
      <c r="N303" s="10" t="n">
        <f aca="false">D303+E303+G303+I303+J303+K303+L303-M303</f>
        <v>4983.08253161008</v>
      </c>
      <c r="O303" s="10" t="n">
        <f aca="false">Inputs!$B$17*(1+Inputs!$B$18)^(B303-1)+Inputs!$B$19*(1+Inputs!$B$22)^(B303-1)</f>
        <v>5938.02953534732</v>
      </c>
      <c r="P303" s="10" t="n">
        <f aca="false">N303-O303</f>
        <v>-954.947003737243</v>
      </c>
      <c r="Q303" s="10" t="n">
        <f aca="false">Q302*(1+Inputs!$B$42)-U303+MAX(P303,0)</f>
        <v>1107730.24027482</v>
      </c>
      <c r="R303" s="10" t="n">
        <f aca="false">R302+Q302*Inputs!$B$48-U303+MAX(P303,0)</f>
        <v>373665.149451832</v>
      </c>
      <c r="S303" s="10" t="n">
        <f aca="false">S302*(1+Inputs!$B$42)-V303+MAX(-P303,0)</f>
        <v>50787.6819489364</v>
      </c>
      <c r="T303" s="10" t="n">
        <f aca="false">T302+S302*Inputs!$B$48-V303+MAX(-P303,0)</f>
        <v>43580.7467685016</v>
      </c>
      <c r="U303" s="10" t="n">
        <f aca="false">Q302*Inputs!$B$48*Inputs!$B$29</f>
        <v>151.477261700729</v>
      </c>
      <c r="V303" s="10" t="n">
        <f aca="false">S302*Inputs!$B$48*Inputs!$B$29</f>
        <v>6.81440838040523</v>
      </c>
    </row>
    <row r="304" customFormat="false" ht="15" hidden="false" customHeight="false" outlineLevel="0" collapsed="false">
      <c r="A304" s="16" t="n">
        <v>303</v>
      </c>
      <c r="B304" s="16" t="n">
        <f aca="false">ROUNDUP(A304/12,0)</f>
        <v>26</v>
      </c>
      <c r="C304" s="10" t="n">
        <f aca="false">F303</f>
        <v>133479.137196398</v>
      </c>
      <c r="D304" s="10" t="n">
        <f aca="false">IF(AND(A304&lt;=Inputs!$B$9*12,C304&gt;0.000001),C304*Inputs!$B$10/12,0)</f>
        <v>809.773432324817</v>
      </c>
      <c r="E304" s="10" t="n">
        <f aca="false">IF(AND(A304&lt;=Inputs!$B$9*12,C304&gt;0.000001),MIN(C304,Inputs!$B$41-D304),0)</f>
        <v>1927.07569665589</v>
      </c>
      <c r="F304" s="10" t="n">
        <f aca="false">C304-E304</f>
        <v>131552.061499743</v>
      </c>
      <c r="G304" s="10" t="n">
        <f aca="false">IF(AND(Inputs!$B$43=1,C304&gt;0.78*Inputs!$B$7,A304&lt;=Inputs!$B$9*6),Inputs!$B$16*Inputs!$B$39/12,0)</f>
        <v>0</v>
      </c>
      <c r="H304" s="10" t="n">
        <f aca="false">IF(B304=1,Inputs!$B$7,INDEX(Annual!$AC$2:$AC$51,B304-1))</f>
        <v>1332918.16574371</v>
      </c>
      <c r="I304" s="10" t="n">
        <f aca="false">Inputs!$B$12*IF(Inputs!$B$35="",H304,MIN(H304,Inputs!$B$7*(1+Inputs!$B$35)^(B304-1)))/12</f>
        <v>999.688624307783</v>
      </c>
      <c r="J304" s="10" t="n">
        <f aca="false">Inputs!$B$13*Inputs!$B$7*(1+Inputs!$B$22)^(B304-1)/12</f>
        <v>415.514926107196</v>
      </c>
      <c r="K304" s="10" t="n">
        <f aca="false">Inputs!$B$14*Inputs!$B$7*(1+Inputs!$B$22)^(B304-1)/12</f>
        <v>831.029852214391</v>
      </c>
      <c r="L304" s="10" t="n">
        <f aca="false">Inputs!$B$15*(1+Inputs!$B$22)^(B304-1)</f>
        <v>0</v>
      </c>
      <c r="M304" s="10" t="n">
        <f aca="false">INDEX(Annual!$N$2:$N$51,B304)/12</f>
        <v>0</v>
      </c>
      <c r="N304" s="10" t="n">
        <f aca="false">D304+E304+G304+I304+J304+K304+L304-M304</f>
        <v>4983.08253161008</v>
      </c>
      <c r="O304" s="10" t="n">
        <f aca="false">Inputs!$B$17*(1+Inputs!$B$18)^(B304-1)+Inputs!$B$19*(1+Inputs!$B$22)^(B304-1)</f>
        <v>5938.02953534732</v>
      </c>
      <c r="P304" s="10" t="n">
        <f aca="false">N304-O304</f>
        <v>-954.947003737243</v>
      </c>
      <c r="Q304" s="10" t="n">
        <f aca="false">Q303*(1+Inputs!$B$42)-U304+MAX(P304,0)</f>
        <v>1113841.19519532</v>
      </c>
      <c r="R304" s="10" t="n">
        <f aca="false">R303+Q303*Inputs!$B$48-U304+MAX(P304,0)</f>
        <v>374528.255930713</v>
      </c>
      <c r="S304" s="10" t="n">
        <f aca="false">S303*(1+Inputs!$B$42)-V304+MAX(-P304,0)</f>
        <v>52022.8065840343</v>
      </c>
      <c r="T304" s="10" t="n">
        <f aca="false">T303+S303*Inputs!$B$48-V304+MAX(-P304,0)</f>
        <v>44575.2658410908</v>
      </c>
      <c r="U304" s="10" t="n">
        <f aca="false">Q303*Inputs!$B$48*Inputs!$B$29</f>
        <v>152.312908037787</v>
      </c>
      <c r="V304" s="10" t="n">
        <f aca="false">S303*Inputs!$B$48*Inputs!$B$29</f>
        <v>6.98330626797876</v>
      </c>
    </row>
    <row r="305" customFormat="false" ht="15" hidden="false" customHeight="false" outlineLevel="0" collapsed="false">
      <c r="A305" s="16" t="n">
        <v>304</v>
      </c>
      <c r="B305" s="16" t="n">
        <f aca="false">ROUNDUP(A305/12,0)</f>
        <v>26</v>
      </c>
      <c r="C305" s="10" t="n">
        <f aca="false">F304</f>
        <v>131552.061499743</v>
      </c>
      <c r="D305" s="10" t="n">
        <f aca="false">IF(AND(A305&lt;=Inputs!$B$9*12,C305&gt;0.000001),C305*Inputs!$B$10/12,0)</f>
        <v>798.082506431771</v>
      </c>
      <c r="E305" s="10" t="n">
        <f aca="false">IF(AND(A305&lt;=Inputs!$B$9*12,C305&gt;0.000001),MIN(C305,Inputs!$B$41-D305),0)</f>
        <v>1938.76662254893</v>
      </c>
      <c r="F305" s="10" t="n">
        <f aca="false">C305-E305</f>
        <v>129613.294877194</v>
      </c>
      <c r="G305" s="10" t="n">
        <f aca="false">IF(AND(Inputs!$B$43=1,C305&gt;0.78*Inputs!$B$7,A305&lt;=Inputs!$B$9*6),Inputs!$B$16*Inputs!$B$39/12,0)</f>
        <v>0</v>
      </c>
      <c r="H305" s="10" t="n">
        <f aca="false">IF(B305=1,Inputs!$B$7,INDEX(Annual!$AC$2:$AC$51,B305-1))</f>
        <v>1332918.16574371</v>
      </c>
      <c r="I305" s="10" t="n">
        <f aca="false">Inputs!$B$12*IF(Inputs!$B$35="",H305,MIN(H305,Inputs!$B$7*(1+Inputs!$B$35)^(B305-1)))/12</f>
        <v>999.688624307783</v>
      </c>
      <c r="J305" s="10" t="n">
        <f aca="false">Inputs!$B$13*Inputs!$B$7*(1+Inputs!$B$22)^(B305-1)/12</f>
        <v>415.514926107196</v>
      </c>
      <c r="K305" s="10" t="n">
        <f aca="false">Inputs!$B$14*Inputs!$B$7*(1+Inputs!$B$22)^(B305-1)/12</f>
        <v>831.029852214391</v>
      </c>
      <c r="L305" s="10" t="n">
        <f aca="false">Inputs!$B$15*(1+Inputs!$B$22)^(B305-1)</f>
        <v>0</v>
      </c>
      <c r="M305" s="10" t="n">
        <f aca="false">INDEX(Annual!$N$2:$N$51,B305)/12</f>
        <v>0</v>
      </c>
      <c r="N305" s="10" t="n">
        <f aca="false">D305+E305+G305+I305+J305+K305+L305-M305</f>
        <v>4983.08253161008</v>
      </c>
      <c r="O305" s="10" t="n">
        <f aca="false">Inputs!$B$17*(1+Inputs!$B$18)^(B305-1)+Inputs!$B$19*(1+Inputs!$B$22)^(B305-1)</f>
        <v>5938.02953534732</v>
      </c>
      <c r="P305" s="10" t="n">
        <f aca="false">N305-O305</f>
        <v>-954.947003737243</v>
      </c>
      <c r="Q305" s="10" t="n">
        <f aca="false">Q304*(1+Inputs!$B$42)-U305+MAX(P305,0)</f>
        <v>1119985.8620871</v>
      </c>
      <c r="R305" s="10" t="n">
        <f aca="false">R304+Q304*Inputs!$B$48-U305+MAX(P305,0)</f>
        <v>375396.123861969</v>
      </c>
      <c r="S305" s="10" t="n">
        <f aca="false">S304*(1+Inputs!$B$42)-V305+MAX(-P305,0)</f>
        <v>53264.7449637532</v>
      </c>
      <c r="T305" s="10" t="n">
        <f aca="false">T304+S304*Inputs!$B$48-V305+MAX(-P305,0)</f>
        <v>45570.7472816247</v>
      </c>
      <c r="U305" s="10" t="n">
        <f aca="false">Q304*Inputs!$B$48*Inputs!$B$29</f>
        <v>153.153164339356</v>
      </c>
      <c r="V305" s="10" t="n">
        <f aca="false">S304*Inputs!$B$48*Inputs!$B$29</f>
        <v>7.15313590530471</v>
      </c>
    </row>
    <row r="306" customFormat="false" ht="15" hidden="false" customHeight="false" outlineLevel="0" collapsed="false">
      <c r="A306" s="16" t="n">
        <v>305</v>
      </c>
      <c r="B306" s="16" t="n">
        <f aca="false">ROUNDUP(A306/12,0)</f>
        <v>26</v>
      </c>
      <c r="C306" s="10" t="n">
        <f aca="false">F305</f>
        <v>129613.294877194</v>
      </c>
      <c r="D306" s="10" t="n">
        <f aca="false">IF(AND(A306&lt;=Inputs!$B$9*12,C306&gt;0.000001),C306*Inputs!$B$10/12,0)</f>
        <v>786.320655588308</v>
      </c>
      <c r="E306" s="10" t="n">
        <f aca="false">IF(AND(A306&lt;=Inputs!$B$9*12,C306&gt;0.000001),MIN(C306,Inputs!$B$41-D306),0)</f>
        <v>1950.5284733924</v>
      </c>
      <c r="F306" s="10" t="n">
        <f aca="false">C306-E306</f>
        <v>127662.766403801</v>
      </c>
      <c r="G306" s="10" t="n">
        <f aca="false">IF(AND(Inputs!$B$43=1,C306&gt;0.78*Inputs!$B$7,A306&lt;=Inputs!$B$9*6),Inputs!$B$16*Inputs!$B$39/12,0)</f>
        <v>0</v>
      </c>
      <c r="H306" s="10" t="n">
        <f aca="false">IF(B306=1,Inputs!$B$7,INDEX(Annual!$AC$2:$AC$51,B306-1))</f>
        <v>1332918.16574371</v>
      </c>
      <c r="I306" s="10" t="n">
        <f aca="false">Inputs!$B$12*IF(Inputs!$B$35="",H306,MIN(H306,Inputs!$B$7*(1+Inputs!$B$35)^(B306-1)))/12</f>
        <v>999.688624307783</v>
      </c>
      <c r="J306" s="10" t="n">
        <f aca="false">Inputs!$B$13*Inputs!$B$7*(1+Inputs!$B$22)^(B306-1)/12</f>
        <v>415.514926107196</v>
      </c>
      <c r="K306" s="10" t="n">
        <f aca="false">Inputs!$B$14*Inputs!$B$7*(1+Inputs!$B$22)^(B306-1)/12</f>
        <v>831.029852214391</v>
      </c>
      <c r="L306" s="10" t="n">
        <f aca="false">Inputs!$B$15*(1+Inputs!$B$22)^(B306-1)</f>
        <v>0</v>
      </c>
      <c r="M306" s="10" t="n">
        <f aca="false">INDEX(Annual!$N$2:$N$51,B306)/12</f>
        <v>0</v>
      </c>
      <c r="N306" s="10" t="n">
        <f aca="false">D306+E306+G306+I306+J306+K306+L306-M306</f>
        <v>4983.08253161008</v>
      </c>
      <c r="O306" s="10" t="n">
        <f aca="false">Inputs!$B$17*(1+Inputs!$B$18)^(B306-1)+Inputs!$B$19*(1+Inputs!$B$22)^(B306-1)</f>
        <v>5938.02953534732</v>
      </c>
      <c r="P306" s="10" t="n">
        <f aca="false">N306-O306</f>
        <v>-954.947003737243</v>
      </c>
      <c r="Q306" s="10" t="n">
        <f aca="false">Q305*(1+Inputs!$B$42)-U306+MAX(P306,0)</f>
        <v>1126164.42692714</v>
      </c>
      <c r="R306" s="10" t="n">
        <f aca="false">R305+Q305*Inputs!$B$48-U306+MAX(P306,0)</f>
        <v>376268.779512846</v>
      </c>
      <c r="S306" s="10" t="n">
        <f aca="false">S305*(1+Inputs!$B$42)-V306+MAX(-P306,0)</f>
        <v>54513.5346771061</v>
      </c>
      <c r="T306" s="10" t="n">
        <f aca="false">T305+S305*Inputs!$B$48-V306+MAX(-P306,0)</f>
        <v>46567.1963991462</v>
      </c>
      <c r="U306" s="10" t="n">
        <f aca="false">Q305*Inputs!$B$48*Inputs!$B$29</f>
        <v>153.998056036976</v>
      </c>
      <c r="V306" s="10" t="n">
        <f aca="false">S305*Inputs!$B$48*Inputs!$B$29</f>
        <v>7.32390243251607</v>
      </c>
    </row>
    <row r="307" customFormat="false" ht="15" hidden="false" customHeight="false" outlineLevel="0" collapsed="false">
      <c r="A307" s="16" t="n">
        <v>306</v>
      </c>
      <c r="B307" s="16" t="n">
        <f aca="false">ROUNDUP(A307/12,0)</f>
        <v>26</v>
      </c>
      <c r="C307" s="10" t="n">
        <f aca="false">F306</f>
        <v>127662.766403801</v>
      </c>
      <c r="D307" s="10" t="n">
        <f aca="false">IF(AND(A307&lt;=Inputs!$B$9*12,C307&gt;0.000001),C307*Inputs!$B$10/12,0)</f>
        <v>774.487449516394</v>
      </c>
      <c r="E307" s="10" t="n">
        <f aca="false">IF(AND(A307&lt;=Inputs!$B$9*12,C307&gt;0.000001),MIN(C307,Inputs!$B$41-D307),0)</f>
        <v>1962.36167946431</v>
      </c>
      <c r="F307" s="10" t="n">
        <f aca="false">C307-E307</f>
        <v>125700.404724337</v>
      </c>
      <c r="G307" s="10" t="n">
        <f aca="false">IF(AND(Inputs!$B$43=1,C307&gt;0.78*Inputs!$B$7,A307&lt;=Inputs!$B$9*6),Inputs!$B$16*Inputs!$B$39/12,0)</f>
        <v>0</v>
      </c>
      <c r="H307" s="10" t="n">
        <f aca="false">IF(B307=1,Inputs!$B$7,INDEX(Annual!$AC$2:$AC$51,B307-1))</f>
        <v>1332918.16574371</v>
      </c>
      <c r="I307" s="10" t="n">
        <f aca="false">Inputs!$B$12*IF(Inputs!$B$35="",H307,MIN(H307,Inputs!$B$7*(1+Inputs!$B$35)^(B307-1)))/12</f>
        <v>999.688624307783</v>
      </c>
      <c r="J307" s="10" t="n">
        <f aca="false">Inputs!$B$13*Inputs!$B$7*(1+Inputs!$B$22)^(B307-1)/12</f>
        <v>415.514926107196</v>
      </c>
      <c r="K307" s="10" t="n">
        <f aca="false">Inputs!$B$14*Inputs!$B$7*(1+Inputs!$B$22)^(B307-1)/12</f>
        <v>831.029852214391</v>
      </c>
      <c r="L307" s="10" t="n">
        <f aca="false">Inputs!$B$15*(1+Inputs!$B$22)^(B307-1)</f>
        <v>0</v>
      </c>
      <c r="M307" s="10" t="n">
        <f aca="false">INDEX(Annual!$N$2:$N$51,B307)/12</f>
        <v>0</v>
      </c>
      <c r="N307" s="10" t="n">
        <f aca="false">D307+E307+G307+I307+J307+K307+L307-M307</f>
        <v>4983.08253161008</v>
      </c>
      <c r="O307" s="10" t="n">
        <f aca="false">Inputs!$B$17*(1+Inputs!$B$18)^(B307-1)+Inputs!$B$19*(1+Inputs!$B$22)^(B307-1)</f>
        <v>5938.02953534732</v>
      </c>
      <c r="P307" s="10" t="n">
        <f aca="false">N307-O307</f>
        <v>-954.947003737243</v>
      </c>
      <c r="Q307" s="10" t="n">
        <f aca="false">Q306*(1+Inputs!$B$42)-U307+MAX(P307,0)</f>
        <v>1132377.07671841</v>
      </c>
      <c r="R307" s="10" t="n">
        <f aca="false">R306+Q306*Inputs!$B$48-U307+MAX(P307,0)</f>
        <v>377146.249295493</v>
      </c>
      <c r="S307" s="10" t="n">
        <f aca="false">S306*(1+Inputs!$B$42)-V307+MAX(-P307,0)</f>
        <v>55769.2135204709</v>
      </c>
      <c r="T307" s="10" t="n">
        <f aca="false">T306+S306*Inputs!$B$48-V307+MAX(-P307,0)</f>
        <v>47564.6185319861</v>
      </c>
      <c r="U307" s="10" t="n">
        <f aca="false">Q306*Inputs!$B$48*Inputs!$B$29</f>
        <v>154.847608702481</v>
      </c>
      <c r="V307" s="10" t="n">
        <f aca="false">S306*Inputs!$B$48*Inputs!$B$29</f>
        <v>7.49561101810209</v>
      </c>
    </row>
    <row r="308" customFormat="false" ht="15" hidden="false" customHeight="false" outlineLevel="0" collapsed="false">
      <c r="A308" s="16" t="n">
        <v>307</v>
      </c>
      <c r="B308" s="16" t="n">
        <f aca="false">ROUNDUP(A308/12,0)</f>
        <v>26</v>
      </c>
      <c r="C308" s="10" t="n">
        <f aca="false">F307</f>
        <v>125700.404724337</v>
      </c>
      <c r="D308" s="10" t="n">
        <f aca="false">IF(AND(A308&lt;=Inputs!$B$9*12,C308&gt;0.000001),C308*Inputs!$B$10/12,0)</f>
        <v>762.582455327644</v>
      </c>
      <c r="E308" s="10" t="n">
        <f aca="false">IF(AND(A308&lt;=Inputs!$B$9*12,C308&gt;0.000001),MIN(C308,Inputs!$B$41-D308),0)</f>
        <v>1974.26667365306</v>
      </c>
      <c r="F308" s="10" t="n">
        <f aca="false">C308-E308</f>
        <v>123726.138050684</v>
      </c>
      <c r="G308" s="10" t="n">
        <f aca="false">IF(AND(Inputs!$B$43=1,C308&gt;0.78*Inputs!$B$7,A308&lt;=Inputs!$B$9*6),Inputs!$B$16*Inputs!$B$39/12,0)</f>
        <v>0</v>
      </c>
      <c r="H308" s="10" t="n">
        <f aca="false">IF(B308=1,Inputs!$B$7,INDEX(Annual!$AC$2:$AC$51,B308-1))</f>
        <v>1332918.16574371</v>
      </c>
      <c r="I308" s="10" t="n">
        <f aca="false">Inputs!$B$12*IF(Inputs!$B$35="",H308,MIN(H308,Inputs!$B$7*(1+Inputs!$B$35)^(B308-1)))/12</f>
        <v>999.688624307783</v>
      </c>
      <c r="J308" s="10" t="n">
        <f aca="false">Inputs!$B$13*Inputs!$B$7*(1+Inputs!$B$22)^(B308-1)/12</f>
        <v>415.514926107196</v>
      </c>
      <c r="K308" s="10" t="n">
        <f aca="false">Inputs!$B$14*Inputs!$B$7*(1+Inputs!$B$22)^(B308-1)/12</f>
        <v>831.029852214391</v>
      </c>
      <c r="L308" s="10" t="n">
        <f aca="false">Inputs!$B$15*(1+Inputs!$B$22)^(B308-1)</f>
        <v>0</v>
      </c>
      <c r="M308" s="10" t="n">
        <f aca="false">INDEX(Annual!$N$2:$N$51,B308)/12</f>
        <v>0</v>
      </c>
      <c r="N308" s="10" t="n">
        <f aca="false">D308+E308+G308+I308+J308+K308+L308-M308</f>
        <v>4983.08253161008</v>
      </c>
      <c r="O308" s="10" t="n">
        <f aca="false">Inputs!$B$17*(1+Inputs!$B$18)^(B308-1)+Inputs!$B$19*(1+Inputs!$B$22)^(B308-1)</f>
        <v>5938.02953534732</v>
      </c>
      <c r="P308" s="10" t="n">
        <f aca="false">N308-O308</f>
        <v>-954.947003737243</v>
      </c>
      <c r="Q308" s="10" t="n">
        <f aca="false">Q307*(1+Inputs!$B$42)-U308+MAX(P308,0)</f>
        <v>1138623.99949549</v>
      </c>
      <c r="R308" s="10" t="n">
        <f aca="false">R307+Q307*Inputs!$B$48-U308+MAX(P308,0)</f>
        <v>378028.559767769</v>
      </c>
      <c r="S308" s="10" t="n">
        <f aca="false">S307*(1+Inputs!$B$42)-V308+MAX(-P308,0)</f>
        <v>57031.8194987351</v>
      </c>
      <c r="T308" s="10" t="n">
        <f aca="false">T307+S307*Inputs!$B$48-V308+MAX(-P308,0)</f>
        <v>48563.0190479247</v>
      </c>
      <c r="U308" s="10" t="n">
        <f aca="false">Q307*Inputs!$B$48*Inputs!$B$29</f>
        <v>155.701848048781</v>
      </c>
      <c r="V308" s="10" t="n">
        <f aca="false">S307*Inputs!$B$48*Inputs!$B$29</f>
        <v>7.66826685906475</v>
      </c>
    </row>
    <row r="309" customFormat="false" ht="15" hidden="false" customHeight="false" outlineLevel="0" collapsed="false">
      <c r="A309" s="16" t="n">
        <v>308</v>
      </c>
      <c r="B309" s="16" t="n">
        <f aca="false">ROUNDUP(A309/12,0)</f>
        <v>26</v>
      </c>
      <c r="C309" s="10" t="n">
        <f aca="false">F308</f>
        <v>123726.138050684</v>
      </c>
      <c r="D309" s="10" t="n">
        <f aca="false">IF(AND(A309&lt;=Inputs!$B$9*12,C309&gt;0.000001),C309*Inputs!$B$10/12,0)</f>
        <v>750.605237507482</v>
      </c>
      <c r="E309" s="10" t="n">
        <f aca="false">IF(AND(A309&lt;=Inputs!$B$9*12,C309&gt;0.000001),MIN(C309,Inputs!$B$41-D309),0)</f>
        <v>1986.24389147322</v>
      </c>
      <c r="F309" s="10" t="n">
        <f aca="false">C309-E309</f>
        <v>121739.894159211</v>
      </c>
      <c r="G309" s="10" t="n">
        <f aca="false">IF(AND(Inputs!$B$43=1,C309&gt;0.78*Inputs!$B$7,A309&lt;=Inputs!$B$9*6),Inputs!$B$16*Inputs!$B$39/12,0)</f>
        <v>0</v>
      </c>
      <c r="H309" s="10" t="n">
        <f aca="false">IF(B309=1,Inputs!$B$7,INDEX(Annual!$AC$2:$AC$51,B309-1))</f>
        <v>1332918.16574371</v>
      </c>
      <c r="I309" s="10" t="n">
        <f aca="false">Inputs!$B$12*IF(Inputs!$B$35="",H309,MIN(H309,Inputs!$B$7*(1+Inputs!$B$35)^(B309-1)))/12</f>
        <v>999.688624307783</v>
      </c>
      <c r="J309" s="10" t="n">
        <f aca="false">Inputs!$B$13*Inputs!$B$7*(1+Inputs!$B$22)^(B309-1)/12</f>
        <v>415.514926107196</v>
      </c>
      <c r="K309" s="10" t="n">
        <f aca="false">Inputs!$B$14*Inputs!$B$7*(1+Inputs!$B$22)^(B309-1)/12</f>
        <v>831.029852214391</v>
      </c>
      <c r="L309" s="10" t="n">
        <f aca="false">Inputs!$B$15*(1+Inputs!$B$22)^(B309-1)</f>
        <v>0</v>
      </c>
      <c r="M309" s="10" t="n">
        <f aca="false">INDEX(Annual!$N$2:$N$51,B309)/12</f>
        <v>0</v>
      </c>
      <c r="N309" s="10" t="n">
        <f aca="false">D309+E309+G309+I309+J309+K309+L309-M309</f>
        <v>4983.08253161008</v>
      </c>
      <c r="O309" s="10" t="n">
        <f aca="false">Inputs!$B$17*(1+Inputs!$B$18)^(B309-1)+Inputs!$B$19*(1+Inputs!$B$22)^(B309-1)</f>
        <v>5938.02953534732</v>
      </c>
      <c r="P309" s="10" t="n">
        <f aca="false">N309-O309</f>
        <v>-954.947003737243</v>
      </c>
      <c r="Q309" s="10" t="n">
        <f aca="false">Q308*(1+Inputs!$B$42)-U309+MAX(P309,0)</f>
        <v>1144905.38433029</v>
      </c>
      <c r="R309" s="10" t="n">
        <f aca="false">R308+Q308*Inputs!$B$48-U309+MAX(P309,0)</f>
        <v>378915.737634043</v>
      </c>
      <c r="S309" s="10" t="n">
        <f aca="false">S308*(1+Inputs!$B$42)-V309+MAX(-P309,0)</f>
        <v>58301.3908264454</v>
      </c>
      <c r="T309" s="10" t="n">
        <f aca="false">T308+S308*Inputs!$B$48-V309+MAX(-P309,0)</f>
        <v>49562.4033443547</v>
      </c>
      <c r="U309" s="10" t="n">
        <f aca="false">Q308*Inputs!$B$48*Inputs!$B$29</f>
        <v>156.560799930629</v>
      </c>
      <c r="V309" s="10" t="n">
        <f aca="false">S308*Inputs!$B$48*Inputs!$B$29</f>
        <v>7.84187518107608</v>
      </c>
    </row>
    <row r="310" customFormat="false" ht="15" hidden="false" customHeight="false" outlineLevel="0" collapsed="false">
      <c r="A310" s="16" t="n">
        <v>309</v>
      </c>
      <c r="B310" s="16" t="n">
        <f aca="false">ROUNDUP(A310/12,0)</f>
        <v>26</v>
      </c>
      <c r="C310" s="10" t="n">
        <f aca="false">F309</f>
        <v>121739.894159211</v>
      </c>
      <c r="D310" s="10" t="n">
        <f aca="false">IF(AND(A310&lt;=Inputs!$B$9*12,C310&gt;0.000001),C310*Inputs!$B$10/12,0)</f>
        <v>738.555357899211</v>
      </c>
      <c r="E310" s="10" t="n">
        <f aca="false">IF(AND(A310&lt;=Inputs!$B$9*12,C310&gt;0.000001),MIN(C310,Inputs!$B$41-D310),0)</f>
        <v>1998.2937710815</v>
      </c>
      <c r="F310" s="10" t="n">
        <f aca="false">C310-E310</f>
        <v>119741.600388129</v>
      </c>
      <c r="G310" s="10" t="n">
        <f aca="false">IF(AND(Inputs!$B$43=1,C310&gt;0.78*Inputs!$B$7,A310&lt;=Inputs!$B$9*6),Inputs!$B$16*Inputs!$B$39/12,0)</f>
        <v>0</v>
      </c>
      <c r="H310" s="10" t="n">
        <f aca="false">IF(B310=1,Inputs!$B$7,INDEX(Annual!$AC$2:$AC$51,B310-1))</f>
        <v>1332918.16574371</v>
      </c>
      <c r="I310" s="10" t="n">
        <f aca="false">Inputs!$B$12*IF(Inputs!$B$35="",H310,MIN(H310,Inputs!$B$7*(1+Inputs!$B$35)^(B310-1)))/12</f>
        <v>999.688624307783</v>
      </c>
      <c r="J310" s="10" t="n">
        <f aca="false">Inputs!$B$13*Inputs!$B$7*(1+Inputs!$B$22)^(B310-1)/12</f>
        <v>415.514926107196</v>
      </c>
      <c r="K310" s="10" t="n">
        <f aca="false">Inputs!$B$14*Inputs!$B$7*(1+Inputs!$B$22)^(B310-1)/12</f>
        <v>831.029852214391</v>
      </c>
      <c r="L310" s="10" t="n">
        <f aca="false">Inputs!$B$15*(1+Inputs!$B$22)^(B310-1)</f>
        <v>0</v>
      </c>
      <c r="M310" s="10" t="n">
        <f aca="false">INDEX(Annual!$N$2:$N$51,B310)/12</f>
        <v>0</v>
      </c>
      <c r="N310" s="10" t="n">
        <f aca="false">D310+E310+G310+I310+J310+K310+L310-M310</f>
        <v>4983.08253161008</v>
      </c>
      <c r="O310" s="10" t="n">
        <f aca="false">Inputs!$B$17*(1+Inputs!$B$18)^(B310-1)+Inputs!$B$19*(1+Inputs!$B$22)^(B310-1)</f>
        <v>5938.02953534732</v>
      </c>
      <c r="P310" s="10" t="n">
        <f aca="false">N310-O310</f>
        <v>-954.947003737243</v>
      </c>
      <c r="Q310" s="10" t="n">
        <f aca="false">Q309*(1+Inputs!$B$42)-U310+MAX(P310,0)</f>
        <v>1151221.42133777</v>
      </c>
      <c r="R310" s="10" t="n">
        <f aca="false">R309+Q309*Inputs!$B$48-U310+MAX(P310,0)</f>
        <v>379807.809746</v>
      </c>
      <c r="S310" s="10" t="n">
        <f aca="false">S309*(1+Inputs!$B$42)-V310+MAX(-P310,0)</f>
        <v>59577.9659289646</v>
      </c>
      <c r="T310" s="10" t="n">
        <f aca="false">T309+S309*Inputs!$B$48-V310+MAX(-P310,0)</f>
        <v>50562.7768484442</v>
      </c>
      <c r="U310" s="10" t="n">
        <f aca="false">Q309*Inputs!$B$48*Inputs!$B$29</f>
        <v>157.424490345415</v>
      </c>
      <c r="V310" s="10" t="n">
        <f aca="false">S309*Inputs!$B$48*Inputs!$B$29</f>
        <v>8.01644123863624</v>
      </c>
    </row>
    <row r="311" customFormat="false" ht="15" hidden="false" customHeight="false" outlineLevel="0" collapsed="false">
      <c r="A311" s="16" t="n">
        <v>310</v>
      </c>
      <c r="B311" s="16" t="n">
        <f aca="false">ROUNDUP(A311/12,0)</f>
        <v>26</v>
      </c>
      <c r="C311" s="10" t="n">
        <f aca="false">F310</f>
        <v>119741.600388129</v>
      </c>
      <c r="D311" s="10" t="n">
        <f aca="false">IF(AND(A311&lt;=Inputs!$B$9*12,C311&gt;0.000001),C311*Inputs!$B$10/12,0)</f>
        <v>726.432375687983</v>
      </c>
      <c r="E311" s="10" t="n">
        <f aca="false">IF(AND(A311&lt;=Inputs!$B$9*12,C311&gt;0.000001),MIN(C311,Inputs!$B$41-D311),0)</f>
        <v>2010.41675329272</v>
      </c>
      <c r="F311" s="10" t="n">
        <f aca="false">C311-E311</f>
        <v>117731.183634836</v>
      </c>
      <c r="G311" s="10" t="n">
        <f aca="false">IF(AND(Inputs!$B$43=1,C311&gt;0.78*Inputs!$B$7,A311&lt;=Inputs!$B$9*6),Inputs!$B$16*Inputs!$B$39/12,0)</f>
        <v>0</v>
      </c>
      <c r="H311" s="10" t="n">
        <f aca="false">IF(B311=1,Inputs!$B$7,INDEX(Annual!$AC$2:$AC$51,B311-1))</f>
        <v>1332918.16574371</v>
      </c>
      <c r="I311" s="10" t="n">
        <f aca="false">Inputs!$B$12*IF(Inputs!$B$35="",H311,MIN(H311,Inputs!$B$7*(1+Inputs!$B$35)^(B311-1)))/12</f>
        <v>999.688624307783</v>
      </c>
      <c r="J311" s="10" t="n">
        <f aca="false">Inputs!$B$13*Inputs!$B$7*(1+Inputs!$B$22)^(B311-1)/12</f>
        <v>415.514926107196</v>
      </c>
      <c r="K311" s="10" t="n">
        <f aca="false">Inputs!$B$14*Inputs!$B$7*(1+Inputs!$B$22)^(B311-1)/12</f>
        <v>831.029852214391</v>
      </c>
      <c r="L311" s="10" t="n">
        <f aca="false">Inputs!$B$15*(1+Inputs!$B$22)^(B311-1)</f>
        <v>0</v>
      </c>
      <c r="M311" s="10" t="n">
        <f aca="false">INDEX(Annual!$N$2:$N$51,B311)/12</f>
        <v>0</v>
      </c>
      <c r="N311" s="10" t="n">
        <f aca="false">D311+E311+G311+I311+J311+K311+L311-M311</f>
        <v>4983.08253161008</v>
      </c>
      <c r="O311" s="10" t="n">
        <f aca="false">Inputs!$B$17*(1+Inputs!$B$18)^(B311-1)+Inputs!$B$19*(1+Inputs!$B$22)^(B311-1)</f>
        <v>5938.02953534732</v>
      </c>
      <c r="P311" s="10" t="n">
        <f aca="false">N311-O311</f>
        <v>-954.947003737243</v>
      </c>
      <c r="Q311" s="10" t="n">
        <f aca="false">Q310*(1+Inputs!$B$42)-U311+MAX(P311,0)</f>
        <v>1157572.30168168</v>
      </c>
      <c r="R311" s="10" t="n">
        <f aca="false">R310+Q310*Inputs!$B$48-U311+MAX(P311,0)</f>
        <v>380704.803103459</v>
      </c>
      <c r="S311" s="10" t="n">
        <f aca="false">S310*(1+Inputs!$B$42)-V311+MAX(-P311,0)</f>
        <v>60861.5834436349</v>
      </c>
      <c r="T311" s="10" t="n">
        <f aca="false">T310+S310*Inputs!$B$48-V311+MAX(-P311,0)</f>
        <v>51564.1450173011</v>
      </c>
      <c r="U311" s="10" t="n">
        <f aca="false">Q310*Inputs!$B$48*Inputs!$B$29</f>
        <v>158.292945433944</v>
      </c>
      <c r="V311" s="10" t="n">
        <f aca="false">S310*Inputs!$B$48*Inputs!$B$29</f>
        <v>8.19197031523264</v>
      </c>
    </row>
    <row r="312" customFormat="false" ht="15" hidden="false" customHeight="false" outlineLevel="0" collapsed="false">
      <c r="A312" s="16" t="n">
        <v>311</v>
      </c>
      <c r="B312" s="16" t="n">
        <f aca="false">ROUNDUP(A312/12,0)</f>
        <v>26</v>
      </c>
      <c r="C312" s="10" t="n">
        <f aca="false">F311</f>
        <v>117731.183634836</v>
      </c>
      <c r="D312" s="10" t="n">
        <f aca="false">IF(AND(A312&lt;=Inputs!$B$9*12,C312&gt;0.000001),C312*Inputs!$B$10/12,0)</f>
        <v>714.235847384674</v>
      </c>
      <c r="E312" s="10" t="n">
        <f aca="false">IF(AND(A312&lt;=Inputs!$B$9*12,C312&gt;0.000001),MIN(C312,Inputs!$B$41-D312),0)</f>
        <v>2022.61328159603</v>
      </c>
      <c r="F312" s="10" t="n">
        <f aca="false">C312-E312</f>
        <v>115708.57035324</v>
      </c>
      <c r="G312" s="10" t="n">
        <f aca="false">IF(AND(Inputs!$B$43=1,C312&gt;0.78*Inputs!$B$7,A312&lt;=Inputs!$B$9*6),Inputs!$B$16*Inputs!$B$39/12,0)</f>
        <v>0</v>
      </c>
      <c r="H312" s="10" t="n">
        <f aca="false">IF(B312=1,Inputs!$B$7,INDEX(Annual!$AC$2:$AC$51,B312-1))</f>
        <v>1332918.16574371</v>
      </c>
      <c r="I312" s="10" t="n">
        <f aca="false">Inputs!$B$12*IF(Inputs!$B$35="",H312,MIN(H312,Inputs!$B$7*(1+Inputs!$B$35)^(B312-1)))/12</f>
        <v>999.688624307783</v>
      </c>
      <c r="J312" s="10" t="n">
        <f aca="false">Inputs!$B$13*Inputs!$B$7*(1+Inputs!$B$22)^(B312-1)/12</f>
        <v>415.514926107196</v>
      </c>
      <c r="K312" s="10" t="n">
        <f aca="false">Inputs!$B$14*Inputs!$B$7*(1+Inputs!$B$22)^(B312-1)/12</f>
        <v>831.029852214391</v>
      </c>
      <c r="L312" s="10" t="n">
        <f aca="false">Inputs!$B$15*(1+Inputs!$B$22)^(B312-1)</f>
        <v>0</v>
      </c>
      <c r="M312" s="10" t="n">
        <f aca="false">INDEX(Annual!$N$2:$N$51,B312)/12</f>
        <v>0</v>
      </c>
      <c r="N312" s="10" t="n">
        <f aca="false">D312+E312+G312+I312+J312+K312+L312-M312</f>
        <v>4983.08253161008</v>
      </c>
      <c r="O312" s="10" t="n">
        <f aca="false">Inputs!$B$17*(1+Inputs!$B$18)^(B312-1)+Inputs!$B$19*(1+Inputs!$B$22)^(B312-1)</f>
        <v>5938.02953534732</v>
      </c>
      <c r="P312" s="10" t="n">
        <f aca="false">N312-O312</f>
        <v>-954.947003737243</v>
      </c>
      <c r="Q312" s="10" t="n">
        <f aca="false">Q311*(1+Inputs!$B$42)-U312+MAX(P312,0)</f>
        <v>1163958.21758034</v>
      </c>
      <c r="R312" s="10" t="n">
        <f aca="false">R311+Q311*Inputs!$B$48-U312+MAX(P312,0)</f>
        <v>381606.744855186</v>
      </c>
      <c r="S312" s="10" t="n">
        <f aca="false">S311*(1+Inputs!$B$42)-V312+MAX(-P312,0)</f>
        <v>62152.2822209467</v>
      </c>
      <c r="T312" s="10" t="n">
        <f aca="false">T311+S311*Inputs!$B$48-V312+MAX(-P312,0)</f>
        <v>52566.5133381382</v>
      </c>
      <c r="U312" s="10" t="n">
        <f aca="false">Q311*Inputs!$B$48*Inputs!$B$29</f>
        <v>159.166191481231</v>
      </c>
      <c r="V312" s="10" t="n">
        <f aca="false">S311*Inputs!$B$48*Inputs!$B$29</f>
        <v>8.3684677234998</v>
      </c>
    </row>
    <row r="313" customFormat="false" ht="15" hidden="false" customHeight="false" outlineLevel="0" collapsed="false">
      <c r="A313" s="16" t="n">
        <v>312</v>
      </c>
      <c r="B313" s="16" t="n">
        <f aca="false">ROUNDUP(A313/12,0)</f>
        <v>26</v>
      </c>
      <c r="C313" s="10" t="n">
        <f aca="false">F312</f>
        <v>115708.57035324</v>
      </c>
      <c r="D313" s="10" t="n">
        <f aca="false">IF(AND(A313&lt;=Inputs!$B$9*12,C313&gt;0.000001),C313*Inputs!$B$10/12,0)</f>
        <v>701.965326809658</v>
      </c>
      <c r="E313" s="10" t="n">
        <f aca="false">IF(AND(A313&lt;=Inputs!$B$9*12,C313&gt;0.000001),MIN(C313,Inputs!$B$41-D313),0)</f>
        <v>2034.88380217105</v>
      </c>
      <c r="F313" s="10" t="n">
        <f aca="false">C313-E313</f>
        <v>113673.686551069</v>
      </c>
      <c r="G313" s="10" t="n">
        <f aca="false">IF(AND(Inputs!$B$43=1,C313&gt;0.78*Inputs!$B$7,A313&lt;=Inputs!$B$9*6),Inputs!$B$16*Inputs!$B$39/12,0)</f>
        <v>0</v>
      </c>
      <c r="H313" s="10" t="n">
        <f aca="false">IF(B313=1,Inputs!$B$7,INDEX(Annual!$AC$2:$AC$51,B313-1))</f>
        <v>1332918.16574371</v>
      </c>
      <c r="I313" s="10" t="n">
        <f aca="false">Inputs!$B$12*IF(Inputs!$B$35="",H313,MIN(H313,Inputs!$B$7*(1+Inputs!$B$35)^(B313-1)))/12</f>
        <v>999.688624307783</v>
      </c>
      <c r="J313" s="10" t="n">
        <f aca="false">Inputs!$B$13*Inputs!$B$7*(1+Inputs!$B$22)^(B313-1)/12</f>
        <v>415.514926107196</v>
      </c>
      <c r="K313" s="10" t="n">
        <f aca="false">Inputs!$B$14*Inputs!$B$7*(1+Inputs!$B$22)^(B313-1)/12</f>
        <v>831.029852214391</v>
      </c>
      <c r="L313" s="10" t="n">
        <f aca="false">Inputs!$B$15*(1+Inputs!$B$22)^(B313-1)</f>
        <v>0</v>
      </c>
      <c r="M313" s="10" t="n">
        <f aca="false">INDEX(Annual!$N$2:$N$51,B313)/12</f>
        <v>0</v>
      </c>
      <c r="N313" s="10" t="n">
        <f aca="false">D313+E313+G313+I313+J313+K313+L313-M313</f>
        <v>4983.08253161008</v>
      </c>
      <c r="O313" s="10" t="n">
        <f aca="false">Inputs!$B$17*(1+Inputs!$B$18)^(B313-1)+Inputs!$B$19*(1+Inputs!$B$22)^(B313-1)</f>
        <v>5938.02953534732</v>
      </c>
      <c r="P313" s="10" t="n">
        <f aca="false">N313-O313</f>
        <v>-954.947003737243</v>
      </c>
      <c r="Q313" s="10" t="n">
        <f aca="false">Q312*(1+Inputs!$B$42)-U313+MAX(P313,0)</f>
        <v>1170379.36231249</v>
      </c>
      <c r="R313" s="10" t="n">
        <f aca="false">R312+Q312*Inputs!$B$48-U313+MAX(P313,0)</f>
        <v>382513.662299718</v>
      </c>
      <c r="S313" s="10" t="n">
        <f aca="false">S312*(1+Inputs!$B$42)-V313+MAX(-P313,0)</f>
        <v>63450.1013257148</v>
      </c>
      <c r="T313" s="10" t="n">
        <f aca="false">T312+S312*Inputs!$B$48-V313+MAX(-P313,0)</f>
        <v>53569.8873284393</v>
      </c>
      <c r="U313" s="10" t="n">
        <f aca="false">Q312*Inputs!$B$48*Inputs!$B$29</f>
        <v>160.044254917297</v>
      </c>
      <c r="V313" s="10" t="n">
        <f aca="false">S312*Inputs!$B$48*Inputs!$B$29</f>
        <v>8.54593880538017</v>
      </c>
    </row>
    <row r="314" customFormat="false" ht="15" hidden="false" customHeight="false" outlineLevel="0" collapsed="false">
      <c r="A314" s="16" t="n">
        <v>313</v>
      </c>
      <c r="B314" s="16" t="n">
        <f aca="false">ROUNDUP(A314/12,0)</f>
        <v>27</v>
      </c>
      <c r="C314" s="10" t="n">
        <f aca="false">F313</f>
        <v>113673.686551069</v>
      </c>
      <c r="D314" s="10" t="n">
        <f aca="false">IF(AND(A314&lt;=Inputs!$B$9*12,C314&gt;0.000001),C314*Inputs!$B$10/12,0)</f>
        <v>689.620365076487</v>
      </c>
      <c r="E314" s="10" t="n">
        <f aca="false">IF(AND(A314&lt;=Inputs!$B$9*12,C314&gt;0.000001),MIN(C314,Inputs!$B$41-D314),0)</f>
        <v>2047.22876390422</v>
      </c>
      <c r="F314" s="10" t="n">
        <f aca="false">C314-E314</f>
        <v>111626.457787165</v>
      </c>
      <c r="G314" s="10" t="n">
        <f aca="false">IF(AND(Inputs!$B$43=1,C314&gt;0.78*Inputs!$B$7,A314&lt;=Inputs!$B$9*6),Inputs!$B$16*Inputs!$B$39/12,0)</f>
        <v>0</v>
      </c>
      <c r="H314" s="10" t="n">
        <f aca="false">IF(B314=1,Inputs!$B$7,INDEX(Annual!$AC$2:$AC$51,B314-1))</f>
        <v>1386234.89237346</v>
      </c>
      <c r="I314" s="10" t="n">
        <f aca="false">Inputs!$B$12*IF(Inputs!$B$35="",H314,MIN(H314,Inputs!$B$7*(1+Inputs!$B$35)^(B314-1)))/12</f>
        <v>1039.67616928009</v>
      </c>
      <c r="J314" s="10" t="n">
        <f aca="false">Inputs!$B$13*Inputs!$B$7*(1+Inputs!$B$22)^(B314-1)/12</f>
        <v>427.149344038197</v>
      </c>
      <c r="K314" s="10" t="n">
        <f aca="false">Inputs!$B$14*Inputs!$B$7*(1+Inputs!$B$22)^(B314-1)/12</f>
        <v>854.298688076394</v>
      </c>
      <c r="L314" s="10" t="n">
        <f aca="false">Inputs!$B$15*(1+Inputs!$B$22)^(B314-1)</f>
        <v>0</v>
      </c>
      <c r="M314" s="10" t="n">
        <f aca="false">INDEX(Annual!$N$2:$N$51,B314)/12</f>
        <v>0</v>
      </c>
      <c r="N314" s="10" t="n">
        <f aca="false">D314+E314+G314+I314+J314+K314+L314-M314</f>
        <v>5057.97333037539</v>
      </c>
      <c r="O314" s="10" t="n">
        <f aca="false">Inputs!$B$17*(1+Inputs!$B$18)^(B314-1)+Inputs!$B$19*(1+Inputs!$B$22)^(B314-1)</f>
        <v>6145.65114956172</v>
      </c>
      <c r="P314" s="10" t="n">
        <f aca="false">N314-O314</f>
        <v>-1087.67781918633</v>
      </c>
      <c r="Q314" s="10" t="n">
        <f aca="false">Q313*(1+Inputs!$B$42)-U314+MAX(P314,0)</f>
        <v>1176835.9302231</v>
      </c>
      <c r="R314" s="10" t="n">
        <f aca="false">R313+Q313*Inputs!$B$48-U314+MAX(P314,0)</f>
        <v>383425.582886186</v>
      </c>
      <c r="S314" s="10" t="n">
        <f aca="false">S313*(1+Inputs!$B$42)-V314+MAX(-P314,0)</f>
        <v>64887.81085371</v>
      </c>
      <c r="T314" s="10" t="n">
        <f aca="false">T313+S313*Inputs!$B$48-V314+MAX(-P314,0)</f>
        <v>54707.0033515752</v>
      </c>
      <c r="U314" s="10" t="n">
        <f aca="false">Q313*Inputs!$B$48*Inputs!$B$29</f>
        <v>160.927162317967</v>
      </c>
      <c r="V314" s="10" t="n">
        <f aca="false">S313*Inputs!$B$48*Inputs!$B$29</f>
        <v>8.72438893228578</v>
      </c>
    </row>
    <row r="315" customFormat="false" ht="15" hidden="false" customHeight="false" outlineLevel="0" collapsed="false">
      <c r="A315" s="16" t="n">
        <v>314</v>
      </c>
      <c r="B315" s="16" t="n">
        <f aca="false">ROUNDUP(A315/12,0)</f>
        <v>27</v>
      </c>
      <c r="C315" s="10" t="n">
        <f aca="false">F314</f>
        <v>111626.457787165</v>
      </c>
      <c r="D315" s="10" t="n">
        <f aca="false">IF(AND(A315&lt;=Inputs!$B$9*12,C315&gt;0.000001),C315*Inputs!$B$10/12,0)</f>
        <v>677.200510575468</v>
      </c>
      <c r="E315" s="10" t="n">
        <f aca="false">IF(AND(A315&lt;=Inputs!$B$9*12,C315&gt;0.000001),MIN(C315,Inputs!$B$41-D315),0)</f>
        <v>2059.64861840524</v>
      </c>
      <c r="F315" s="10" t="n">
        <f aca="false">C315-E315</f>
        <v>109566.80916876</v>
      </c>
      <c r="G315" s="10" t="n">
        <f aca="false">IF(AND(Inputs!$B$43=1,C315&gt;0.78*Inputs!$B$7,A315&lt;=Inputs!$B$9*6),Inputs!$B$16*Inputs!$B$39/12,0)</f>
        <v>0</v>
      </c>
      <c r="H315" s="10" t="n">
        <f aca="false">IF(B315=1,Inputs!$B$7,INDEX(Annual!$AC$2:$AC$51,B315-1))</f>
        <v>1386234.89237346</v>
      </c>
      <c r="I315" s="10" t="n">
        <f aca="false">Inputs!$B$12*IF(Inputs!$B$35="",H315,MIN(H315,Inputs!$B$7*(1+Inputs!$B$35)^(B315-1)))/12</f>
        <v>1039.67616928009</v>
      </c>
      <c r="J315" s="10" t="n">
        <f aca="false">Inputs!$B$13*Inputs!$B$7*(1+Inputs!$B$22)^(B315-1)/12</f>
        <v>427.149344038197</v>
      </c>
      <c r="K315" s="10" t="n">
        <f aca="false">Inputs!$B$14*Inputs!$B$7*(1+Inputs!$B$22)^(B315-1)/12</f>
        <v>854.298688076394</v>
      </c>
      <c r="L315" s="10" t="n">
        <f aca="false">Inputs!$B$15*(1+Inputs!$B$22)^(B315-1)</f>
        <v>0</v>
      </c>
      <c r="M315" s="10" t="n">
        <f aca="false">INDEX(Annual!$N$2:$N$51,B315)/12</f>
        <v>0</v>
      </c>
      <c r="N315" s="10" t="n">
        <f aca="false">D315+E315+G315+I315+J315+K315+L315-M315</f>
        <v>5057.97333037539</v>
      </c>
      <c r="O315" s="10" t="n">
        <f aca="false">Inputs!$B$17*(1+Inputs!$B$18)^(B315-1)+Inputs!$B$19*(1+Inputs!$B$22)^(B315-1)</f>
        <v>6145.65114956172</v>
      </c>
      <c r="P315" s="10" t="n">
        <f aca="false">N315-O315</f>
        <v>-1087.67781918633</v>
      </c>
      <c r="Q315" s="10" t="n">
        <f aca="false">Q314*(1+Inputs!$B$42)-U315+MAX(P315,0)</f>
        <v>1183328.1167293</v>
      </c>
      <c r="R315" s="10" t="n">
        <f aca="false">R314+Q314*Inputs!$B$48-U315+MAX(P315,0)</f>
        <v>384342.534215152</v>
      </c>
      <c r="S315" s="10" t="n">
        <f aca="false">S314*(1+Inputs!$B$42)-V315+MAX(-P315,0)</f>
        <v>66333.4517153413</v>
      </c>
      <c r="T315" s="10" t="n">
        <f aca="false">T314+S314*Inputs!$B$48-V315+MAX(-P315,0)</f>
        <v>55845.2395900517</v>
      </c>
      <c r="U315" s="10" t="n">
        <f aca="false">Q314*Inputs!$B$48*Inputs!$B$29</f>
        <v>161.814940405677</v>
      </c>
      <c r="V315" s="10" t="n">
        <f aca="false">S314*Inputs!$B$48*Inputs!$B$29</f>
        <v>8.92207399238513</v>
      </c>
    </row>
    <row r="316" customFormat="false" ht="15" hidden="false" customHeight="false" outlineLevel="0" collapsed="false">
      <c r="A316" s="16" t="n">
        <v>315</v>
      </c>
      <c r="B316" s="16" t="n">
        <f aca="false">ROUNDUP(A316/12,0)</f>
        <v>27</v>
      </c>
      <c r="C316" s="10" t="n">
        <f aca="false">F315</f>
        <v>109566.80916876</v>
      </c>
      <c r="D316" s="10" t="n">
        <f aca="false">IF(AND(A316&lt;=Inputs!$B$9*12,C316&gt;0.000001),C316*Inputs!$B$10/12,0)</f>
        <v>664.705308957143</v>
      </c>
      <c r="E316" s="10" t="n">
        <f aca="false">IF(AND(A316&lt;=Inputs!$B$9*12,C316&gt;0.000001),MIN(C316,Inputs!$B$41-D316),0)</f>
        <v>2072.14382002356</v>
      </c>
      <c r="F316" s="10" t="n">
        <f aca="false">C316-E316</f>
        <v>107494.665348736</v>
      </c>
      <c r="G316" s="10" t="n">
        <f aca="false">IF(AND(Inputs!$B$43=1,C316&gt;0.78*Inputs!$B$7,A316&lt;=Inputs!$B$9*6),Inputs!$B$16*Inputs!$B$39/12,0)</f>
        <v>0</v>
      </c>
      <c r="H316" s="10" t="n">
        <f aca="false">IF(B316=1,Inputs!$B$7,INDEX(Annual!$AC$2:$AC$51,B316-1))</f>
        <v>1386234.89237346</v>
      </c>
      <c r="I316" s="10" t="n">
        <f aca="false">Inputs!$B$12*IF(Inputs!$B$35="",H316,MIN(H316,Inputs!$B$7*(1+Inputs!$B$35)^(B316-1)))/12</f>
        <v>1039.67616928009</v>
      </c>
      <c r="J316" s="10" t="n">
        <f aca="false">Inputs!$B$13*Inputs!$B$7*(1+Inputs!$B$22)^(B316-1)/12</f>
        <v>427.149344038197</v>
      </c>
      <c r="K316" s="10" t="n">
        <f aca="false">Inputs!$B$14*Inputs!$B$7*(1+Inputs!$B$22)^(B316-1)/12</f>
        <v>854.298688076394</v>
      </c>
      <c r="L316" s="10" t="n">
        <f aca="false">Inputs!$B$15*(1+Inputs!$B$22)^(B316-1)</f>
        <v>0</v>
      </c>
      <c r="M316" s="10" t="n">
        <f aca="false">INDEX(Annual!$N$2:$N$51,B316)/12</f>
        <v>0</v>
      </c>
      <c r="N316" s="10" t="n">
        <f aca="false">D316+E316+G316+I316+J316+K316+L316-M316</f>
        <v>5057.97333037539</v>
      </c>
      <c r="O316" s="10" t="n">
        <f aca="false">Inputs!$B$17*(1+Inputs!$B$18)^(B316-1)+Inputs!$B$19*(1+Inputs!$B$22)^(B316-1)</f>
        <v>6145.65114956172</v>
      </c>
      <c r="P316" s="10" t="n">
        <f aca="false">N316-O316</f>
        <v>-1087.67781918633</v>
      </c>
      <c r="Q316" s="10" t="n">
        <f aca="false">Q315*(1+Inputs!$B$42)-U316+MAX(P316,0)</f>
        <v>1189856.11832624</v>
      </c>
      <c r="R316" s="10" t="n">
        <f aca="false">R315+Q315*Inputs!$B$48-U316+MAX(P316,0)</f>
        <v>385264.544039437</v>
      </c>
      <c r="S316" s="10" t="n">
        <f aca="false">S315*(1+Inputs!$B$42)-V316+MAX(-P316,0)</f>
        <v>67787.0676649637</v>
      </c>
      <c r="T316" s="10" t="n">
        <f aca="false">T315+S315*Inputs!$B$48-V316+MAX(-P316,0)</f>
        <v>56984.6022236996</v>
      </c>
      <c r="U316" s="10" t="n">
        <f aca="false">Q315*Inputs!$B$48*Inputs!$B$29</f>
        <v>162.707616050279</v>
      </c>
      <c r="V316" s="10" t="n">
        <f aca="false">S315*Inputs!$B$48*Inputs!$B$29</f>
        <v>9.12084961085943</v>
      </c>
    </row>
    <row r="317" customFormat="false" ht="15" hidden="false" customHeight="false" outlineLevel="0" collapsed="false">
      <c r="A317" s="16" t="n">
        <v>316</v>
      </c>
      <c r="B317" s="16" t="n">
        <f aca="false">ROUNDUP(A317/12,0)</f>
        <v>27</v>
      </c>
      <c r="C317" s="10" t="n">
        <f aca="false">F316</f>
        <v>107494.665348736</v>
      </c>
      <c r="D317" s="10" t="n">
        <f aca="false">IF(AND(A317&lt;=Inputs!$B$9*12,C317&gt;0.000001),C317*Inputs!$B$10/12,0)</f>
        <v>652.134303115667</v>
      </c>
      <c r="E317" s="10" t="n">
        <f aca="false">IF(AND(A317&lt;=Inputs!$B$9*12,C317&gt;0.000001),MIN(C317,Inputs!$B$41-D317),0)</f>
        <v>2084.71482586504</v>
      </c>
      <c r="F317" s="10" t="n">
        <f aca="false">C317-E317</f>
        <v>105409.950522871</v>
      </c>
      <c r="G317" s="10" t="n">
        <f aca="false">IF(AND(Inputs!$B$43=1,C317&gt;0.78*Inputs!$B$7,A317&lt;=Inputs!$B$9*6),Inputs!$B$16*Inputs!$B$39/12,0)</f>
        <v>0</v>
      </c>
      <c r="H317" s="10" t="n">
        <f aca="false">IF(B317=1,Inputs!$B$7,INDEX(Annual!$AC$2:$AC$51,B317-1))</f>
        <v>1386234.89237346</v>
      </c>
      <c r="I317" s="10" t="n">
        <f aca="false">Inputs!$B$12*IF(Inputs!$B$35="",H317,MIN(H317,Inputs!$B$7*(1+Inputs!$B$35)^(B317-1)))/12</f>
        <v>1039.67616928009</v>
      </c>
      <c r="J317" s="10" t="n">
        <f aca="false">Inputs!$B$13*Inputs!$B$7*(1+Inputs!$B$22)^(B317-1)/12</f>
        <v>427.149344038197</v>
      </c>
      <c r="K317" s="10" t="n">
        <f aca="false">Inputs!$B$14*Inputs!$B$7*(1+Inputs!$B$22)^(B317-1)/12</f>
        <v>854.298688076394</v>
      </c>
      <c r="L317" s="10" t="n">
        <f aca="false">Inputs!$B$15*(1+Inputs!$B$22)^(B317-1)</f>
        <v>0</v>
      </c>
      <c r="M317" s="10" t="n">
        <f aca="false">INDEX(Annual!$N$2:$N$51,B317)/12</f>
        <v>0</v>
      </c>
      <c r="N317" s="10" t="n">
        <f aca="false">D317+E317+G317+I317+J317+K317+L317-M317</f>
        <v>5057.97333037539</v>
      </c>
      <c r="O317" s="10" t="n">
        <f aca="false">Inputs!$B$17*(1+Inputs!$B$18)^(B317-1)+Inputs!$B$19*(1+Inputs!$B$22)^(B317-1)</f>
        <v>6145.65114956172</v>
      </c>
      <c r="P317" s="10" t="n">
        <f aca="false">N317-O317</f>
        <v>-1087.67781918633</v>
      </c>
      <c r="Q317" s="10" t="n">
        <f aca="false">Q316*(1+Inputs!$B$42)-U317+MAX(P317,0)</f>
        <v>1196420.13259308</v>
      </c>
      <c r="R317" s="10" t="n">
        <f aca="false">R316+Q316*Inputs!$B$48-U317+MAX(P317,0)</f>
        <v>386191.640264966</v>
      </c>
      <c r="S317" s="10" t="n">
        <f aca="false">S316*(1+Inputs!$B$42)-V317+MAX(-P317,0)</f>
        <v>69248.7026983097</v>
      </c>
      <c r="T317" s="10" t="n">
        <f aca="false">T316+S316*Inputs!$B$48-V317+MAX(-P317,0)</f>
        <v>58125.0974664415</v>
      </c>
      <c r="U317" s="10" t="n">
        <f aca="false">Q316*Inputs!$B$48*Inputs!$B$29</f>
        <v>163.605216269858</v>
      </c>
      <c r="V317" s="10" t="n">
        <f aca="false">S316*Inputs!$B$48*Inputs!$B$29</f>
        <v>9.32072180393251</v>
      </c>
    </row>
    <row r="318" customFormat="false" ht="15" hidden="false" customHeight="false" outlineLevel="0" collapsed="false">
      <c r="A318" s="16" t="n">
        <v>317</v>
      </c>
      <c r="B318" s="16" t="n">
        <f aca="false">ROUNDUP(A318/12,0)</f>
        <v>27</v>
      </c>
      <c r="C318" s="10" t="n">
        <f aca="false">F317</f>
        <v>105409.950522871</v>
      </c>
      <c r="D318" s="10" t="n">
        <f aca="false">IF(AND(A318&lt;=Inputs!$B$9*12,C318&gt;0.000001),C318*Inputs!$B$10/12,0)</f>
        <v>639.487033172086</v>
      </c>
      <c r="E318" s="10" t="n">
        <f aca="false">IF(AND(A318&lt;=Inputs!$B$9*12,C318&gt;0.000001),MIN(C318,Inputs!$B$41-D318),0)</f>
        <v>2097.36209580862</v>
      </c>
      <c r="F318" s="10" t="n">
        <f aca="false">C318-E318</f>
        <v>103312.588427063</v>
      </c>
      <c r="G318" s="10" t="n">
        <f aca="false">IF(AND(Inputs!$B$43=1,C318&gt;0.78*Inputs!$B$7,A318&lt;=Inputs!$B$9*6),Inputs!$B$16*Inputs!$B$39/12,0)</f>
        <v>0</v>
      </c>
      <c r="H318" s="10" t="n">
        <f aca="false">IF(B318=1,Inputs!$B$7,INDEX(Annual!$AC$2:$AC$51,B318-1))</f>
        <v>1386234.89237346</v>
      </c>
      <c r="I318" s="10" t="n">
        <f aca="false">Inputs!$B$12*IF(Inputs!$B$35="",H318,MIN(H318,Inputs!$B$7*(1+Inputs!$B$35)^(B318-1)))/12</f>
        <v>1039.67616928009</v>
      </c>
      <c r="J318" s="10" t="n">
        <f aca="false">Inputs!$B$13*Inputs!$B$7*(1+Inputs!$B$22)^(B318-1)/12</f>
        <v>427.149344038197</v>
      </c>
      <c r="K318" s="10" t="n">
        <f aca="false">Inputs!$B$14*Inputs!$B$7*(1+Inputs!$B$22)^(B318-1)/12</f>
        <v>854.298688076394</v>
      </c>
      <c r="L318" s="10" t="n">
        <f aca="false">Inputs!$B$15*(1+Inputs!$B$22)^(B318-1)</f>
        <v>0</v>
      </c>
      <c r="M318" s="10" t="n">
        <f aca="false">INDEX(Annual!$N$2:$N$51,B318)/12</f>
        <v>0</v>
      </c>
      <c r="N318" s="10" t="n">
        <f aca="false">D318+E318+G318+I318+J318+K318+L318-M318</f>
        <v>5057.97333037539</v>
      </c>
      <c r="O318" s="10" t="n">
        <f aca="false">Inputs!$B$17*(1+Inputs!$B$18)^(B318-1)+Inputs!$B$19*(1+Inputs!$B$22)^(B318-1)</f>
        <v>6145.65114956172</v>
      </c>
      <c r="P318" s="10" t="n">
        <f aca="false">N318-O318</f>
        <v>-1087.67781918633</v>
      </c>
      <c r="Q318" s="10" t="n">
        <f aca="false">Q317*(1+Inputs!$B$42)-U318+MAX(P318,0)</f>
        <v>1203020.35819895</v>
      </c>
      <c r="R318" s="10" t="n">
        <f aca="false">R317+Q317*Inputs!$B$48-U318+MAX(P318,0)</f>
        <v>387123.850951611</v>
      </c>
      <c r="S318" s="10" t="n">
        <f aca="false">S317*(1+Inputs!$B$42)-V318+MAX(-P318,0)</f>
        <v>70718.4010538205</v>
      </c>
      <c r="T318" s="10" t="n">
        <f aca="false">T317+S317*Inputs!$B$48-V318+MAX(-P318,0)</f>
        <v>59266.7315664803</v>
      </c>
      <c r="U318" s="10" t="n">
        <f aca="false">Q317*Inputs!$B$48*Inputs!$B$29</f>
        <v>164.507768231549</v>
      </c>
      <c r="V318" s="10" t="n">
        <f aca="false">S317*Inputs!$B$48*Inputs!$B$29</f>
        <v>9.52169662101759</v>
      </c>
    </row>
    <row r="319" customFormat="false" ht="15" hidden="false" customHeight="false" outlineLevel="0" collapsed="false">
      <c r="A319" s="16" t="n">
        <v>318</v>
      </c>
      <c r="B319" s="16" t="n">
        <f aca="false">ROUNDUP(A319/12,0)</f>
        <v>27</v>
      </c>
      <c r="C319" s="10" t="n">
        <f aca="false">F318</f>
        <v>103312.588427063</v>
      </c>
      <c r="D319" s="10" t="n">
        <f aca="false">IF(AND(A319&lt;=Inputs!$B$9*12,C319&gt;0.000001),C319*Inputs!$B$10/12,0)</f>
        <v>626.763036457513</v>
      </c>
      <c r="E319" s="10" t="n">
        <f aca="false">IF(AND(A319&lt;=Inputs!$B$9*12,C319&gt;0.000001),MIN(C319,Inputs!$B$41-D319),0)</f>
        <v>2110.08609252319</v>
      </c>
      <c r="F319" s="10" t="n">
        <f aca="false">C319-E319</f>
        <v>101202.502334539</v>
      </c>
      <c r="G319" s="10" t="n">
        <f aca="false">IF(AND(Inputs!$B$43=1,C319&gt;0.78*Inputs!$B$7,A319&lt;=Inputs!$B$9*6),Inputs!$B$16*Inputs!$B$39/12,0)</f>
        <v>0</v>
      </c>
      <c r="H319" s="10" t="n">
        <f aca="false">IF(B319=1,Inputs!$B$7,INDEX(Annual!$AC$2:$AC$51,B319-1))</f>
        <v>1386234.89237346</v>
      </c>
      <c r="I319" s="10" t="n">
        <f aca="false">Inputs!$B$12*IF(Inputs!$B$35="",H319,MIN(H319,Inputs!$B$7*(1+Inputs!$B$35)^(B319-1)))/12</f>
        <v>1039.67616928009</v>
      </c>
      <c r="J319" s="10" t="n">
        <f aca="false">Inputs!$B$13*Inputs!$B$7*(1+Inputs!$B$22)^(B319-1)/12</f>
        <v>427.149344038197</v>
      </c>
      <c r="K319" s="10" t="n">
        <f aca="false">Inputs!$B$14*Inputs!$B$7*(1+Inputs!$B$22)^(B319-1)/12</f>
        <v>854.298688076394</v>
      </c>
      <c r="L319" s="10" t="n">
        <f aca="false">Inputs!$B$15*(1+Inputs!$B$22)^(B319-1)</f>
        <v>0</v>
      </c>
      <c r="M319" s="10" t="n">
        <f aca="false">INDEX(Annual!$N$2:$N$51,B319)/12</f>
        <v>0</v>
      </c>
      <c r="N319" s="10" t="n">
        <f aca="false">D319+E319+G319+I319+J319+K319+L319-M319</f>
        <v>5057.97333037539</v>
      </c>
      <c r="O319" s="10" t="n">
        <f aca="false">Inputs!$B$17*(1+Inputs!$B$18)^(B319-1)+Inputs!$B$19*(1+Inputs!$B$22)^(B319-1)</f>
        <v>6145.65114956172</v>
      </c>
      <c r="P319" s="10" t="n">
        <f aca="false">N319-O319</f>
        <v>-1087.67781918633</v>
      </c>
      <c r="Q319" s="10" t="n">
        <f aca="false">Q318*(1+Inputs!$B$42)-U319+MAX(P319,0)</f>
        <v>1209656.99490896</v>
      </c>
      <c r="R319" s="10" t="n">
        <f aca="false">R318+Q318*Inputs!$B$48-U319+MAX(P319,0)</f>
        <v>388061.204314041</v>
      </c>
      <c r="S319" s="10" t="n">
        <f aca="false">S318*(1+Inputs!$B$42)-V319+MAX(-P319,0)</f>
        <v>72196.2072139851</v>
      </c>
      <c r="T319" s="10" t="n">
        <f aca="false">T318+S318*Inputs!$B$48-V319+MAX(-P319,0)</f>
        <v>60409.5108064877</v>
      </c>
      <c r="U319" s="10" t="n">
        <f aca="false">Q318*Inputs!$B$48*Inputs!$B$29</f>
        <v>165.415299252356</v>
      </c>
      <c r="V319" s="10" t="n">
        <f aca="false">S318*Inputs!$B$48*Inputs!$B$29</f>
        <v>9.72378014490032</v>
      </c>
    </row>
    <row r="320" customFormat="false" ht="15" hidden="false" customHeight="false" outlineLevel="0" collapsed="false">
      <c r="A320" s="16" t="n">
        <v>319</v>
      </c>
      <c r="B320" s="16" t="n">
        <f aca="false">ROUNDUP(A320/12,0)</f>
        <v>27</v>
      </c>
      <c r="C320" s="10" t="n">
        <f aca="false">F319</f>
        <v>101202.502334539</v>
      </c>
      <c r="D320" s="10" t="n">
        <f aca="false">IF(AND(A320&lt;=Inputs!$B$9*12,C320&gt;0.000001),C320*Inputs!$B$10/12,0)</f>
        <v>613.961847496206</v>
      </c>
      <c r="E320" s="10" t="n">
        <f aca="false">IF(AND(A320&lt;=Inputs!$B$9*12,C320&gt;0.000001),MIN(C320,Inputs!$B$41-D320),0)</f>
        <v>2122.8872814845</v>
      </c>
      <c r="F320" s="10" t="n">
        <f aca="false">C320-E320</f>
        <v>99079.6150530549</v>
      </c>
      <c r="G320" s="10" t="n">
        <f aca="false">IF(AND(Inputs!$B$43=1,C320&gt;0.78*Inputs!$B$7,A320&lt;=Inputs!$B$9*6),Inputs!$B$16*Inputs!$B$39/12,0)</f>
        <v>0</v>
      </c>
      <c r="H320" s="10" t="n">
        <f aca="false">IF(B320=1,Inputs!$B$7,INDEX(Annual!$AC$2:$AC$51,B320-1))</f>
        <v>1386234.89237346</v>
      </c>
      <c r="I320" s="10" t="n">
        <f aca="false">Inputs!$B$12*IF(Inputs!$B$35="",H320,MIN(H320,Inputs!$B$7*(1+Inputs!$B$35)^(B320-1)))/12</f>
        <v>1039.67616928009</v>
      </c>
      <c r="J320" s="10" t="n">
        <f aca="false">Inputs!$B$13*Inputs!$B$7*(1+Inputs!$B$22)^(B320-1)/12</f>
        <v>427.149344038197</v>
      </c>
      <c r="K320" s="10" t="n">
        <f aca="false">Inputs!$B$14*Inputs!$B$7*(1+Inputs!$B$22)^(B320-1)/12</f>
        <v>854.298688076394</v>
      </c>
      <c r="L320" s="10" t="n">
        <f aca="false">Inputs!$B$15*(1+Inputs!$B$22)^(B320-1)</f>
        <v>0</v>
      </c>
      <c r="M320" s="10" t="n">
        <f aca="false">INDEX(Annual!$N$2:$N$51,B320)/12</f>
        <v>0</v>
      </c>
      <c r="N320" s="10" t="n">
        <f aca="false">D320+E320+G320+I320+J320+K320+L320-M320</f>
        <v>5057.97333037539</v>
      </c>
      <c r="O320" s="10" t="n">
        <f aca="false">Inputs!$B$17*(1+Inputs!$B$18)^(B320-1)+Inputs!$B$19*(1+Inputs!$B$22)^(B320-1)</f>
        <v>6145.65114956172</v>
      </c>
      <c r="P320" s="10" t="n">
        <f aca="false">N320-O320</f>
        <v>-1087.67781918633</v>
      </c>
      <c r="Q320" s="10" t="n">
        <f aca="false">Q319*(1+Inputs!$B$42)-U320+MAX(P320,0)</f>
        <v>1216330.24359027</v>
      </c>
      <c r="R320" s="10" t="n">
        <f aca="false">R319+Q319*Inputs!$B$48-U320+MAX(P320,0)</f>
        <v>389003.728722574</v>
      </c>
      <c r="S320" s="10" t="n">
        <f aca="false">S319*(1+Inputs!$B$42)-V320+MAX(-P320,0)</f>
        <v>73682.1659066866</v>
      </c>
      <c r="T320" s="10" t="n">
        <f aca="false">T319+S319*Inputs!$B$48-V320+MAX(-P320,0)</f>
        <v>61553.4415037949</v>
      </c>
      <c r="U320" s="10" t="n">
        <f aca="false">Q319*Inputs!$B$48*Inputs!$B$29</f>
        <v>166.327836799982</v>
      </c>
      <c r="V320" s="10" t="n">
        <f aca="false">S319*Inputs!$B$48*Inputs!$B$29</f>
        <v>9.92697849192295</v>
      </c>
    </row>
    <row r="321" customFormat="false" ht="15" hidden="false" customHeight="false" outlineLevel="0" collapsed="false">
      <c r="A321" s="16" t="n">
        <v>320</v>
      </c>
      <c r="B321" s="16" t="n">
        <f aca="false">ROUNDUP(A321/12,0)</f>
        <v>27</v>
      </c>
      <c r="C321" s="10" t="n">
        <f aca="false">F320</f>
        <v>99079.6150530549</v>
      </c>
      <c r="D321" s="10" t="n">
        <f aca="false">IF(AND(A321&lt;=Inputs!$B$9*12,C321&gt;0.000001),C321*Inputs!$B$10/12,0)</f>
        <v>601.082997988533</v>
      </c>
      <c r="E321" s="10" t="n">
        <f aca="false">IF(AND(A321&lt;=Inputs!$B$9*12,C321&gt;0.000001),MIN(C321,Inputs!$B$41-D321),0)</f>
        <v>2135.76613099217</v>
      </c>
      <c r="F321" s="10" t="n">
        <f aca="false">C321-E321</f>
        <v>96943.8489220628</v>
      </c>
      <c r="G321" s="10" t="n">
        <f aca="false">IF(AND(Inputs!$B$43=1,C321&gt;0.78*Inputs!$B$7,A321&lt;=Inputs!$B$9*6),Inputs!$B$16*Inputs!$B$39/12,0)</f>
        <v>0</v>
      </c>
      <c r="H321" s="10" t="n">
        <f aca="false">IF(B321=1,Inputs!$B$7,INDEX(Annual!$AC$2:$AC$51,B321-1))</f>
        <v>1386234.89237346</v>
      </c>
      <c r="I321" s="10" t="n">
        <f aca="false">Inputs!$B$12*IF(Inputs!$B$35="",H321,MIN(H321,Inputs!$B$7*(1+Inputs!$B$35)^(B321-1)))/12</f>
        <v>1039.67616928009</v>
      </c>
      <c r="J321" s="10" t="n">
        <f aca="false">Inputs!$B$13*Inputs!$B$7*(1+Inputs!$B$22)^(B321-1)/12</f>
        <v>427.149344038197</v>
      </c>
      <c r="K321" s="10" t="n">
        <f aca="false">Inputs!$B$14*Inputs!$B$7*(1+Inputs!$B$22)^(B321-1)/12</f>
        <v>854.298688076394</v>
      </c>
      <c r="L321" s="10" t="n">
        <f aca="false">Inputs!$B$15*(1+Inputs!$B$22)^(B321-1)</f>
        <v>0</v>
      </c>
      <c r="M321" s="10" t="n">
        <f aca="false">INDEX(Annual!$N$2:$N$51,B321)/12</f>
        <v>0</v>
      </c>
      <c r="N321" s="10" t="n">
        <f aca="false">D321+E321+G321+I321+J321+K321+L321-M321</f>
        <v>5057.97333037539</v>
      </c>
      <c r="O321" s="10" t="n">
        <f aca="false">Inputs!$B$17*(1+Inputs!$B$18)^(B321-1)+Inputs!$B$19*(1+Inputs!$B$22)^(B321-1)</f>
        <v>6145.65114956172</v>
      </c>
      <c r="P321" s="10" t="n">
        <f aca="false">N321-O321</f>
        <v>-1087.67781918633</v>
      </c>
      <c r="Q321" s="10" t="n">
        <f aca="false">Q320*(1+Inputs!$B$42)-U321+MAX(P321,0)</f>
        <v>1223040.30621813</v>
      </c>
      <c r="R321" s="10" t="n">
        <f aca="false">R320+Q320*Inputs!$B$48-U321+MAX(P321,0)</f>
        <v>389951.452704038</v>
      </c>
      <c r="S321" s="10" t="n">
        <f aca="false">S320*(1+Inputs!$B$42)-V321+MAX(-P321,0)</f>
        <v>75176.3221065561</v>
      </c>
      <c r="T321" s="10" t="n">
        <f aca="false">T320+S320*Inputs!$B$48-V321+MAX(-P321,0)</f>
        <v>62698.5300105835</v>
      </c>
      <c r="U321" s="10" t="n">
        <f aca="false">Q320*Inputs!$B$48*Inputs!$B$29</f>
        <v>167.245408493662</v>
      </c>
      <c r="V321" s="10" t="n">
        <f aca="false">S320*Inputs!$B$48*Inputs!$B$29</f>
        <v>10.1312978121694</v>
      </c>
    </row>
    <row r="322" customFormat="false" ht="15" hidden="false" customHeight="false" outlineLevel="0" collapsed="false">
      <c r="A322" s="16" t="n">
        <v>321</v>
      </c>
      <c r="B322" s="16" t="n">
        <f aca="false">ROUNDUP(A322/12,0)</f>
        <v>27</v>
      </c>
      <c r="C322" s="10" t="n">
        <f aca="false">F321</f>
        <v>96943.8489220628</v>
      </c>
      <c r="D322" s="10" t="n">
        <f aca="false">IF(AND(A322&lt;=Inputs!$B$9*12,C322&gt;0.000001),C322*Inputs!$B$10/12,0)</f>
        <v>588.126016793847</v>
      </c>
      <c r="E322" s="10" t="n">
        <f aca="false">IF(AND(A322&lt;=Inputs!$B$9*12,C322&gt;0.000001),MIN(C322,Inputs!$B$41-D322),0)</f>
        <v>2148.72311218686</v>
      </c>
      <c r="F322" s="10" t="n">
        <f aca="false">C322-E322</f>
        <v>94795.1258098759</v>
      </c>
      <c r="G322" s="10" t="n">
        <f aca="false">IF(AND(Inputs!$B$43=1,C322&gt;0.78*Inputs!$B$7,A322&lt;=Inputs!$B$9*6),Inputs!$B$16*Inputs!$B$39/12,0)</f>
        <v>0</v>
      </c>
      <c r="H322" s="10" t="n">
        <f aca="false">IF(B322=1,Inputs!$B$7,INDEX(Annual!$AC$2:$AC$51,B322-1))</f>
        <v>1386234.89237346</v>
      </c>
      <c r="I322" s="10" t="n">
        <f aca="false">Inputs!$B$12*IF(Inputs!$B$35="",H322,MIN(H322,Inputs!$B$7*(1+Inputs!$B$35)^(B322-1)))/12</f>
        <v>1039.67616928009</v>
      </c>
      <c r="J322" s="10" t="n">
        <f aca="false">Inputs!$B$13*Inputs!$B$7*(1+Inputs!$B$22)^(B322-1)/12</f>
        <v>427.149344038197</v>
      </c>
      <c r="K322" s="10" t="n">
        <f aca="false">Inputs!$B$14*Inputs!$B$7*(1+Inputs!$B$22)^(B322-1)/12</f>
        <v>854.298688076394</v>
      </c>
      <c r="L322" s="10" t="n">
        <f aca="false">Inputs!$B$15*(1+Inputs!$B$22)^(B322-1)</f>
        <v>0</v>
      </c>
      <c r="M322" s="10" t="n">
        <f aca="false">INDEX(Annual!$N$2:$N$51,B322)/12</f>
        <v>0</v>
      </c>
      <c r="N322" s="10" t="n">
        <f aca="false">D322+E322+G322+I322+J322+K322+L322-M322</f>
        <v>5057.97333037539</v>
      </c>
      <c r="O322" s="10" t="n">
        <f aca="false">Inputs!$B$17*(1+Inputs!$B$18)^(B322-1)+Inputs!$B$19*(1+Inputs!$B$22)^(B322-1)</f>
        <v>6145.65114956172</v>
      </c>
      <c r="P322" s="10" t="n">
        <f aca="false">N322-O322</f>
        <v>-1087.67781918633</v>
      </c>
      <c r="Q322" s="10" t="n">
        <f aca="false">Q321*(1+Inputs!$B$42)-U322+MAX(P322,0)</f>
        <v>1229787.38588204</v>
      </c>
      <c r="R322" s="10" t="n">
        <f aca="false">R321+Q321*Inputs!$B$48-U322+MAX(P322,0)</f>
        <v>390904.404942633</v>
      </c>
      <c r="S322" s="10" t="n">
        <f aca="false">S321*(1+Inputs!$B$42)-V322+MAX(-P322,0)</f>
        <v>76678.7210363336</v>
      </c>
      <c r="T322" s="10" t="n">
        <f aca="false">T321+S321*Inputs!$B$48-V322+MAX(-P322,0)</f>
        <v>63844.7827140779</v>
      </c>
      <c r="U322" s="10" t="n">
        <f aca="false">Q321*Inputs!$B$48*Inputs!$B$29</f>
        <v>168.168042104993</v>
      </c>
      <c r="V322" s="10" t="n">
        <f aca="false">S321*Inputs!$B$48*Inputs!$B$29</f>
        <v>10.3367442896515</v>
      </c>
    </row>
    <row r="323" customFormat="false" ht="15" hidden="false" customHeight="false" outlineLevel="0" collapsed="false">
      <c r="A323" s="16" t="n">
        <v>322</v>
      </c>
      <c r="B323" s="16" t="n">
        <f aca="false">ROUNDUP(A323/12,0)</f>
        <v>27</v>
      </c>
      <c r="C323" s="10" t="n">
        <f aca="false">F322</f>
        <v>94795.1258098759</v>
      </c>
      <c r="D323" s="10" t="n">
        <f aca="false">IF(AND(A323&lt;=Inputs!$B$9*12,C323&gt;0.000001),C323*Inputs!$B$10/12,0)</f>
        <v>575.090429913247</v>
      </c>
      <c r="E323" s="10" t="n">
        <f aca="false">IF(AND(A323&lt;=Inputs!$B$9*12,C323&gt;0.000001),MIN(C323,Inputs!$B$41-D323),0)</f>
        <v>2161.75869906746</v>
      </c>
      <c r="F323" s="10" t="n">
        <f aca="false">C323-E323</f>
        <v>92633.3671108084</v>
      </c>
      <c r="G323" s="10" t="n">
        <f aca="false">IF(AND(Inputs!$B$43=1,C323&gt;0.78*Inputs!$B$7,A323&lt;=Inputs!$B$9*6),Inputs!$B$16*Inputs!$B$39/12,0)</f>
        <v>0</v>
      </c>
      <c r="H323" s="10" t="n">
        <f aca="false">IF(B323=1,Inputs!$B$7,INDEX(Annual!$AC$2:$AC$51,B323-1))</f>
        <v>1386234.89237346</v>
      </c>
      <c r="I323" s="10" t="n">
        <f aca="false">Inputs!$B$12*IF(Inputs!$B$35="",H323,MIN(H323,Inputs!$B$7*(1+Inputs!$B$35)^(B323-1)))/12</f>
        <v>1039.67616928009</v>
      </c>
      <c r="J323" s="10" t="n">
        <f aca="false">Inputs!$B$13*Inputs!$B$7*(1+Inputs!$B$22)^(B323-1)/12</f>
        <v>427.149344038197</v>
      </c>
      <c r="K323" s="10" t="n">
        <f aca="false">Inputs!$B$14*Inputs!$B$7*(1+Inputs!$B$22)^(B323-1)/12</f>
        <v>854.298688076394</v>
      </c>
      <c r="L323" s="10" t="n">
        <f aca="false">Inputs!$B$15*(1+Inputs!$B$22)^(B323-1)</f>
        <v>0</v>
      </c>
      <c r="M323" s="10" t="n">
        <f aca="false">INDEX(Annual!$N$2:$N$51,B323)/12</f>
        <v>0</v>
      </c>
      <c r="N323" s="10" t="n">
        <f aca="false">D323+E323+G323+I323+J323+K323+L323-M323</f>
        <v>5057.97333037539</v>
      </c>
      <c r="O323" s="10" t="n">
        <f aca="false">Inputs!$B$17*(1+Inputs!$B$18)^(B323-1)+Inputs!$B$19*(1+Inputs!$B$22)^(B323-1)</f>
        <v>6145.65114956172</v>
      </c>
      <c r="P323" s="10" t="n">
        <f aca="false">N323-O323</f>
        <v>-1087.67781918633</v>
      </c>
      <c r="Q323" s="10" t="n">
        <f aca="false">Q322*(1+Inputs!$B$42)-U323+MAX(P323,0)</f>
        <v>1236571.68679186</v>
      </c>
      <c r="R323" s="10" t="n">
        <f aca="false">R322+Q322*Inputs!$B$48-U323+MAX(P323,0)</f>
        <v>391862.6142808</v>
      </c>
      <c r="S323" s="10" t="n">
        <f aca="false">S322*(1+Inputs!$B$42)-V323+MAX(-P323,0)</f>
        <v>78189.4081682372</v>
      </c>
      <c r="T323" s="10" t="n">
        <f aca="false">T322+S322*Inputs!$B$48-V323+MAX(-P323,0)</f>
        <v>64992.2060367384</v>
      </c>
      <c r="U323" s="10" t="n">
        <f aca="false">Q322*Inputs!$B$48*Inputs!$B$29</f>
        <v>169.095765558781</v>
      </c>
      <c r="V323" s="10" t="n">
        <f aca="false">S322*Inputs!$B$48*Inputs!$B$29</f>
        <v>10.5433241424959</v>
      </c>
    </row>
    <row r="324" customFormat="false" ht="15" hidden="false" customHeight="false" outlineLevel="0" collapsed="false">
      <c r="A324" s="16" t="n">
        <v>323</v>
      </c>
      <c r="B324" s="16" t="n">
        <f aca="false">ROUNDUP(A324/12,0)</f>
        <v>27</v>
      </c>
      <c r="C324" s="10" t="n">
        <f aca="false">F323</f>
        <v>92633.3671108084</v>
      </c>
      <c r="D324" s="10" t="n">
        <f aca="false">IF(AND(A324&lt;=Inputs!$B$9*12,C324&gt;0.000001),C324*Inputs!$B$10/12,0)</f>
        <v>561.975760472238</v>
      </c>
      <c r="E324" s="10" t="n">
        <f aca="false">IF(AND(A324&lt;=Inputs!$B$9*12,C324&gt;0.000001),MIN(C324,Inputs!$B$41-D324),0)</f>
        <v>2174.87336850847</v>
      </c>
      <c r="F324" s="10" t="n">
        <f aca="false">C324-E324</f>
        <v>90458.4937423</v>
      </c>
      <c r="G324" s="10" t="n">
        <f aca="false">IF(AND(Inputs!$B$43=1,C324&gt;0.78*Inputs!$B$7,A324&lt;=Inputs!$B$9*6),Inputs!$B$16*Inputs!$B$39/12,0)</f>
        <v>0</v>
      </c>
      <c r="H324" s="10" t="n">
        <f aca="false">IF(B324=1,Inputs!$B$7,INDEX(Annual!$AC$2:$AC$51,B324-1))</f>
        <v>1386234.89237346</v>
      </c>
      <c r="I324" s="10" t="n">
        <f aca="false">Inputs!$B$12*IF(Inputs!$B$35="",H324,MIN(H324,Inputs!$B$7*(1+Inputs!$B$35)^(B324-1)))/12</f>
        <v>1039.67616928009</v>
      </c>
      <c r="J324" s="10" t="n">
        <f aca="false">Inputs!$B$13*Inputs!$B$7*(1+Inputs!$B$22)^(B324-1)/12</f>
        <v>427.149344038197</v>
      </c>
      <c r="K324" s="10" t="n">
        <f aca="false">Inputs!$B$14*Inputs!$B$7*(1+Inputs!$B$22)^(B324-1)/12</f>
        <v>854.298688076394</v>
      </c>
      <c r="L324" s="10" t="n">
        <f aca="false">Inputs!$B$15*(1+Inputs!$B$22)^(B324-1)</f>
        <v>0</v>
      </c>
      <c r="M324" s="10" t="n">
        <f aca="false">INDEX(Annual!$N$2:$N$51,B324)/12</f>
        <v>0</v>
      </c>
      <c r="N324" s="10" t="n">
        <f aca="false">D324+E324+G324+I324+J324+K324+L324-M324</f>
        <v>5057.97333037539</v>
      </c>
      <c r="O324" s="10" t="n">
        <f aca="false">Inputs!$B$17*(1+Inputs!$B$18)^(B324-1)+Inputs!$B$19*(1+Inputs!$B$22)^(B324-1)</f>
        <v>6145.65114956172</v>
      </c>
      <c r="P324" s="10" t="n">
        <f aca="false">N324-O324</f>
        <v>-1087.67781918633</v>
      </c>
      <c r="Q324" s="10" t="n">
        <f aca="false">Q323*(1+Inputs!$B$42)-U324+MAX(P324,0)</f>
        <v>1243393.414284</v>
      </c>
      <c r="R324" s="10" t="n">
        <f aca="false">R323+Q323*Inputs!$B$48-U324+MAX(P324,0)</f>
        <v>392826.109720092</v>
      </c>
      <c r="S324" s="10" t="n">
        <f aca="false">S323*(1+Inputs!$B$42)-V324+MAX(-P324,0)</f>
        <v>79708.4292253387</v>
      </c>
      <c r="T324" s="10" t="n">
        <f aca="false">T323+S323*Inputs!$B$48-V324+MAX(-P324,0)</f>
        <v>66140.8064364558</v>
      </c>
      <c r="U324" s="10" t="n">
        <f aca="false">Q323*Inputs!$B$48*Inputs!$B$29</f>
        <v>170.028606933881</v>
      </c>
      <c r="V324" s="10" t="n">
        <f aca="false">S323*Inputs!$B$48*Inputs!$B$29</f>
        <v>10.7510436231326</v>
      </c>
    </row>
    <row r="325" customFormat="false" ht="15" hidden="false" customHeight="false" outlineLevel="0" collapsed="false">
      <c r="A325" s="16" t="n">
        <v>324</v>
      </c>
      <c r="B325" s="16" t="n">
        <f aca="false">ROUNDUP(A325/12,0)</f>
        <v>27</v>
      </c>
      <c r="C325" s="10" t="n">
        <f aca="false">F324</f>
        <v>90458.4937423</v>
      </c>
      <c r="D325" s="10" t="n">
        <f aca="false">IF(AND(A325&lt;=Inputs!$B$9*12,C325&gt;0.000001),C325*Inputs!$B$10/12,0)</f>
        <v>548.781528703286</v>
      </c>
      <c r="E325" s="10" t="n">
        <f aca="false">IF(AND(A325&lt;=Inputs!$B$9*12,C325&gt;0.000001),MIN(C325,Inputs!$B$41-D325),0)</f>
        <v>2188.06760027742</v>
      </c>
      <c r="F325" s="10" t="n">
        <f aca="false">C325-E325</f>
        <v>88270.4261420226</v>
      </c>
      <c r="G325" s="10" t="n">
        <f aca="false">IF(AND(Inputs!$B$43=1,C325&gt;0.78*Inputs!$B$7,A325&lt;=Inputs!$B$9*6),Inputs!$B$16*Inputs!$B$39/12,0)</f>
        <v>0</v>
      </c>
      <c r="H325" s="10" t="n">
        <f aca="false">IF(B325=1,Inputs!$B$7,INDEX(Annual!$AC$2:$AC$51,B325-1))</f>
        <v>1386234.89237346</v>
      </c>
      <c r="I325" s="10" t="n">
        <f aca="false">Inputs!$B$12*IF(Inputs!$B$35="",H325,MIN(H325,Inputs!$B$7*(1+Inputs!$B$35)^(B325-1)))/12</f>
        <v>1039.67616928009</v>
      </c>
      <c r="J325" s="10" t="n">
        <f aca="false">Inputs!$B$13*Inputs!$B$7*(1+Inputs!$B$22)^(B325-1)/12</f>
        <v>427.149344038197</v>
      </c>
      <c r="K325" s="10" t="n">
        <f aca="false">Inputs!$B$14*Inputs!$B$7*(1+Inputs!$B$22)^(B325-1)/12</f>
        <v>854.298688076394</v>
      </c>
      <c r="L325" s="10" t="n">
        <f aca="false">Inputs!$B$15*(1+Inputs!$B$22)^(B325-1)</f>
        <v>0</v>
      </c>
      <c r="M325" s="10" t="n">
        <f aca="false">INDEX(Annual!$N$2:$N$51,B325)/12</f>
        <v>0</v>
      </c>
      <c r="N325" s="10" t="n">
        <f aca="false">D325+E325+G325+I325+J325+K325+L325-M325</f>
        <v>5057.97333037539</v>
      </c>
      <c r="O325" s="10" t="n">
        <f aca="false">Inputs!$B$17*(1+Inputs!$B$18)^(B325-1)+Inputs!$B$19*(1+Inputs!$B$22)^(B325-1)</f>
        <v>6145.65114956172</v>
      </c>
      <c r="P325" s="10" t="n">
        <f aca="false">N325-O325</f>
        <v>-1087.67781918633</v>
      </c>
      <c r="Q325" s="10" t="n">
        <f aca="false">Q324*(1+Inputs!$B$42)-U325+MAX(P325,0)</f>
        <v>1250252.77482764</v>
      </c>
      <c r="R325" s="10" t="n">
        <f aca="false">R324+Q324*Inputs!$B$48-U325+MAX(P325,0)</f>
        <v>393794.920422055</v>
      </c>
      <c r="S325" s="10" t="n">
        <f aca="false">S324*(1+Inputs!$B$42)-V325+MAX(-P325,0)</f>
        <v>81235.8301829483</v>
      </c>
      <c r="T325" s="10" t="n">
        <f aca="false">T324+S324*Inputs!$B$48-V325+MAX(-P325,0)</f>
        <v>67290.5904067468</v>
      </c>
      <c r="U325" s="10" t="n">
        <f aca="false">Q324*Inputs!$B$48*Inputs!$B$29</f>
        <v>170.966594464049</v>
      </c>
      <c r="V325" s="10" t="n">
        <f aca="false">S324*Inputs!$B$48*Inputs!$B$29</f>
        <v>10.9599090184841</v>
      </c>
    </row>
    <row r="326" customFormat="false" ht="15" hidden="false" customHeight="false" outlineLevel="0" collapsed="false">
      <c r="A326" s="16" t="n">
        <v>325</v>
      </c>
      <c r="B326" s="16" t="n">
        <f aca="false">ROUNDUP(A326/12,0)</f>
        <v>28</v>
      </c>
      <c r="C326" s="10" t="n">
        <f aca="false">F325</f>
        <v>88270.4261420226</v>
      </c>
      <c r="D326" s="10" t="n">
        <f aca="false">IF(AND(A326&lt;=Inputs!$B$9*12,C326&gt;0.000001),C326*Inputs!$B$10/12,0)</f>
        <v>535.50725192827</v>
      </c>
      <c r="E326" s="10" t="n">
        <f aca="false">IF(AND(A326&lt;=Inputs!$B$9*12,C326&gt;0.000001),MIN(C326,Inputs!$B$41-D326),0)</f>
        <v>2201.34187705244</v>
      </c>
      <c r="F326" s="10" t="n">
        <f aca="false">C326-E326</f>
        <v>86069.0842649701</v>
      </c>
      <c r="G326" s="10" t="n">
        <f aca="false">IF(AND(Inputs!$B$43=1,C326&gt;0.78*Inputs!$B$7,A326&lt;=Inputs!$B$9*6),Inputs!$B$16*Inputs!$B$39/12,0)</f>
        <v>0</v>
      </c>
      <c r="H326" s="10" t="n">
        <f aca="false">IF(B326=1,Inputs!$B$7,INDEX(Annual!$AC$2:$AC$51,B326-1))</f>
        <v>1441684.2880684</v>
      </c>
      <c r="I326" s="10" t="n">
        <f aca="false">Inputs!$B$12*IF(Inputs!$B$35="",H326,MIN(H326,Inputs!$B$7*(1+Inputs!$B$35)^(B326-1)))/12</f>
        <v>1081.2632160513</v>
      </c>
      <c r="J326" s="10" t="n">
        <f aca="false">Inputs!$B$13*Inputs!$B$7*(1+Inputs!$B$22)^(B326-1)/12</f>
        <v>439.109525671267</v>
      </c>
      <c r="K326" s="10" t="n">
        <f aca="false">Inputs!$B$14*Inputs!$B$7*(1+Inputs!$B$22)^(B326-1)/12</f>
        <v>878.219051342533</v>
      </c>
      <c r="L326" s="10" t="n">
        <f aca="false">Inputs!$B$15*(1+Inputs!$B$22)^(B326-1)</f>
        <v>0</v>
      </c>
      <c r="M326" s="10" t="n">
        <f aca="false">INDEX(Annual!$N$2:$N$51,B326)/12</f>
        <v>0</v>
      </c>
      <c r="N326" s="10" t="n">
        <f aca="false">D326+E326+G326+I326+J326+K326+L326-M326</f>
        <v>5135.4409220458</v>
      </c>
      <c r="O326" s="10" t="n">
        <f aca="false">Inputs!$B$17*(1+Inputs!$B$18)^(B326-1)+Inputs!$B$19*(1+Inputs!$B$22)^(B326-1)</f>
        <v>6360.53365652698</v>
      </c>
      <c r="P326" s="10" t="n">
        <f aca="false">N326-O326</f>
        <v>-1225.09273448118</v>
      </c>
      <c r="Q326" s="10" t="n">
        <f aca="false">Q325*(1+Inputs!$B$42)-U326+MAX(P326,0)</f>
        <v>1257149.97603098</v>
      </c>
      <c r="R326" s="10" t="n">
        <f aca="false">R325+Q325*Inputs!$B$48-U326+MAX(P326,0)</f>
        <v>394769.075709108</v>
      </c>
      <c r="S326" s="10" t="n">
        <f aca="false">S325*(1+Inputs!$B$42)-V326+MAX(-P326,0)</f>
        <v>82909.0721853003</v>
      </c>
      <c r="T326" s="10" t="n">
        <f aca="false">T325+S325*Inputs!$B$48-V326+MAX(-P326,0)</f>
        <v>68578.9793922456</v>
      </c>
      <c r="U326" s="10" t="n">
        <f aca="false">Q325*Inputs!$B$48*Inputs!$B$29</f>
        <v>171.9097565388</v>
      </c>
      <c r="V326" s="10" t="n">
        <f aca="false">S325*Inputs!$B$48*Inputs!$B$29</f>
        <v>11.1699266501554</v>
      </c>
    </row>
    <row r="327" customFormat="false" ht="15" hidden="false" customHeight="false" outlineLevel="0" collapsed="false">
      <c r="A327" s="16" t="n">
        <v>326</v>
      </c>
      <c r="B327" s="16" t="n">
        <f aca="false">ROUNDUP(A327/12,0)</f>
        <v>28</v>
      </c>
      <c r="C327" s="10" t="n">
        <f aca="false">F326</f>
        <v>86069.0842649701</v>
      </c>
      <c r="D327" s="10" t="n">
        <f aca="false">IF(AND(A327&lt;=Inputs!$B$9*12,C327&gt;0.000001),C327*Inputs!$B$10/12,0)</f>
        <v>522.152444540819</v>
      </c>
      <c r="E327" s="10" t="n">
        <f aca="false">IF(AND(A327&lt;=Inputs!$B$9*12,C327&gt;0.000001),MIN(C327,Inputs!$B$41-D327),0)</f>
        <v>2214.69668443989</v>
      </c>
      <c r="F327" s="10" t="n">
        <f aca="false">C327-E327</f>
        <v>83854.3875805302</v>
      </c>
      <c r="G327" s="10" t="n">
        <f aca="false">IF(AND(Inputs!$B$43=1,C327&gt;0.78*Inputs!$B$7,A327&lt;=Inputs!$B$9*6),Inputs!$B$16*Inputs!$B$39/12,0)</f>
        <v>0</v>
      </c>
      <c r="H327" s="10" t="n">
        <f aca="false">IF(B327=1,Inputs!$B$7,INDEX(Annual!$AC$2:$AC$51,B327-1))</f>
        <v>1441684.2880684</v>
      </c>
      <c r="I327" s="10" t="n">
        <f aca="false">Inputs!$B$12*IF(Inputs!$B$35="",H327,MIN(H327,Inputs!$B$7*(1+Inputs!$B$35)^(B327-1)))/12</f>
        <v>1081.2632160513</v>
      </c>
      <c r="J327" s="10" t="n">
        <f aca="false">Inputs!$B$13*Inputs!$B$7*(1+Inputs!$B$22)^(B327-1)/12</f>
        <v>439.109525671267</v>
      </c>
      <c r="K327" s="10" t="n">
        <f aca="false">Inputs!$B$14*Inputs!$B$7*(1+Inputs!$B$22)^(B327-1)/12</f>
        <v>878.219051342533</v>
      </c>
      <c r="L327" s="10" t="n">
        <f aca="false">Inputs!$B$15*(1+Inputs!$B$22)^(B327-1)</f>
        <v>0</v>
      </c>
      <c r="M327" s="10" t="n">
        <f aca="false">INDEX(Annual!$N$2:$N$51,B327)/12</f>
        <v>0</v>
      </c>
      <c r="N327" s="10" t="n">
        <f aca="false">D327+E327+G327+I327+J327+K327+L327-M327</f>
        <v>5135.4409220458</v>
      </c>
      <c r="O327" s="10" t="n">
        <f aca="false">Inputs!$B$17*(1+Inputs!$B$18)^(B327-1)+Inputs!$B$19*(1+Inputs!$B$22)^(B327-1)</f>
        <v>6360.53365652698</v>
      </c>
      <c r="P327" s="10" t="n">
        <f aca="false">N327-O327</f>
        <v>-1225.09273448118</v>
      </c>
      <c r="Q327" s="10" t="n">
        <f aca="false">Q326*(1+Inputs!$B$42)-U327+MAX(P327,0)</f>
        <v>1264085.22664753</v>
      </c>
      <c r="R327" s="10" t="n">
        <f aca="false">R326+Q326*Inputs!$B$48-U327+MAX(P327,0)</f>
        <v>395748.605065432</v>
      </c>
      <c r="S327" s="10" t="n">
        <f aca="false">S326*(1+Inputs!$B$42)-V327+MAX(-P327,0)</f>
        <v>84591.5448704266</v>
      </c>
      <c r="T327" s="10" t="n">
        <f aca="false">T326+S326*Inputs!$B$48-V327+MAX(-P327,0)</f>
        <v>69868.6721121378</v>
      </c>
      <c r="U327" s="10" t="n">
        <f aca="false">Q326*Inputs!$B$48*Inputs!$B$29</f>
        <v>172.85812170426</v>
      </c>
      <c r="V327" s="10" t="n">
        <f aca="false">S326*Inputs!$B$48*Inputs!$B$29</f>
        <v>11.3999974254788</v>
      </c>
    </row>
    <row r="328" customFormat="false" ht="15" hidden="false" customHeight="false" outlineLevel="0" collapsed="false">
      <c r="A328" s="16" t="n">
        <v>327</v>
      </c>
      <c r="B328" s="16" t="n">
        <f aca="false">ROUNDUP(A328/12,0)</f>
        <v>28</v>
      </c>
      <c r="C328" s="10" t="n">
        <f aca="false">F327</f>
        <v>83854.3875805302</v>
      </c>
      <c r="D328" s="10" t="n">
        <f aca="false">IF(AND(A328&lt;=Inputs!$B$9*12,C328&gt;0.000001),C328*Inputs!$B$10/12,0)</f>
        <v>508.71661798855</v>
      </c>
      <c r="E328" s="10" t="n">
        <f aca="false">IF(AND(A328&lt;=Inputs!$B$9*12,C328&gt;0.000001),MIN(C328,Inputs!$B$41-D328),0)</f>
        <v>2228.13251099216</v>
      </c>
      <c r="F328" s="10" t="n">
        <f aca="false">C328-E328</f>
        <v>81626.2550695381</v>
      </c>
      <c r="G328" s="10" t="n">
        <f aca="false">IF(AND(Inputs!$B$43=1,C328&gt;0.78*Inputs!$B$7,A328&lt;=Inputs!$B$9*6),Inputs!$B$16*Inputs!$B$39/12,0)</f>
        <v>0</v>
      </c>
      <c r="H328" s="10" t="n">
        <f aca="false">IF(B328=1,Inputs!$B$7,INDEX(Annual!$AC$2:$AC$51,B328-1))</f>
        <v>1441684.2880684</v>
      </c>
      <c r="I328" s="10" t="n">
        <f aca="false">Inputs!$B$12*IF(Inputs!$B$35="",H328,MIN(H328,Inputs!$B$7*(1+Inputs!$B$35)^(B328-1)))/12</f>
        <v>1081.2632160513</v>
      </c>
      <c r="J328" s="10" t="n">
        <f aca="false">Inputs!$B$13*Inputs!$B$7*(1+Inputs!$B$22)^(B328-1)/12</f>
        <v>439.109525671267</v>
      </c>
      <c r="K328" s="10" t="n">
        <f aca="false">Inputs!$B$14*Inputs!$B$7*(1+Inputs!$B$22)^(B328-1)/12</f>
        <v>878.219051342533</v>
      </c>
      <c r="L328" s="10" t="n">
        <f aca="false">Inputs!$B$15*(1+Inputs!$B$22)^(B328-1)</f>
        <v>0</v>
      </c>
      <c r="M328" s="10" t="n">
        <f aca="false">INDEX(Annual!$N$2:$N$51,B328)/12</f>
        <v>0</v>
      </c>
      <c r="N328" s="10" t="n">
        <f aca="false">D328+E328+G328+I328+J328+K328+L328-M328</f>
        <v>5135.4409220458</v>
      </c>
      <c r="O328" s="10" t="n">
        <f aca="false">Inputs!$B$17*(1+Inputs!$B$18)^(B328-1)+Inputs!$B$19*(1+Inputs!$B$22)^(B328-1)</f>
        <v>6360.53365652698</v>
      </c>
      <c r="P328" s="10" t="n">
        <f aca="false">N328-O328</f>
        <v>-1225.09273448118</v>
      </c>
      <c r="Q328" s="10" t="n">
        <f aca="false">Q327*(1+Inputs!$B$42)-U328+MAX(P328,0)</f>
        <v>1271058.7365824</v>
      </c>
      <c r="R328" s="10" t="n">
        <f aca="false">R327+Q327*Inputs!$B$48-U328+MAX(P328,0)</f>
        <v>396733.538137862</v>
      </c>
      <c r="S328" s="10" t="n">
        <f aca="false">S327*(1+Inputs!$B$42)-V328+MAX(-P328,0)</f>
        <v>86283.2991607307</v>
      </c>
      <c r="T328" s="10" t="n">
        <f aca="false">T327+S327*Inputs!$B$48-V328+MAX(-P328,0)</f>
        <v>71159.6757586638</v>
      </c>
      <c r="U328" s="10" t="n">
        <f aca="false">Q327*Inputs!$B$48*Inputs!$B$29</f>
        <v>173.811718664035</v>
      </c>
      <c r="V328" s="10" t="n">
        <f aca="false">S327*Inputs!$B$48*Inputs!$B$29</f>
        <v>11.6313374196837</v>
      </c>
    </row>
    <row r="329" customFormat="false" ht="15" hidden="false" customHeight="false" outlineLevel="0" collapsed="false">
      <c r="A329" s="16" t="n">
        <v>328</v>
      </c>
      <c r="B329" s="16" t="n">
        <f aca="false">ROUNDUP(A329/12,0)</f>
        <v>28</v>
      </c>
      <c r="C329" s="10" t="n">
        <f aca="false">F328</f>
        <v>81626.2550695381</v>
      </c>
      <c r="D329" s="10" t="n">
        <f aca="false">IF(AND(A329&lt;=Inputs!$B$9*12,C329&gt;0.000001),C329*Inputs!$B$10/12,0)</f>
        <v>495.199280755198</v>
      </c>
      <c r="E329" s="10" t="n">
        <f aca="false">IF(AND(A329&lt;=Inputs!$B$9*12,C329&gt;0.000001),MIN(C329,Inputs!$B$41-D329),0)</f>
        <v>2241.64984822551</v>
      </c>
      <c r="F329" s="10" t="n">
        <f aca="false">C329-E329</f>
        <v>79384.6052213126</v>
      </c>
      <c r="G329" s="10" t="n">
        <f aca="false">IF(AND(Inputs!$B$43=1,C329&gt;0.78*Inputs!$B$7,A329&lt;=Inputs!$B$9*6),Inputs!$B$16*Inputs!$B$39/12,0)</f>
        <v>0</v>
      </c>
      <c r="H329" s="10" t="n">
        <f aca="false">IF(B329=1,Inputs!$B$7,INDEX(Annual!$AC$2:$AC$51,B329-1))</f>
        <v>1441684.2880684</v>
      </c>
      <c r="I329" s="10" t="n">
        <f aca="false">Inputs!$B$12*IF(Inputs!$B$35="",H329,MIN(H329,Inputs!$B$7*(1+Inputs!$B$35)^(B329-1)))/12</f>
        <v>1081.2632160513</v>
      </c>
      <c r="J329" s="10" t="n">
        <f aca="false">Inputs!$B$13*Inputs!$B$7*(1+Inputs!$B$22)^(B329-1)/12</f>
        <v>439.109525671267</v>
      </c>
      <c r="K329" s="10" t="n">
        <f aca="false">Inputs!$B$14*Inputs!$B$7*(1+Inputs!$B$22)^(B329-1)/12</f>
        <v>878.219051342533</v>
      </c>
      <c r="L329" s="10" t="n">
        <f aca="false">Inputs!$B$15*(1+Inputs!$B$22)^(B329-1)</f>
        <v>0</v>
      </c>
      <c r="M329" s="10" t="n">
        <f aca="false">INDEX(Annual!$N$2:$N$51,B329)/12</f>
        <v>0</v>
      </c>
      <c r="N329" s="10" t="n">
        <f aca="false">D329+E329+G329+I329+J329+K329+L329-M329</f>
        <v>5135.4409220458</v>
      </c>
      <c r="O329" s="10" t="n">
        <f aca="false">Inputs!$B$17*(1+Inputs!$B$18)^(B329-1)+Inputs!$B$19*(1+Inputs!$B$22)^(B329-1)</f>
        <v>6360.53365652698</v>
      </c>
      <c r="P329" s="10" t="n">
        <f aca="false">N329-O329</f>
        <v>-1225.09273448118</v>
      </c>
      <c r="Q329" s="10" t="n">
        <f aca="false">Q328*(1+Inputs!$B$42)-U329+MAX(P329,0)</f>
        <v>1278070.71689869</v>
      </c>
      <c r="R329" s="10" t="n">
        <f aca="false">R328+Q328*Inputs!$B$48-U329+MAX(P329,0)</f>
        <v>397723.904736782</v>
      </c>
      <c r="S329" s="10" t="n">
        <f aca="false">S328*(1+Inputs!$B$42)-V329+MAX(-P329,0)</f>
        <v>87984.386259537</v>
      </c>
      <c r="T329" s="10" t="n">
        <f aca="false">T328+S328*Inputs!$B$48-V329+MAX(-P329,0)</f>
        <v>72451.9975637411</v>
      </c>
      <c r="U329" s="10" t="n">
        <f aca="false">Q328*Inputs!$B$48*Inputs!$B$29</f>
        <v>174.77057628008</v>
      </c>
      <c r="V329" s="10" t="n">
        <f aca="false">S328*Inputs!$B$48*Inputs!$B$29</f>
        <v>11.8639536346005</v>
      </c>
    </row>
    <row r="330" customFormat="false" ht="15" hidden="false" customHeight="false" outlineLevel="0" collapsed="false">
      <c r="A330" s="16" t="n">
        <v>329</v>
      </c>
      <c r="B330" s="16" t="n">
        <f aca="false">ROUNDUP(A330/12,0)</f>
        <v>28</v>
      </c>
      <c r="C330" s="10" t="n">
        <f aca="false">F329</f>
        <v>79384.6052213126</v>
      </c>
      <c r="D330" s="10" t="n">
        <f aca="false">IF(AND(A330&lt;=Inputs!$B$9*12,C330&gt;0.000001),C330*Inputs!$B$10/12,0)</f>
        <v>481.59993834263</v>
      </c>
      <c r="E330" s="10" t="n">
        <f aca="false">IF(AND(A330&lt;=Inputs!$B$9*12,C330&gt;0.000001),MIN(C330,Inputs!$B$41-D330),0)</f>
        <v>2255.24919063808</v>
      </c>
      <c r="F330" s="10" t="n">
        <f aca="false">C330-E330</f>
        <v>77129.3560306745</v>
      </c>
      <c r="G330" s="10" t="n">
        <f aca="false">IF(AND(Inputs!$B$43=1,C330&gt;0.78*Inputs!$B$7,A330&lt;=Inputs!$B$9*6),Inputs!$B$16*Inputs!$B$39/12,0)</f>
        <v>0</v>
      </c>
      <c r="H330" s="10" t="n">
        <f aca="false">IF(B330=1,Inputs!$B$7,INDEX(Annual!$AC$2:$AC$51,B330-1))</f>
        <v>1441684.2880684</v>
      </c>
      <c r="I330" s="10" t="n">
        <f aca="false">Inputs!$B$12*IF(Inputs!$B$35="",H330,MIN(H330,Inputs!$B$7*(1+Inputs!$B$35)^(B330-1)))/12</f>
        <v>1081.2632160513</v>
      </c>
      <c r="J330" s="10" t="n">
        <f aca="false">Inputs!$B$13*Inputs!$B$7*(1+Inputs!$B$22)^(B330-1)/12</f>
        <v>439.109525671267</v>
      </c>
      <c r="K330" s="10" t="n">
        <f aca="false">Inputs!$B$14*Inputs!$B$7*(1+Inputs!$B$22)^(B330-1)/12</f>
        <v>878.219051342533</v>
      </c>
      <c r="L330" s="10" t="n">
        <f aca="false">Inputs!$B$15*(1+Inputs!$B$22)^(B330-1)</f>
        <v>0</v>
      </c>
      <c r="M330" s="10" t="n">
        <f aca="false">INDEX(Annual!$N$2:$N$51,B330)/12</f>
        <v>0</v>
      </c>
      <c r="N330" s="10" t="n">
        <f aca="false">D330+E330+G330+I330+J330+K330+L330-M330</f>
        <v>5135.4409220458</v>
      </c>
      <c r="O330" s="10" t="n">
        <f aca="false">Inputs!$B$17*(1+Inputs!$B$18)^(B330-1)+Inputs!$B$19*(1+Inputs!$B$22)^(B330-1)</f>
        <v>6360.53365652698</v>
      </c>
      <c r="P330" s="10" t="n">
        <f aca="false">N330-O330</f>
        <v>-1225.09273448118</v>
      </c>
      <c r="Q330" s="10" t="n">
        <f aca="false">Q329*(1+Inputs!$B$42)-U330+MAX(P330,0)</f>
        <v>1285121.37982384</v>
      </c>
      <c r="R330" s="10" t="n">
        <f aca="false">R329+Q329*Inputs!$B$48-U330+MAX(P330,0)</f>
        <v>398719.734837032</v>
      </c>
      <c r="S330" s="10" t="n">
        <f aca="false">S329*(1+Inputs!$B$42)-V330+MAX(-P330,0)</f>
        <v>89694.8576526406</v>
      </c>
      <c r="T330" s="10" t="n">
        <f aca="false">T329+S329*Inputs!$B$48-V330+MAX(-P330,0)</f>
        <v>73745.6447991828</v>
      </c>
      <c r="U330" s="10" t="n">
        <f aca="false">Q329*Inputs!$B$48*Inputs!$B$29</f>
        <v>175.734723573569</v>
      </c>
      <c r="V330" s="10" t="n">
        <f aca="false">S329*Inputs!$B$48*Inputs!$B$29</f>
        <v>12.0978531106863</v>
      </c>
    </row>
    <row r="331" customFormat="false" ht="15" hidden="false" customHeight="false" outlineLevel="0" collapsed="false">
      <c r="A331" s="16" t="n">
        <v>330</v>
      </c>
      <c r="B331" s="16" t="n">
        <f aca="false">ROUNDUP(A331/12,0)</f>
        <v>28</v>
      </c>
      <c r="C331" s="10" t="n">
        <f aca="false">F330</f>
        <v>77129.3560306745</v>
      </c>
      <c r="D331" s="10" t="n">
        <f aca="false">IF(AND(A331&lt;=Inputs!$B$9*12,C331&gt;0.000001),C331*Inputs!$B$10/12,0)</f>
        <v>467.918093252759</v>
      </c>
      <c r="E331" s="10" t="n">
        <f aca="false">IF(AND(A331&lt;=Inputs!$B$9*12,C331&gt;0.000001),MIN(C331,Inputs!$B$41-D331),0)</f>
        <v>2268.93103572795</v>
      </c>
      <c r="F331" s="10" t="n">
        <f aca="false">C331-E331</f>
        <v>74860.4249949465</v>
      </c>
      <c r="G331" s="10" t="n">
        <f aca="false">IF(AND(Inputs!$B$43=1,C331&gt;0.78*Inputs!$B$7,A331&lt;=Inputs!$B$9*6),Inputs!$B$16*Inputs!$B$39/12,0)</f>
        <v>0</v>
      </c>
      <c r="H331" s="10" t="n">
        <f aca="false">IF(B331=1,Inputs!$B$7,INDEX(Annual!$AC$2:$AC$51,B331-1))</f>
        <v>1441684.2880684</v>
      </c>
      <c r="I331" s="10" t="n">
        <f aca="false">Inputs!$B$12*IF(Inputs!$B$35="",H331,MIN(H331,Inputs!$B$7*(1+Inputs!$B$35)^(B331-1)))/12</f>
        <v>1081.2632160513</v>
      </c>
      <c r="J331" s="10" t="n">
        <f aca="false">Inputs!$B$13*Inputs!$B$7*(1+Inputs!$B$22)^(B331-1)/12</f>
        <v>439.109525671267</v>
      </c>
      <c r="K331" s="10" t="n">
        <f aca="false">Inputs!$B$14*Inputs!$B$7*(1+Inputs!$B$22)^(B331-1)/12</f>
        <v>878.219051342533</v>
      </c>
      <c r="L331" s="10" t="n">
        <f aca="false">Inputs!$B$15*(1+Inputs!$B$22)^(B331-1)</f>
        <v>0</v>
      </c>
      <c r="M331" s="10" t="n">
        <f aca="false">INDEX(Annual!$N$2:$N$51,B331)/12</f>
        <v>0</v>
      </c>
      <c r="N331" s="10" t="n">
        <f aca="false">D331+E331+G331+I331+J331+K331+L331-M331</f>
        <v>5135.44092204581</v>
      </c>
      <c r="O331" s="10" t="n">
        <f aca="false">Inputs!$B$17*(1+Inputs!$B$18)^(B331-1)+Inputs!$B$19*(1+Inputs!$B$22)^(B331-1)</f>
        <v>6360.53365652698</v>
      </c>
      <c r="P331" s="10" t="n">
        <f aca="false">N331-O331</f>
        <v>-1225.09273448118</v>
      </c>
      <c r="Q331" s="10" t="n">
        <f aca="false">Q330*(1+Inputs!$B$42)-U331+MAX(P331,0)</f>
        <v>1292210.93875611</v>
      </c>
      <c r="R331" s="10" t="n">
        <f aca="false">R330+Q330*Inputs!$B$48-U331+MAX(P331,0)</f>
        <v>399721.058578812</v>
      </c>
      <c r="S331" s="10" t="n">
        <f aca="false">S330*(1+Inputs!$B$42)-V331+MAX(-P331,0)</f>
        <v>91414.7651098652</v>
      </c>
      <c r="T331" s="10" t="n">
        <f aca="false">T330+S330*Inputs!$B$48-V331+MAX(-P331,0)</f>
        <v>75040.6247769184</v>
      </c>
      <c r="U331" s="10" t="n">
        <f aca="false">Q330*Inputs!$B$48*Inputs!$B$29</f>
        <v>176.704189725779</v>
      </c>
      <c r="V331" s="10" t="n">
        <f aca="false">S330*Inputs!$B$48*Inputs!$B$29</f>
        <v>12.3330429272381</v>
      </c>
    </row>
    <row r="332" customFormat="false" ht="15" hidden="false" customHeight="false" outlineLevel="0" collapsed="false">
      <c r="A332" s="16" t="n">
        <v>331</v>
      </c>
      <c r="B332" s="16" t="n">
        <f aca="false">ROUNDUP(A332/12,0)</f>
        <v>28</v>
      </c>
      <c r="C332" s="10" t="n">
        <f aca="false">F331</f>
        <v>74860.4249949465</v>
      </c>
      <c r="D332" s="10" t="n">
        <f aca="false">IF(AND(A332&lt;=Inputs!$B$9*12,C332&gt;0.000001),C332*Inputs!$B$10/12,0)</f>
        <v>454.153244969342</v>
      </c>
      <c r="E332" s="10" t="n">
        <f aca="false">IF(AND(A332&lt;=Inputs!$B$9*12,C332&gt;0.000001),MIN(C332,Inputs!$B$41-D332),0)</f>
        <v>2282.69588401136</v>
      </c>
      <c r="F332" s="10" t="n">
        <f aca="false">C332-E332</f>
        <v>72577.7291109352</v>
      </c>
      <c r="G332" s="10" t="n">
        <f aca="false">IF(AND(Inputs!$B$43=1,C332&gt;0.78*Inputs!$B$7,A332&lt;=Inputs!$B$9*6),Inputs!$B$16*Inputs!$B$39/12,0)</f>
        <v>0</v>
      </c>
      <c r="H332" s="10" t="n">
        <f aca="false">IF(B332=1,Inputs!$B$7,INDEX(Annual!$AC$2:$AC$51,B332-1))</f>
        <v>1441684.2880684</v>
      </c>
      <c r="I332" s="10" t="n">
        <f aca="false">Inputs!$B$12*IF(Inputs!$B$35="",H332,MIN(H332,Inputs!$B$7*(1+Inputs!$B$35)^(B332-1)))/12</f>
        <v>1081.2632160513</v>
      </c>
      <c r="J332" s="10" t="n">
        <f aca="false">Inputs!$B$13*Inputs!$B$7*(1+Inputs!$B$22)^(B332-1)/12</f>
        <v>439.109525671267</v>
      </c>
      <c r="K332" s="10" t="n">
        <f aca="false">Inputs!$B$14*Inputs!$B$7*(1+Inputs!$B$22)^(B332-1)/12</f>
        <v>878.219051342533</v>
      </c>
      <c r="L332" s="10" t="n">
        <f aca="false">Inputs!$B$15*(1+Inputs!$B$22)^(B332-1)</f>
        <v>0</v>
      </c>
      <c r="M332" s="10" t="n">
        <f aca="false">INDEX(Annual!$N$2:$N$51,B332)/12</f>
        <v>0</v>
      </c>
      <c r="N332" s="10" t="n">
        <f aca="false">D332+E332+G332+I332+J332+K332+L332-M332</f>
        <v>5135.4409220458</v>
      </c>
      <c r="O332" s="10" t="n">
        <f aca="false">Inputs!$B$17*(1+Inputs!$B$18)^(B332-1)+Inputs!$B$19*(1+Inputs!$B$22)^(B332-1)</f>
        <v>6360.53365652698</v>
      </c>
      <c r="P332" s="10" t="n">
        <f aca="false">N332-O332</f>
        <v>-1225.09273448118</v>
      </c>
      <c r="Q332" s="10" t="n">
        <f aca="false">Q331*(1+Inputs!$B$42)-U332+MAX(P332,0)</f>
        <v>1299339.60827095</v>
      </c>
      <c r="R332" s="10" t="n">
        <f aca="false">R331+Q331*Inputs!$B$48-U332+MAX(P332,0)</f>
        <v>400727.906268593</v>
      </c>
      <c r="S332" s="10" t="n">
        <f aca="false">S331*(1+Inputs!$B$42)-V332+MAX(-P332,0)</f>
        <v>93144.1606866304</v>
      </c>
      <c r="T332" s="10" t="n">
        <f aca="false">T331+S331*Inputs!$B$48-V332+MAX(-P332,0)</f>
        <v>76336.9448492143</v>
      </c>
      <c r="U332" s="10" t="n">
        <f aca="false">Q331*Inputs!$B$48*Inputs!$B$29</f>
        <v>177.679004078964</v>
      </c>
      <c r="V332" s="10" t="n">
        <f aca="false">S331*Inputs!$B$48*Inputs!$B$29</f>
        <v>12.5695302026065</v>
      </c>
    </row>
    <row r="333" customFormat="false" ht="15" hidden="false" customHeight="false" outlineLevel="0" collapsed="false">
      <c r="A333" s="16" t="n">
        <v>332</v>
      </c>
      <c r="B333" s="16" t="n">
        <f aca="false">ROUNDUP(A333/12,0)</f>
        <v>28</v>
      </c>
      <c r="C333" s="10" t="n">
        <f aca="false">F332</f>
        <v>72577.7291109352</v>
      </c>
      <c r="D333" s="10" t="n">
        <f aca="false">IF(AND(A333&lt;=Inputs!$B$9*12,C333&gt;0.000001),C333*Inputs!$B$10/12,0)</f>
        <v>440.304889939673</v>
      </c>
      <c r="E333" s="10" t="n">
        <f aca="false">IF(AND(A333&lt;=Inputs!$B$9*12,C333&gt;0.000001),MIN(C333,Inputs!$B$41-D333),0)</f>
        <v>2296.54423904103</v>
      </c>
      <c r="F333" s="10" t="n">
        <f aca="false">C333-E333</f>
        <v>70281.1848718942</v>
      </c>
      <c r="G333" s="10" t="n">
        <f aca="false">IF(AND(Inputs!$B$43=1,C333&gt;0.78*Inputs!$B$7,A333&lt;=Inputs!$B$9*6),Inputs!$B$16*Inputs!$B$39/12,0)</f>
        <v>0</v>
      </c>
      <c r="H333" s="10" t="n">
        <f aca="false">IF(B333=1,Inputs!$B$7,INDEX(Annual!$AC$2:$AC$51,B333-1))</f>
        <v>1441684.2880684</v>
      </c>
      <c r="I333" s="10" t="n">
        <f aca="false">Inputs!$B$12*IF(Inputs!$B$35="",H333,MIN(H333,Inputs!$B$7*(1+Inputs!$B$35)^(B333-1)))/12</f>
        <v>1081.2632160513</v>
      </c>
      <c r="J333" s="10" t="n">
        <f aca="false">Inputs!$B$13*Inputs!$B$7*(1+Inputs!$B$22)^(B333-1)/12</f>
        <v>439.109525671267</v>
      </c>
      <c r="K333" s="10" t="n">
        <f aca="false">Inputs!$B$14*Inputs!$B$7*(1+Inputs!$B$22)^(B333-1)/12</f>
        <v>878.219051342533</v>
      </c>
      <c r="L333" s="10" t="n">
        <f aca="false">Inputs!$B$15*(1+Inputs!$B$22)^(B333-1)</f>
        <v>0</v>
      </c>
      <c r="M333" s="10" t="n">
        <f aca="false">INDEX(Annual!$N$2:$N$51,B333)/12</f>
        <v>0</v>
      </c>
      <c r="N333" s="10" t="n">
        <f aca="false">D333+E333+G333+I333+J333+K333+L333-M333</f>
        <v>5135.4409220458</v>
      </c>
      <c r="O333" s="10" t="n">
        <f aca="false">Inputs!$B$17*(1+Inputs!$B$18)^(B333-1)+Inputs!$B$19*(1+Inputs!$B$22)^(B333-1)</f>
        <v>6360.53365652698</v>
      </c>
      <c r="P333" s="10" t="n">
        <f aca="false">N333-O333</f>
        <v>-1225.09273448118</v>
      </c>
      <c r="Q333" s="10" t="n">
        <f aca="false">Q332*(1+Inputs!$B$42)-U333+MAX(P333,0)</f>
        <v>1306507.60412759</v>
      </c>
      <c r="R333" s="10" t="n">
        <f aca="false">R332+Q332*Inputs!$B$48-U333+MAX(P333,0)</f>
        <v>401740.308380037</v>
      </c>
      <c r="S333" s="10" t="n">
        <f aca="false">S332*(1+Inputs!$B$42)-V333+MAX(-P333,0)</f>
        <v>94883.0967255272</v>
      </c>
      <c r="T333" s="10" t="n">
        <f aca="false">T332+S332*Inputs!$B$48-V333+MAX(-P333,0)</f>
        <v>77634.6124088972</v>
      </c>
      <c r="U333" s="10" t="n">
        <f aca="false">Q332*Inputs!$B$48*Inputs!$B$29</f>
        <v>178.659196137255</v>
      </c>
      <c r="V333" s="10" t="n">
        <f aca="false">S332*Inputs!$B$48*Inputs!$B$29</f>
        <v>12.8073220944117</v>
      </c>
    </row>
    <row r="334" customFormat="false" ht="15" hidden="false" customHeight="false" outlineLevel="0" collapsed="false">
      <c r="A334" s="16" t="n">
        <v>333</v>
      </c>
      <c r="B334" s="16" t="n">
        <f aca="false">ROUNDUP(A334/12,0)</f>
        <v>28</v>
      </c>
      <c r="C334" s="10" t="n">
        <f aca="false">F333</f>
        <v>70281.1848718942</v>
      </c>
      <c r="D334" s="10" t="n">
        <f aca="false">IF(AND(A334&lt;=Inputs!$B$9*12,C334&gt;0.000001),C334*Inputs!$B$10/12,0)</f>
        <v>426.372521556158</v>
      </c>
      <c r="E334" s="10" t="n">
        <f aca="false">IF(AND(A334&lt;=Inputs!$B$9*12,C334&gt;0.000001),MIN(C334,Inputs!$B$41-D334),0)</f>
        <v>2310.47660742455</v>
      </c>
      <c r="F334" s="10" t="n">
        <f aca="false">C334-E334</f>
        <v>67970.7082644696</v>
      </c>
      <c r="G334" s="10" t="n">
        <f aca="false">IF(AND(Inputs!$B$43=1,C334&gt;0.78*Inputs!$B$7,A334&lt;=Inputs!$B$9*6),Inputs!$B$16*Inputs!$B$39/12,0)</f>
        <v>0</v>
      </c>
      <c r="H334" s="10" t="n">
        <f aca="false">IF(B334=1,Inputs!$B$7,INDEX(Annual!$AC$2:$AC$51,B334-1))</f>
        <v>1441684.2880684</v>
      </c>
      <c r="I334" s="10" t="n">
        <f aca="false">Inputs!$B$12*IF(Inputs!$B$35="",H334,MIN(H334,Inputs!$B$7*(1+Inputs!$B$35)^(B334-1)))/12</f>
        <v>1081.2632160513</v>
      </c>
      <c r="J334" s="10" t="n">
        <f aca="false">Inputs!$B$13*Inputs!$B$7*(1+Inputs!$B$22)^(B334-1)/12</f>
        <v>439.109525671267</v>
      </c>
      <c r="K334" s="10" t="n">
        <f aca="false">Inputs!$B$14*Inputs!$B$7*(1+Inputs!$B$22)^(B334-1)/12</f>
        <v>878.219051342533</v>
      </c>
      <c r="L334" s="10" t="n">
        <f aca="false">Inputs!$B$15*(1+Inputs!$B$22)^(B334-1)</f>
        <v>0</v>
      </c>
      <c r="M334" s="10" t="n">
        <f aca="false">INDEX(Annual!$N$2:$N$51,B334)/12</f>
        <v>0</v>
      </c>
      <c r="N334" s="10" t="n">
        <f aca="false">D334+E334+G334+I334+J334+K334+L334-M334</f>
        <v>5135.44092204581</v>
      </c>
      <c r="O334" s="10" t="n">
        <f aca="false">Inputs!$B$17*(1+Inputs!$B$18)^(B334-1)+Inputs!$B$19*(1+Inputs!$B$22)^(B334-1)</f>
        <v>6360.53365652698</v>
      </c>
      <c r="P334" s="10" t="n">
        <f aca="false">N334-O334</f>
        <v>-1225.09273448118</v>
      </c>
      <c r="Q334" s="10" t="n">
        <f aca="false">Q333*(1+Inputs!$B$42)-U334+MAX(P334,0)</f>
        <v>1313715.14327551</v>
      </c>
      <c r="R334" s="10" t="n">
        <f aca="false">R333+Q333*Inputs!$B$48-U334+MAX(P334,0)</f>
        <v>402758.29555492</v>
      </c>
      <c r="S334" s="10" t="n">
        <f aca="false">S333*(1+Inputs!$B$42)-V334+MAX(-P334,0)</f>
        <v>96631.625857902</v>
      </c>
      <c r="T334" s="10" t="n">
        <f aca="false">T333+S333*Inputs!$B$48-V334+MAX(-P334,0)</f>
        <v>78933.634889577</v>
      </c>
      <c r="U334" s="10" t="n">
        <f aca="false">Q333*Inputs!$B$48*Inputs!$B$29</f>
        <v>179.644795567544</v>
      </c>
      <c r="V334" s="10" t="n">
        <f aca="false">S333*Inputs!$B$48*Inputs!$B$29</f>
        <v>13.04642579976</v>
      </c>
    </row>
    <row r="335" customFormat="false" ht="15" hidden="false" customHeight="false" outlineLevel="0" collapsed="false">
      <c r="A335" s="16" t="n">
        <v>334</v>
      </c>
      <c r="B335" s="16" t="n">
        <f aca="false">ROUNDUP(A335/12,0)</f>
        <v>28</v>
      </c>
      <c r="C335" s="10" t="n">
        <f aca="false">F334</f>
        <v>67970.7082644696</v>
      </c>
      <c r="D335" s="10" t="n">
        <f aca="false">IF(AND(A335&lt;=Inputs!$B$9*12,C335&gt;0.000001),C335*Inputs!$B$10/12,0)</f>
        <v>412.355630137782</v>
      </c>
      <c r="E335" s="10" t="n">
        <f aca="false">IF(AND(A335&lt;=Inputs!$B$9*12,C335&gt;0.000001),MIN(C335,Inputs!$B$41-D335),0)</f>
        <v>2324.49349884292</v>
      </c>
      <c r="F335" s="10" t="n">
        <f aca="false">C335-E335</f>
        <v>65646.2147656267</v>
      </c>
      <c r="G335" s="10" t="n">
        <f aca="false">IF(AND(Inputs!$B$43=1,C335&gt;0.78*Inputs!$B$7,A335&lt;=Inputs!$B$9*6),Inputs!$B$16*Inputs!$B$39/12,0)</f>
        <v>0</v>
      </c>
      <c r="H335" s="10" t="n">
        <f aca="false">IF(B335=1,Inputs!$B$7,INDEX(Annual!$AC$2:$AC$51,B335-1))</f>
        <v>1441684.2880684</v>
      </c>
      <c r="I335" s="10" t="n">
        <f aca="false">Inputs!$B$12*IF(Inputs!$B$35="",H335,MIN(H335,Inputs!$B$7*(1+Inputs!$B$35)^(B335-1)))/12</f>
        <v>1081.2632160513</v>
      </c>
      <c r="J335" s="10" t="n">
        <f aca="false">Inputs!$B$13*Inputs!$B$7*(1+Inputs!$B$22)^(B335-1)/12</f>
        <v>439.109525671267</v>
      </c>
      <c r="K335" s="10" t="n">
        <f aca="false">Inputs!$B$14*Inputs!$B$7*(1+Inputs!$B$22)^(B335-1)/12</f>
        <v>878.219051342533</v>
      </c>
      <c r="L335" s="10" t="n">
        <f aca="false">Inputs!$B$15*(1+Inputs!$B$22)^(B335-1)</f>
        <v>0</v>
      </c>
      <c r="M335" s="10" t="n">
        <f aca="false">INDEX(Annual!$N$2:$N$51,B335)/12</f>
        <v>0</v>
      </c>
      <c r="N335" s="10" t="n">
        <f aca="false">D335+E335+G335+I335+J335+K335+L335-M335</f>
        <v>5135.4409220458</v>
      </c>
      <c r="O335" s="10" t="n">
        <f aca="false">Inputs!$B$17*(1+Inputs!$B$18)^(B335-1)+Inputs!$B$19*(1+Inputs!$B$22)^(B335-1)</f>
        <v>6360.53365652698</v>
      </c>
      <c r="P335" s="10" t="n">
        <f aca="false">N335-O335</f>
        <v>-1225.09273448118</v>
      </c>
      <c r="Q335" s="10" t="n">
        <f aca="false">Q334*(1+Inputs!$B$42)-U335+MAX(P335,0)</f>
        <v>1320962.44386103</v>
      </c>
      <c r="R335" s="10" t="n">
        <f aca="false">R334+Q334*Inputs!$B$48-U335+MAX(P335,0)</f>
        <v>403781.898604055</v>
      </c>
      <c r="S335" s="10" t="n">
        <f aca="false">S334*(1+Inputs!$B$42)-V335+MAX(-P335,0)</f>
        <v>98389.8010054497</v>
      </c>
      <c r="T335" s="10" t="n">
        <f aca="false">T334+S334*Inputs!$B$48-V335+MAX(-P335,0)</f>
        <v>80234.0197658724</v>
      </c>
      <c r="U335" s="10" t="n">
        <f aca="false">Q334*Inputs!$B$48*Inputs!$B$29</f>
        <v>180.635832200383</v>
      </c>
      <c r="V335" s="10" t="n">
        <f aca="false">S334*Inputs!$B$48*Inputs!$B$29</f>
        <v>13.2868485554615</v>
      </c>
    </row>
    <row r="336" customFormat="false" ht="15" hidden="false" customHeight="false" outlineLevel="0" collapsed="false">
      <c r="A336" s="16" t="n">
        <v>335</v>
      </c>
      <c r="B336" s="16" t="n">
        <f aca="false">ROUNDUP(A336/12,0)</f>
        <v>28</v>
      </c>
      <c r="C336" s="10" t="n">
        <f aca="false">F335</f>
        <v>65646.2147656267</v>
      </c>
      <c r="D336" s="10" t="n">
        <f aca="false">IF(AND(A336&lt;=Inputs!$B$9*12,C336&gt;0.000001),C336*Inputs!$B$10/12,0)</f>
        <v>398.253702911469</v>
      </c>
      <c r="E336" s="10" t="n">
        <f aca="false">IF(AND(A336&lt;=Inputs!$B$9*12,C336&gt;0.000001),MIN(C336,Inputs!$B$41-D336),0)</f>
        <v>2338.59542606924</v>
      </c>
      <c r="F336" s="10" t="n">
        <f aca="false">C336-E336</f>
        <v>63307.6193395574</v>
      </c>
      <c r="G336" s="10" t="n">
        <f aca="false">IF(AND(Inputs!$B$43=1,C336&gt;0.78*Inputs!$B$7,A336&lt;=Inputs!$B$9*6),Inputs!$B$16*Inputs!$B$39/12,0)</f>
        <v>0</v>
      </c>
      <c r="H336" s="10" t="n">
        <f aca="false">IF(B336=1,Inputs!$B$7,INDEX(Annual!$AC$2:$AC$51,B336-1))</f>
        <v>1441684.2880684</v>
      </c>
      <c r="I336" s="10" t="n">
        <f aca="false">Inputs!$B$12*IF(Inputs!$B$35="",H336,MIN(H336,Inputs!$B$7*(1+Inputs!$B$35)^(B336-1)))/12</f>
        <v>1081.2632160513</v>
      </c>
      <c r="J336" s="10" t="n">
        <f aca="false">Inputs!$B$13*Inputs!$B$7*(1+Inputs!$B$22)^(B336-1)/12</f>
        <v>439.109525671267</v>
      </c>
      <c r="K336" s="10" t="n">
        <f aca="false">Inputs!$B$14*Inputs!$B$7*(1+Inputs!$B$22)^(B336-1)/12</f>
        <v>878.219051342533</v>
      </c>
      <c r="L336" s="10" t="n">
        <f aca="false">Inputs!$B$15*(1+Inputs!$B$22)^(B336-1)</f>
        <v>0</v>
      </c>
      <c r="M336" s="10" t="n">
        <f aca="false">INDEX(Annual!$N$2:$N$51,B336)/12</f>
        <v>0</v>
      </c>
      <c r="N336" s="10" t="n">
        <f aca="false">D336+E336+G336+I336+J336+K336+L336-M336</f>
        <v>5135.4409220458</v>
      </c>
      <c r="O336" s="10" t="n">
        <f aca="false">Inputs!$B$17*(1+Inputs!$B$18)^(B336-1)+Inputs!$B$19*(1+Inputs!$B$22)^(B336-1)</f>
        <v>6360.53365652698</v>
      </c>
      <c r="P336" s="10" t="n">
        <f aca="false">N336-O336</f>
        <v>-1225.09273448118</v>
      </c>
      <c r="Q336" s="10" t="n">
        <f aca="false">Q335*(1+Inputs!$B$42)-U336+MAX(P336,0)</f>
        <v>1328249.72523389</v>
      </c>
      <c r="R336" s="10" t="n">
        <f aca="false">R335+Q335*Inputs!$B$48-U336+MAX(P336,0)</f>
        <v>404811.14850823</v>
      </c>
      <c r="S336" s="10" t="n">
        <f aca="false">S335*(1+Inputs!$B$42)-V336+MAX(-P336,0)</f>
        <v>100157.675381815</v>
      </c>
      <c r="T336" s="10" t="n">
        <f aca="false">T335+S335*Inputs!$B$48-V336+MAX(-P336,0)</f>
        <v>81535.774553637</v>
      </c>
      <c r="U336" s="10" t="n">
        <f aca="false">Q335*Inputs!$B$48*Inputs!$B$29</f>
        <v>181.632336030891</v>
      </c>
      <c r="V336" s="10" t="n">
        <f aca="false">S335*Inputs!$B$48*Inputs!$B$29</f>
        <v>13.5285976382493</v>
      </c>
    </row>
    <row r="337" customFormat="false" ht="15" hidden="false" customHeight="false" outlineLevel="0" collapsed="false">
      <c r="A337" s="16" t="n">
        <v>336</v>
      </c>
      <c r="B337" s="16" t="n">
        <f aca="false">ROUNDUP(A337/12,0)</f>
        <v>28</v>
      </c>
      <c r="C337" s="10" t="n">
        <f aca="false">F336</f>
        <v>63307.6193395574</v>
      </c>
      <c r="D337" s="10" t="n">
        <f aca="false">IF(AND(A337&lt;=Inputs!$B$9*12,C337&gt;0.000001),C337*Inputs!$B$10/12,0)</f>
        <v>384.066223993315</v>
      </c>
      <c r="E337" s="10" t="n">
        <f aca="false">IF(AND(A337&lt;=Inputs!$B$9*12,C337&gt;0.000001),MIN(C337,Inputs!$B$41-D337),0)</f>
        <v>2352.78290498739</v>
      </c>
      <c r="F337" s="10" t="n">
        <f aca="false">C337-E337</f>
        <v>60954.8364345701</v>
      </c>
      <c r="G337" s="10" t="n">
        <f aca="false">IF(AND(Inputs!$B$43=1,C337&gt;0.78*Inputs!$B$7,A337&lt;=Inputs!$B$9*6),Inputs!$B$16*Inputs!$B$39/12,0)</f>
        <v>0</v>
      </c>
      <c r="H337" s="10" t="n">
        <f aca="false">IF(B337=1,Inputs!$B$7,INDEX(Annual!$AC$2:$AC$51,B337-1))</f>
        <v>1441684.2880684</v>
      </c>
      <c r="I337" s="10" t="n">
        <f aca="false">Inputs!$B$12*IF(Inputs!$B$35="",H337,MIN(H337,Inputs!$B$7*(1+Inputs!$B$35)^(B337-1)))/12</f>
        <v>1081.2632160513</v>
      </c>
      <c r="J337" s="10" t="n">
        <f aca="false">Inputs!$B$13*Inputs!$B$7*(1+Inputs!$B$22)^(B337-1)/12</f>
        <v>439.109525671267</v>
      </c>
      <c r="K337" s="10" t="n">
        <f aca="false">Inputs!$B$14*Inputs!$B$7*(1+Inputs!$B$22)^(B337-1)/12</f>
        <v>878.219051342533</v>
      </c>
      <c r="L337" s="10" t="n">
        <f aca="false">Inputs!$B$15*(1+Inputs!$B$22)^(B337-1)</f>
        <v>0</v>
      </c>
      <c r="M337" s="10" t="n">
        <f aca="false">INDEX(Annual!$N$2:$N$51,B337)/12</f>
        <v>0</v>
      </c>
      <c r="N337" s="10" t="n">
        <f aca="false">D337+E337+G337+I337+J337+K337+L337-M337</f>
        <v>5135.44092204581</v>
      </c>
      <c r="O337" s="10" t="n">
        <f aca="false">Inputs!$B$17*(1+Inputs!$B$18)^(B337-1)+Inputs!$B$19*(1+Inputs!$B$22)^(B337-1)</f>
        <v>6360.53365652698</v>
      </c>
      <c r="P337" s="10" t="n">
        <f aca="false">N337-O337</f>
        <v>-1225.09273448118</v>
      </c>
      <c r="Q337" s="10" t="n">
        <f aca="false">Q336*(1+Inputs!$B$42)-U337+MAX(P337,0)</f>
        <v>1335577.20795392</v>
      </c>
      <c r="R337" s="10" t="n">
        <f aca="false">R336+Q336*Inputs!$B$48-U337+MAX(P337,0)</f>
        <v>405846.076419142</v>
      </c>
      <c r="S337" s="10" t="n">
        <f aca="false">S336*(1+Inputs!$B$42)-V337+MAX(-P337,0)</f>
        <v>101935.302494205</v>
      </c>
      <c r="T337" s="10" t="n">
        <f aca="false">T336+S336*Inputs!$B$48-V337+MAX(-P337,0)</f>
        <v>82838.9068101865</v>
      </c>
      <c r="U337" s="10" t="n">
        <f aca="false">Q336*Inputs!$B$48*Inputs!$B$29</f>
        <v>182.634337219659</v>
      </c>
      <c r="V337" s="10" t="n">
        <f aca="false">S336*Inputs!$B$48*Inputs!$B$29</f>
        <v>13.7716803649996</v>
      </c>
    </row>
    <row r="338" customFormat="false" ht="15" hidden="false" customHeight="false" outlineLevel="0" collapsed="false">
      <c r="A338" s="16" t="n">
        <v>337</v>
      </c>
      <c r="B338" s="16" t="n">
        <f aca="false">ROUNDUP(A338/12,0)</f>
        <v>29</v>
      </c>
      <c r="C338" s="10" t="n">
        <f aca="false">F337</f>
        <v>60954.8364345701</v>
      </c>
      <c r="D338" s="10" t="n">
        <f aca="false">IF(AND(A338&lt;=Inputs!$B$9*12,C338&gt;0.000001),C338*Inputs!$B$10/12,0)</f>
        <v>369.792674369725</v>
      </c>
      <c r="E338" s="10" t="n">
        <f aca="false">IF(AND(A338&lt;=Inputs!$B$9*12,C338&gt;0.000001),MIN(C338,Inputs!$B$41-D338),0)</f>
        <v>2367.05645461098</v>
      </c>
      <c r="F338" s="10" t="n">
        <f aca="false">C338-E338</f>
        <v>58587.7799799591</v>
      </c>
      <c r="G338" s="10" t="n">
        <f aca="false">IF(AND(Inputs!$B$43=1,C338&gt;0.78*Inputs!$B$7,A338&lt;=Inputs!$B$9*6),Inputs!$B$16*Inputs!$B$39/12,0)</f>
        <v>0</v>
      </c>
      <c r="H338" s="10" t="n">
        <f aca="false">IF(B338=1,Inputs!$B$7,INDEX(Annual!$AC$2:$AC$51,B338-1))</f>
        <v>1499351.65959113</v>
      </c>
      <c r="I338" s="10" t="n">
        <f aca="false">Inputs!$B$12*IF(Inputs!$B$35="",H338,MIN(H338,Inputs!$B$7*(1+Inputs!$B$35)^(B338-1)))/12</f>
        <v>1124.51374469335</v>
      </c>
      <c r="J338" s="10" t="n">
        <f aca="false">Inputs!$B$13*Inputs!$B$7*(1+Inputs!$B$22)^(B338-1)/12</f>
        <v>451.404592390062</v>
      </c>
      <c r="K338" s="10" t="n">
        <f aca="false">Inputs!$B$14*Inputs!$B$7*(1+Inputs!$B$22)^(B338-1)/12</f>
        <v>902.809184780124</v>
      </c>
      <c r="L338" s="10" t="n">
        <f aca="false">Inputs!$B$15*(1+Inputs!$B$22)^(B338-1)</f>
        <v>0</v>
      </c>
      <c r="M338" s="10" t="n">
        <f aca="false">INDEX(Annual!$N$2:$N$51,B338)/12</f>
        <v>0</v>
      </c>
      <c r="N338" s="10" t="n">
        <f aca="false">D338+E338+G338+I338+J338+K338+L338-M338</f>
        <v>5215.57665084424</v>
      </c>
      <c r="O338" s="10" t="n">
        <f aca="false">Inputs!$B$17*(1+Inputs!$B$18)^(B338-1)+Inputs!$B$19*(1+Inputs!$B$22)^(B338-1)</f>
        <v>6582.93102330449</v>
      </c>
      <c r="P338" s="10" t="n">
        <f aca="false">N338-O338</f>
        <v>-1367.35437246024</v>
      </c>
      <c r="Q338" s="10" t="n">
        <f aca="false">Q337*(1+Inputs!$B$42)-U338+MAX(P338,0)</f>
        <v>1342945.1137977</v>
      </c>
      <c r="R338" s="10" t="n">
        <f aca="false">R337+Q337*Inputs!$B$48-U338+MAX(P338,0)</f>
        <v>406886.713660339</v>
      </c>
      <c r="S338" s="10" t="n">
        <f aca="false">S337*(1+Inputs!$B$42)-V338+MAX(-P338,0)</f>
        <v>103864.997782983</v>
      </c>
      <c r="T338" s="10" t="n">
        <f aca="false">T337+S337*Inputs!$B$48-V338+MAX(-P338,0)</f>
        <v>84285.6857725069</v>
      </c>
      <c r="U338" s="10" t="n">
        <f aca="false">Q337*Inputs!$B$48*Inputs!$B$29</f>
        <v>183.641866093664</v>
      </c>
      <c r="V338" s="10" t="n">
        <f aca="false">S337*Inputs!$B$48*Inputs!$B$29</f>
        <v>14.0161040929532</v>
      </c>
    </row>
    <row r="339" customFormat="false" ht="15" hidden="false" customHeight="false" outlineLevel="0" collapsed="false">
      <c r="A339" s="16" t="n">
        <v>338</v>
      </c>
      <c r="B339" s="16" t="n">
        <f aca="false">ROUNDUP(A339/12,0)</f>
        <v>29</v>
      </c>
      <c r="C339" s="10" t="n">
        <f aca="false">F338</f>
        <v>58587.7799799591</v>
      </c>
      <c r="D339" s="10" t="n">
        <f aca="false">IF(AND(A339&lt;=Inputs!$B$9*12,C339&gt;0.000001),C339*Inputs!$B$10/12,0)</f>
        <v>355.432531878418</v>
      </c>
      <c r="E339" s="10" t="n">
        <f aca="false">IF(AND(A339&lt;=Inputs!$B$9*12,C339&gt;0.000001),MIN(C339,Inputs!$B$41-D339),0)</f>
        <v>2381.41659710229</v>
      </c>
      <c r="F339" s="10" t="n">
        <f aca="false">C339-E339</f>
        <v>56206.3633828568</v>
      </c>
      <c r="G339" s="10" t="n">
        <f aca="false">IF(AND(Inputs!$B$43=1,C339&gt;0.78*Inputs!$B$7,A339&lt;=Inputs!$B$9*6),Inputs!$B$16*Inputs!$B$39/12,0)</f>
        <v>0</v>
      </c>
      <c r="H339" s="10" t="n">
        <f aca="false">IF(B339=1,Inputs!$B$7,INDEX(Annual!$AC$2:$AC$51,B339-1))</f>
        <v>1499351.65959113</v>
      </c>
      <c r="I339" s="10" t="n">
        <f aca="false">Inputs!$B$12*IF(Inputs!$B$35="",H339,MIN(H339,Inputs!$B$7*(1+Inputs!$B$35)^(B339-1)))/12</f>
        <v>1124.51374469335</v>
      </c>
      <c r="J339" s="10" t="n">
        <f aca="false">Inputs!$B$13*Inputs!$B$7*(1+Inputs!$B$22)^(B339-1)/12</f>
        <v>451.404592390062</v>
      </c>
      <c r="K339" s="10" t="n">
        <f aca="false">Inputs!$B$14*Inputs!$B$7*(1+Inputs!$B$22)^(B339-1)/12</f>
        <v>902.809184780124</v>
      </c>
      <c r="L339" s="10" t="n">
        <f aca="false">Inputs!$B$15*(1+Inputs!$B$22)^(B339-1)</f>
        <v>0</v>
      </c>
      <c r="M339" s="10" t="n">
        <f aca="false">INDEX(Annual!$N$2:$N$51,B339)/12</f>
        <v>0</v>
      </c>
      <c r="N339" s="10" t="n">
        <f aca="false">D339+E339+G339+I339+J339+K339+L339-M339</f>
        <v>5215.57665084424</v>
      </c>
      <c r="O339" s="10" t="n">
        <f aca="false">Inputs!$B$17*(1+Inputs!$B$18)^(B339-1)+Inputs!$B$19*(1+Inputs!$B$22)^(B339-1)</f>
        <v>6582.93102330449</v>
      </c>
      <c r="P339" s="10" t="n">
        <f aca="false">N339-O339</f>
        <v>-1367.35437246024</v>
      </c>
      <c r="Q339" s="10" t="n">
        <f aca="false">Q338*(1+Inputs!$B$42)-U339+MAX(P339,0)</f>
        <v>1350353.66576527</v>
      </c>
      <c r="R339" s="10" t="n">
        <f aca="false">R338+Q338*Inputs!$B$48-U339+MAX(P339,0)</f>
        <v>407933.091728173</v>
      </c>
      <c r="S339" s="10" t="n">
        <f aca="false">S338*(1+Inputs!$B$42)-V339+MAX(-P339,0)</f>
        <v>105805.338516376</v>
      </c>
      <c r="T339" s="10" t="n">
        <f aca="false">T338+S338*Inputs!$B$48-V339+MAX(-P339,0)</f>
        <v>85733.968289073</v>
      </c>
      <c r="U339" s="10" t="n">
        <f aca="false">Q338*Inputs!$B$48*Inputs!$B$29</f>
        <v>184.654953147184</v>
      </c>
      <c r="V339" s="10" t="n">
        <f aca="false">S338*Inputs!$B$48*Inputs!$B$29</f>
        <v>14.2814371951602</v>
      </c>
    </row>
    <row r="340" customFormat="false" ht="15" hidden="false" customHeight="false" outlineLevel="0" collapsed="false">
      <c r="A340" s="16" t="n">
        <v>339</v>
      </c>
      <c r="B340" s="16" t="n">
        <f aca="false">ROUNDUP(A340/12,0)</f>
        <v>29</v>
      </c>
      <c r="C340" s="10" t="n">
        <f aca="false">F339</f>
        <v>56206.3633828568</v>
      </c>
      <c r="D340" s="10" t="n">
        <f aca="false">IF(AND(A340&lt;=Inputs!$B$9*12,C340&gt;0.000001),C340*Inputs!$B$10/12,0)</f>
        <v>340.985271189331</v>
      </c>
      <c r="E340" s="10" t="n">
        <f aca="false">IF(AND(A340&lt;=Inputs!$B$9*12,C340&gt;0.000001),MIN(C340,Inputs!$B$41-D340),0)</f>
        <v>2395.86385779137</v>
      </c>
      <c r="F340" s="10" t="n">
        <f aca="false">C340-E340</f>
        <v>53810.4995250654</v>
      </c>
      <c r="G340" s="10" t="n">
        <f aca="false">IF(AND(Inputs!$B$43=1,C340&gt;0.78*Inputs!$B$7,A340&lt;=Inputs!$B$9*6),Inputs!$B$16*Inputs!$B$39/12,0)</f>
        <v>0</v>
      </c>
      <c r="H340" s="10" t="n">
        <f aca="false">IF(B340=1,Inputs!$B$7,INDEX(Annual!$AC$2:$AC$51,B340-1))</f>
        <v>1499351.65959113</v>
      </c>
      <c r="I340" s="10" t="n">
        <f aca="false">Inputs!$B$12*IF(Inputs!$B$35="",H340,MIN(H340,Inputs!$B$7*(1+Inputs!$B$35)^(B340-1)))/12</f>
        <v>1124.51374469335</v>
      </c>
      <c r="J340" s="10" t="n">
        <f aca="false">Inputs!$B$13*Inputs!$B$7*(1+Inputs!$B$22)^(B340-1)/12</f>
        <v>451.404592390062</v>
      </c>
      <c r="K340" s="10" t="n">
        <f aca="false">Inputs!$B$14*Inputs!$B$7*(1+Inputs!$B$22)^(B340-1)/12</f>
        <v>902.809184780124</v>
      </c>
      <c r="L340" s="10" t="n">
        <f aca="false">Inputs!$B$15*(1+Inputs!$B$22)^(B340-1)</f>
        <v>0</v>
      </c>
      <c r="M340" s="10" t="n">
        <f aca="false">INDEX(Annual!$N$2:$N$51,B340)/12</f>
        <v>0</v>
      </c>
      <c r="N340" s="10" t="n">
        <f aca="false">D340+E340+G340+I340+J340+K340+L340-M340</f>
        <v>5215.57665084424</v>
      </c>
      <c r="O340" s="10" t="n">
        <f aca="false">Inputs!$B$17*(1+Inputs!$B$18)^(B340-1)+Inputs!$B$19*(1+Inputs!$B$22)^(B340-1)</f>
        <v>6582.93102330449</v>
      </c>
      <c r="P340" s="10" t="n">
        <f aca="false">N340-O340</f>
        <v>-1367.35437246024</v>
      </c>
      <c r="Q340" s="10" t="n">
        <f aca="false">Q339*(1+Inputs!$B$42)-U340+MAX(P340,0)</f>
        <v>1357803.08808688</v>
      </c>
      <c r="R340" s="10" t="n">
        <f aca="false">R339+Q339*Inputs!$B$48-U340+MAX(P340,0)</f>
        <v>408985.242292749</v>
      </c>
      <c r="S340" s="10" t="n">
        <f aca="false">S339*(1+Inputs!$B$42)-V340+MAX(-P340,0)</f>
        <v>107756.383421526</v>
      </c>
      <c r="T340" s="10" t="n">
        <f aca="false">T339+S339*Inputs!$B$48-V340+MAX(-P340,0)</f>
        <v>87183.7626544606</v>
      </c>
      <c r="U340" s="10" t="n">
        <f aca="false">Q339*Inputs!$B$48*Inputs!$B$29</f>
        <v>185.673629042725</v>
      </c>
      <c r="V340" s="10" t="n">
        <f aca="false">S339*Inputs!$B$48*Inputs!$B$29</f>
        <v>14.5482340460017</v>
      </c>
    </row>
    <row r="341" customFormat="false" ht="15" hidden="false" customHeight="false" outlineLevel="0" collapsed="false">
      <c r="A341" s="16" t="n">
        <v>340</v>
      </c>
      <c r="B341" s="16" t="n">
        <f aca="false">ROUNDUP(A341/12,0)</f>
        <v>29</v>
      </c>
      <c r="C341" s="10" t="n">
        <f aca="false">F340</f>
        <v>53810.4995250654</v>
      </c>
      <c r="D341" s="10" t="n">
        <f aca="false">IF(AND(A341&lt;=Inputs!$B$9*12,C341&gt;0.000001),C341*Inputs!$B$10/12,0)</f>
        <v>326.450363785397</v>
      </c>
      <c r="E341" s="10" t="n">
        <f aca="false">IF(AND(A341&lt;=Inputs!$B$9*12,C341&gt;0.000001),MIN(C341,Inputs!$B$41-D341),0)</f>
        <v>2410.39876519531</v>
      </c>
      <c r="F341" s="10" t="n">
        <f aca="false">C341-E341</f>
        <v>51400.1007598701</v>
      </c>
      <c r="G341" s="10" t="n">
        <f aca="false">IF(AND(Inputs!$B$43=1,C341&gt;0.78*Inputs!$B$7,A341&lt;=Inputs!$B$9*6),Inputs!$B$16*Inputs!$B$39/12,0)</f>
        <v>0</v>
      </c>
      <c r="H341" s="10" t="n">
        <f aca="false">IF(B341=1,Inputs!$B$7,INDEX(Annual!$AC$2:$AC$51,B341-1))</f>
        <v>1499351.65959113</v>
      </c>
      <c r="I341" s="10" t="n">
        <f aca="false">Inputs!$B$12*IF(Inputs!$B$35="",H341,MIN(H341,Inputs!$B$7*(1+Inputs!$B$35)^(B341-1)))/12</f>
        <v>1124.51374469335</v>
      </c>
      <c r="J341" s="10" t="n">
        <f aca="false">Inputs!$B$13*Inputs!$B$7*(1+Inputs!$B$22)^(B341-1)/12</f>
        <v>451.404592390062</v>
      </c>
      <c r="K341" s="10" t="n">
        <f aca="false">Inputs!$B$14*Inputs!$B$7*(1+Inputs!$B$22)^(B341-1)/12</f>
        <v>902.809184780124</v>
      </c>
      <c r="L341" s="10" t="n">
        <f aca="false">Inputs!$B$15*(1+Inputs!$B$22)^(B341-1)</f>
        <v>0</v>
      </c>
      <c r="M341" s="10" t="n">
        <f aca="false">INDEX(Annual!$N$2:$N$51,B341)/12</f>
        <v>0</v>
      </c>
      <c r="N341" s="10" t="n">
        <f aca="false">D341+E341+G341+I341+J341+K341+L341-M341</f>
        <v>5215.57665084424</v>
      </c>
      <c r="O341" s="10" t="n">
        <f aca="false">Inputs!$B$17*(1+Inputs!$B$18)^(B341-1)+Inputs!$B$19*(1+Inputs!$B$22)^(B341-1)</f>
        <v>6582.93102330449</v>
      </c>
      <c r="P341" s="10" t="n">
        <f aca="false">N341-O341</f>
        <v>-1367.35437246024</v>
      </c>
      <c r="Q341" s="10" t="n">
        <f aca="false">Q340*(1+Inputs!$B$42)-U341+MAX(P341,0)</f>
        <v>1365293.60622978</v>
      </c>
      <c r="R341" s="10" t="n">
        <f aca="false">R340+Q340*Inputs!$B$48-U341+MAX(P341,0)</f>
        <v>410043.197198883</v>
      </c>
      <c r="S341" s="10" t="n">
        <f aca="false">S340*(1+Inputs!$B$42)-V341+MAX(-P341,0)</f>
        <v>109718.191549552</v>
      </c>
      <c r="T341" s="10" t="n">
        <f aca="false">T340+S340*Inputs!$B$48-V341+MAX(-P341,0)</f>
        <v>88635.0772090035</v>
      </c>
      <c r="U341" s="10" t="n">
        <f aca="false">Q340*Inputs!$B$48*Inputs!$B$29</f>
        <v>186.697924611947</v>
      </c>
      <c r="V341" s="10" t="n">
        <f aca="false">S340*Inputs!$B$48*Inputs!$B$29</f>
        <v>14.8165027204598</v>
      </c>
    </row>
    <row r="342" customFormat="false" ht="15" hidden="false" customHeight="false" outlineLevel="0" collapsed="false">
      <c r="A342" s="16" t="n">
        <v>341</v>
      </c>
      <c r="B342" s="16" t="n">
        <f aca="false">ROUNDUP(A342/12,0)</f>
        <v>29</v>
      </c>
      <c r="C342" s="10" t="n">
        <f aca="false">F341</f>
        <v>51400.1007598701</v>
      </c>
      <c r="D342" s="10" t="n">
        <f aca="false">IF(AND(A342&lt;=Inputs!$B$9*12,C342&gt;0.000001),C342*Inputs!$B$10/12,0)</f>
        <v>311.827277943212</v>
      </c>
      <c r="E342" s="10" t="n">
        <f aca="false">IF(AND(A342&lt;=Inputs!$B$9*12,C342&gt;0.000001),MIN(C342,Inputs!$B$41-D342),0)</f>
        <v>2425.02185103749</v>
      </c>
      <c r="F342" s="10" t="n">
        <f aca="false">C342-E342</f>
        <v>48975.0789088326</v>
      </c>
      <c r="G342" s="10" t="n">
        <f aca="false">IF(AND(Inputs!$B$43=1,C342&gt;0.78*Inputs!$B$7,A342&lt;=Inputs!$B$9*6),Inputs!$B$16*Inputs!$B$39/12,0)</f>
        <v>0</v>
      </c>
      <c r="H342" s="10" t="n">
        <f aca="false">IF(B342=1,Inputs!$B$7,INDEX(Annual!$AC$2:$AC$51,B342-1))</f>
        <v>1499351.65959113</v>
      </c>
      <c r="I342" s="10" t="n">
        <f aca="false">Inputs!$B$12*IF(Inputs!$B$35="",H342,MIN(H342,Inputs!$B$7*(1+Inputs!$B$35)^(B342-1)))/12</f>
        <v>1124.51374469335</v>
      </c>
      <c r="J342" s="10" t="n">
        <f aca="false">Inputs!$B$13*Inputs!$B$7*(1+Inputs!$B$22)^(B342-1)/12</f>
        <v>451.404592390062</v>
      </c>
      <c r="K342" s="10" t="n">
        <f aca="false">Inputs!$B$14*Inputs!$B$7*(1+Inputs!$B$22)^(B342-1)/12</f>
        <v>902.809184780124</v>
      </c>
      <c r="L342" s="10" t="n">
        <f aca="false">Inputs!$B$15*(1+Inputs!$B$22)^(B342-1)</f>
        <v>0</v>
      </c>
      <c r="M342" s="10" t="n">
        <f aca="false">INDEX(Annual!$N$2:$N$51,B342)/12</f>
        <v>0</v>
      </c>
      <c r="N342" s="10" t="n">
        <f aca="false">D342+E342+G342+I342+J342+K342+L342-M342</f>
        <v>5215.57665084424</v>
      </c>
      <c r="O342" s="10" t="n">
        <f aca="false">Inputs!$B$17*(1+Inputs!$B$18)^(B342-1)+Inputs!$B$19*(1+Inputs!$B$22)^(B342-1)</f>
        <v>6582.93102330449</v>
      </c>
      <c r="P342" s="10" t="n">
        <f aca="false">N342-O342</f>
        <v>-1367.35437246024</v>
      </c>
      <c r="Q342" s="10" t="n">
        <f aca="false">Q341*(1+Inputs!$B$42)-U342+MAX(P342,0)</f>
        <v>1372825.44690504</v>
      </c>
      <c r="R342" s="10" t="n">
        <f aca="false">R341+Q341*Inputs!$B$48-U342+MAX(P342,0)</f>
        <v>411106.98846707</v>
      </c>
      <c r="S342" s="10" t="n">
        <f aca="false">S341*(1+Inputs!$B$42)-V342+MAX(-P342,0)</f>
        <v>111690.822277338</v>
      </c>
      <c r="T342" s="10" t="n">
        <f aca="false">T341+S341*Inputs!$B$48-V342+MAX(-P342,0)</f>
        <v>90087.9203390461</v>
      </c>
      <c r="U342" s="10" t="n">
        <f aca="false">Q341*Inputs!$B$48*Inputs!$B$29</f>
        <v>187.727870856595</v>
      </c>
      <c r="V342" s="10" t="n">
        <f aca="false">S341*Inputs!$B$48*Inputs!$B$29</f>
        <v>15.0862513380633</v>
      </c>
    </row>
    <row r="343" customFormat="false" ht="15" hidden="false" customHeight="false" outlineLevel="0" collapsed="false">
      <c r="A343" s="16" t="n">
        <v>342</v>
      </c>
      <c r="B343" s="16" t="n">
        <f aca="false">ROUNDUP(A343/12,0)</f>
        <v>29</v>
      </c>
      <c r="C343" s="10" t="n">
        <f aca="false">F342</f>
        <v>48975.0789088326</v>
      </c>
      <c r="D343" s="10" t="n">
        <f aca="false">IF(AND(A343&lt;=Inputs!$B$9*12,C343&gt;0.000001),C343*Inputs!$B$10/12,0)</f>
        <v>297.115478713585</v>
      </c>
      <c r="E343" s="10" t="n">
        <f aca="false">IF(AND(A343&lt;=Inputs!$B$9*12,C343&gt;0.000001),MIN(C343,Inputs!$B$41-D343),0)</f>
        <v>2439.73365026712</v>
      </c>
      <c r="F343" s="10" t="n">
        <f aca="false">C343-E343</f>
        <v>46535.3452585655</v>
      </c>
      <c r="G343" s="10" t="n">
        <f aca="false">IF(AND(Inputs!$B$43=1,C343&gt;0.78*Inputs!$B$7,A343&lt;=Inputs!$B$9*6),Inputs!$B$16*Inputs!$B$39/12,0)</f>
        <v>0</v>
      </c>
      <c r="H343" s="10" t="n">
        <f aca="false">IF(B343=1,Inputs!$B$7,INDEX(Annual!$AC$2:$AC$51,B343-1))</f>
        <v>1499351.65959113</v>
      </c>
      <c r="I343" s="10" t="n">
        <f aca="false">Inputs!$B$12*IF(Inputs!$B$35="",H343,MIN(H343,Inputs!$B$7*(1+Inputs!$B$35)^(B343-1)))/12</f>
        <v>1124.51374469335</v>
      </c>
      <c r="J343" s="10" t="n">
        <f aca="false">Inputs!$B$13*Inputs!$B$7*(1+Inputs!$B$22)^(B343-1)/12</f>
        <v>451.404592390062</v>
      </c>
      <c r="K343" s="10" t="n">
        <f aca="false">Inputs!$B$14*Inputs!$B$7*(1+Inputs!$B$22)^(B343-1)/12</f>
        <v>902.809184780124</v>
      </c>
      <c r="L343" s="10" t="n">
        <f aca="false">Inputs!$B$15*(1+Inputs!$B$22)^(B343-1)</f>
        <v>0</v>
      </c>
      <c r="M343" s="10" t="n">
        <f aca="false">INDEX(Annual!$N$2:$N$51,B343)/12</f>
        <v>0</v>
      </c>
      <c r="N343" s="10" t="n">
        <f aca="false">D343+E343+G343+I343+J343+K343+L343-M343</f>
        <v>5215.57665084424</v>
      </c>
      <c r="O343" s="10" t="n">
        <f aca="false">Inputs!$B$17*(1+Inputs!$B$18)^(B343-1)+Inputs!$B$19*(1+Inputs!$B$22)^(B343-1)</f>
        <v>6582.93102330449</v>
      </c>
      <c r="P343" s="10" t="n">
        <f aca="false">N343-O343</f>
        <v>-1367.35437246024</v>
      </c>
      <c r="Q343" s="10" t="n">
        <f aca="false">Q342*(1+Inputs!$B$42)-U343+MAX(P343,0)</f>
        <v>1380398.83807443</v>
      </c>
      <c r="R343" s="10" t="n">
        <f aca="false">R342+Q342*Inputs!$B$48-U343+MAX(P343,0)</f>
        <v>412176.648294451</v>
      </c>
      <c r="S343" s="10" t="n">
        <f aca="false">S342*(1+Inputs!$B$42)-V343+MAX(-P343,0)</f>
        <v>113674.33530933</v>
      </c>
      <c r="T343" s="10" t="n">
        <f aca="false">T342+S342*Inputs!$B$48-V343+MAX(-P343,0)</f>
        <v>91542.3004771974</v>
      </c>
      <c r="U343" s="10" t="n">
        <f aca="false">Q342*Inputs!$B$48*Inputs!$B$29</f>
        <v>188.763498949444</v>
      </c>
      <c r="V343" s="10" t="n">
        <f aca="false">S342*Inputs!$B$48*Inputs!$B$29</f>
        <v>15.357488063134</v>
      </c>
    </row>
    <row r="344" customFormat="false" ht="15" hidden="false" customHeight="false" outlineLevel="0" collapsed="false">
      <c r="A344" s="16" t="n">
        <v>343</v>
      </c>
      <c r="B344" s="16" t="n">
        <f aca="false">ROUNDUP(A344/12,0)</f>
        <v>29</v>
      </c>
      <c r="C344" s="10" t="n">
        <f aca="false">F343</f>
        <v>46535.3452585655</v>
      </c>
      <c r="D344" s="10" t="n">
        <f aca="false">IF(AND(A344&lt;=Inputs!$B$9*12,C344&gt;0.000001),C344*Inputs!$B$10/12,0)</f>
        <v>282.314427901964</v>
      </c>
      <c r="E344" s="10" t="n">
        <f aca="false">IF(AND(A344&lt;=Inputs!$B$9*12,C344&gt;0.000001),MIN(C344,Inputs!$B$41-D344),0)</f>
        <v>2454.53470107874</v>
      </c>
      <c r="F344" s="10" t="n">
        <f aca="false">C344-E344</f>
        <v>44080.8105574867</v>
      </c>
      <c r="G344" s="10" t="n">
        <f aca="false">IF(AND(Inputs!$B$43=1,C344&gt;0.78*Inputs!$B$7,A344&lt;=Inputs!$B$9*6),Inputs!$B$16*Inputs!$B$39/12,0)</f>
        <v>0</v>
      </c>
      <c r="H344" s="10" t="n">
        <f aca="false">IF(B344=1,Inputs!$B$7,INDEX(Annual!$AC$2:$AC$51,B344-1))</f>
        <v>1499351.65959113</v>
      </c>
      <c r="I344" s="10" t="n">
        <f aca="false">Inputs!$B$12*IF(Inputs!$B$35="",H344,MIN(H344,Inputs!$B$7*(1+Inputs!$B$35)^(B344-1)))/12</f>
        <v>1124.51374469335</v>
      </c>
      <c r="J344" s="10" t="n">
        <f aca="false">Inputs!$B$13*Inputs!$B$7*(1+Inputs!$B$22)^(B344-1)/12</f>
        <v>451.404592390062</v>
      </c>
      <c r="K344" s="10" t="n">
        <f aca="false">Inputs!$B$14*Inputs!$B$7*(1+Inputs!$B$22)^(B344-1)/12</f>
        <v>902.809184780124</v>
      </c>
      <c r="L344" s="10" t="n">
        <f aca="false">Inputs!$B$15*(1+Inputs!$B$22)^(B344-1)</f>
        <v>0</v>
      </c>
      <c r="M344" s="10" t="n">
        <f aca="false">INDEX(Annual!$N$2:$N$51,B344)/12</f>
        <v>0</v>
      </c>
      <c r="N344" s="10" t="n">
        <f aca="false">D344+E344+G344+I344+J344+K344+L344-M344</f>
        <v>5215.57665084424</v>
      </c>
      <c r="O344" s="10" t="n">
        <f aca="false">Inputs!$B$17*(1+Inputs!$B$18)^(B344-1)+Inputs!$B$19*(1+Inputs!$B$22)^(B344-1)</f>
        <v>6582.93102330449</v>
      </c>
      <c r="P344" s="10" t="n">
        <f aca="false">N344-O344</f>
        <v>-1367.35437246024</v>
      </c>
      <c r="Q344" s="10" t="n">
        <f aca="false">Q343*(1+Inputs!$B$42)-U344+MAX(P344,0)</f>
        <v>1388014.00895727</v>
      </c>
      <c r="R344" s="10" t="n">
        <f aca="false">R343+Q343*Inputs!$B$48-U344+MAX(P344,0)</f>
        <v>413252.209055784</v>
      </c>
      <c r="S344" s="10" t="n">
        <f aca="false">S343*(1+Inputs!$B$42)-V344+MAX(-P344,0)</f>
        <v>115668.790679341</v>
      </c>
      <c r="T344" s="10" t="n">
        <f aca="false">T343+S343*Inputs!$B$48-V344+MAX(-P344,0)</f>
        <v>92998.2261025862</v>
      </c>
      <c r="U344" s="10" t="n">
        <f aca="false">Q343*Inputs!$B$48*Inputs!$B$29</f>
        <v>189.804840235234</v>
      </c>
      <c r="V344" s="10" t="n">
        <f aca="false">S343*Inputs!$B$48*Inputs!$B$29</f>
        <v>15.6302211050329</v>
      </c>
    </row>
    <row r="345" customFormat="false" ht="15" hidden="false" customHeight="false" outlineLevel="0" collapsed="false">
      <c r="A345" s="16" t="n">
        <v>344</v>
      </c>
      <c r="B345" s="16" t="n">
        <f aca="false">ROUNDUP(A345/12,0)</f>
        <v>29</v>
      </c>
      <c r="C345" s="10" t="n">
        <f aca="false">F344</f>
        <v>44080.8105574867</v>
      </c>
      <c r="D345" s="10" t="n">
        <f aca="false">IF(AND(A345&lt;=Inputs!$B$9*12,C345&gt;0.000001),C345*Inputs!$B$10/12,0)</f>
        <v>267.423584048753</v>
      </c>
      <c r="E345" s="10" t="n">
        <f aca="false">IF(AND(A345&lt;=Inputs!$B$9*12,C345&gt;0.000001),MIN(C345,Inputs!$B$41-D345),0)</f>
        <v>2469.42554493195</v>
      </c>
      <c r="F345" s="10" t="n">
        <f aca="false">C345-E345</f>
        <v>41611.3850125548</v>
      </c>
      <c r="G345" s="10" t="n">
        <f aca="false">IF(AND(Inputs!$B$43=1,C345&gt;0.78*Inputs!$B$7,A345&lt;=Inputs!$B$9*6),Inputs!$B$16*Inputs!$B$39/12,0)</f>
        <v>0</v>
      </c>
      <c r="H345" s="10" t="n">
        <f aca="false">IF(B345=1,Inputs!$B$7,INDEX(Annual!$AC$2:$AC$51,B345-1))</f>
        <v>1499351.65959113</v>
      </c>
      <c r="I345" s="10" t="n">
        <f aca="false">Inputs!$B$12*IF(Inputs!$B$35="",H345,MIN(H345,Inputs!$B$7*(1+Inputs!$B$35)^(B345-1)))/12</f>
        <v>1124.51374469335</v>
      </c>
      <c r="J345" s="10" t="n">
        <f aca="false">Inputs!$B$13*Inputs!$B$7*(1+Inputs!$B$22)^(B345-1)/12</f>
        <v>451.404592390062</v>
      </c>
      <c r="K345" s="10" t="n">
        <f aca="false">Inputs!$B$14*Inputs!$B$7*(1+Inputs!$B$22)^(B345-1)/12</f>
        <v>902.809184780124</v>
      </c>
      <c r="L345" s="10" t="n">
        <f aca="false">Inputs!$B$15*(1+Inputs!$B$22)^(B345-1)</f>
        <v>0</v>
      </c>
      <c r="M345" s="10" t="n">
        <f aca="false">INDEX(Annual!$N$2:$N$51,B345)/12</f>
        <v>0</v>
      </c>
      <c r="N345" s="10" t="n">
        <f aca="false">D345+E345+G345+I345+J345+K345+L345-M345</f>
        <v>5215.57665084424</v>
      </c>
      <c r="O345" s="10" t="n">
        <f aca="false">Inputs!$B$17*(1+Inputs!$B$18)^(B345-1)+Inputs!$B$19*(1+Inputs!$B$22)^(B345-1)</f>
        <v>6582.93102330449</v>
      </c>
      <c r="P345" s="10" t="n">
        <f aca="false">N345-O345</f>
        <v>-1367.35437246024</v>
      </c>
      <c r="Q345" s="10" t="n">
        <f aca="false">Q344*(1+Inputs!$B$42)-U345+MAX(P345,0)</f>
        <v>1395671.19003744</v>
      </c>
      <c r="R345" s="10" t="n">
        <f aca="false">R344+Q344*Inputs!$B$48-U345+MAX(P345,0)</f>
        <v>414333.703304429</v>
      </c>
      <c r="S345" s="10" t="n">
        <f aca="false">S344*(1+Inputs!$B$42)-V345+MAX(-P345,0)</f>
        <v>117674.248752369</v>
      </c>
      <c r="T345" s="10" t="n">
        <f aca="false">T344+S344*Inputs!$B$48-V345+MAX(-P345,0)</f>
        <v>94455.7057411174</v>
      </c>
      <c r="U345" s="10" t="n">
        <f aca="false">Q344*Inputs!$B$48*Inputs!$B$29</f>
        <v>190.851926231624</v>
      </c>
      <c r="V345" s="10" t="n">
        <f aca="false">S344*Inputs!$B$48*Inputs!$B$29</f>
        <v>15.9044587184094</v>
      </c>
    </row>
    <row r="346" customFormat="false" ht="15" hidden="false" customHeight="false" outlineLevel="0" collapsed="false">
      <c r="A346" s="16" t="n">
        <v>345</v>
      </c>
      <c r="B346" s="16" t="n">
        <f aca="false">ROUNDUP(A346/12,0)</f>
        <v>29</v>
      </c>
      <c r="C346" s="10" t="n">
        <f aca="false">F345</f>
        <v>41611.3850125548</v>
      </c>
      <c r="D346" s="10" t="n">
        <f aca="false">IF(AND(A346&lt;=Inputs!$B$9*12,C346&gt;0.000001),C346*Inputs!$B$10/12,0)</f>
        <v>252.442402409499</v>
      </c>
      <c r="E346" s="10" t="n">
        <f aca="false">IF(AND(A346&lt;=Inputs!$B$9*12,C346&gt;0.000001),MIN(C346,Inputs!$B$41-D346),0)</f>
        <v>2484.40672657121</v>
      </c>
      <c r="F346" s="10" t="n">
        <f aca="false">C346-E346</f>
        <v>39126.9782859836</v>
      </c>
      <c r="G346" s="10" t="n">
        <f aca="false">IF(AND(Inputs!$B$43=1,C346&gt;0.78*Inputs!$B$7,A346&lt;=Inputs!$B$9*6),Inputs!$B$16*Inputs!$B$39/12,0)</f>
        <v>0</v>
      </c>
      <c r="H346" s="10" t="n">
        <f aca="false">IF(B346=1,Inputs!$B$7,INDEX(Annual!$AC$2:$AC$51,B346-1))</f>
        <v>1499351.65959113</v>
      </c>
      <c r="I346" s="10" t="n">
        <f aca="false">Inputs!$B$12*IF(Inputs!$B$35="",H346,MIN(H346,Inputs!$B$7*(1+Inputs!$B$35)^(B346-1)))/12</f>
        <v>1124.51374469335</v>
      </c>
      <c r="J346" s="10" t="n">
        <f aca="false">Inputs!$B$13*Inputs!$B$7*(1+Inputs!$B$22)^(B346-1)/12</f>
        <v>451.404592390062</v>
      </c>
      <c r="K346" s="10" t="n">
        <f aca="false">Inputs!$B$14*Inputs!$B$7*(1+Inputs!$B$22)^(B346-1)/12</f>
        <v>902.809184780124</v>
      </c>
      <c r="L346" s="10" t="n">
        <f aca="false">Inputs!$B$15*(1+Inputs!$B$22)^(B346-1)</f>
        <v>0</v>
      </c>
      <c r="M346" s="10" t="n">
        <f aca="false">INDEX(Annual!$N$2:$N$51,B346)/12</f>
        <v>0</v>
      </c>
      <c r="N346" s="10" t="n">
        <f aca="false">D346+E346+G346+I346+J346+K346+L346-M346</f>
        <v>5215.57665084424</v>
      </c>
      <c r="O346" s="10" t="n">
        <f aca="false">Inputs!$B$17*(1+Inputs!$B$18)^(B346-1)+Inputs!$B$19*(1+Inputs!$B$22)^(B346-1)</f>
        <v>6582.93102330449</v>
      </c>
      <c r="P346" s="10" t="n">
        <f aca="false">N346-O346</f>
        <v>-1367.35437246024</v>
      </c>
      <c r="Q346" s="10" t="n">
        <f aca="false">Q345*(1+Inputs!$B$42)-U346+MAX(P346,0)</f>
        <v>1403370.61307029</v>
      </c>
      <c r="R346" s="10" t="n">
        <f aca="false">R345+Q345*Inputs!$B$48-U346+MAX(P346,0)</f>
        <v>415421.163773334</v>
      </c>
      <c r="S346" s="10" t="n">
        <f aca="false">S345*(1+Inputs!$B$42)-V346+MAX(-P346,0)</f>
        <v>119690.770226426</v>
      </c>
      <c r="T346" s="10" t="n">
        <f aca="false">T345+S345*Inputs!$B$48-V346+MAX(-P346,0)</f>
        <v>95914.7479657306</v>
      </c>
      <c r="U346" s="10" t="n">
        <f aca="false">Q345*Inputs!$B$48*Inputs!$B$29</f>
        <v>191.904788630148</v>
      </c>
      <c r="V346" s="10" t="n">
        <f aca="false">S345*Inputs!$B$48*Inputs!$B$29</f>
        <v>16.1802092034508</v>
      </c>
    </row>
    <row r="347" customFormat="false" ht="15" hidden="false" customHeight="false" outlineLevel="0" collapsed="false">
      <c r="A347" s="16" t="n">
        <v>346</v>
      </c>
      <c r="B347" s="16" t="n">
        <f aca="false">ROUNDUP(A347/12,0)</f>
        <v>29</v>
      </c>
      <c r="C347" s="10" t="n">
        <f aca="false">F346</f>
        <v>39126.9782859836</v>
      </c>
      <c r="D347" s="10" t="n">
        <f aca="false">IF(AND(A347&lt;=Inputs!$B$9*12,C347&gt;0.000001),C347*Inputs!$B$10/12,0)</f>
        <v>237.370334934967</v>
      </c>
      <c r="E347" s="10" t="n">
        <f aca="false">IF(AND(A347&lt;=Inputs!$B$9*12,C347&gt;0.000001),MIN(C347,Inputs!$B$41-D347),0)</f>
        <v>2499.47879404574</v>
      </c>
      <c r="F347" s="10" t="n">
        <f aca="false">C347-E347</f>
        <v>36627.4994919378</v>
      </c>
      <c r="G347" s="10" t="n">
        <f aca="false">IF(AND(Inputs!$B$43=1,C347&gt;0.78*Inputs!$B$7,A347&lt;=Inputs!$B$9*6),Inputs!$B$16*Inputs!$B$39/12,0)</f>
        <v>0</v>
      </c>
      <c r="H347" s="10" t="n">
        <f aca="false">IF(B347=1,Inputs!$B$7,INDEX(Annual!$AC$2:$AC$51,B347-1))</f>
        <v>1499351.65959113</v>
      </c>
      <c r="I347" s="10" t="n">
        <f aca="false">Inputs!$B$12*IF(Inputs!$B$35="",H347,MIN(H347,Inputs!$B$7*(1+Inputs!$B$35)^(B347-1)))/12</f>
        <v>1124.51374469335</v>
      </c>
      <c r="J347" s="10" t="n">
        <f aca="false">Inputs!$B$13*Inputs!$B$7*(1+Inputs!$B$22)^(B347-1)/12</f>
        <v>451.404592390062</v>
      </c>
      <c r="K347" s="10" t="n">
        <f aca="false">Inputs!$B$14*Inputs!$B$7*(1+Inputs!$B$22)^(B347-1)/12</f>
        <v>902.809184780124</v>
      </c>
      <c r="L347" s="10" t="n">
        <f aca="false">Inputs!$B$15*(1+Inputs!$B$22)^(B347-1)</f>
        <v>0</v>
      </c>
      <c r="M347" s="10" t="n">
        <f aca="false">INDEX(Annual!$N$2:$N$51,B347)/12</f>
        <v>0</v>
      </c>
      <c r="N347" s="10" t="n">
        <f aca="false">D347+E347+G347+I347+J347+K347+L347-M347</f>
        <v>5215.57665084424</v>
      </c>
      <c r="O347" s="10" t="n">
        <f aca="false">Inputs!$B$17*(1+Inputs!$B$18)^(B347-1)+Inputs!$B$19*(1+Inputs!$B$22)^(B347-1)</f>
        <v>6582.93102330449</v>
      </c>
      <c r="P347" s="10" t="n">
        <f aca="false">N347-O347</f>
        <v>-1367.35437246024</v>
      </c>
      <c r="Q347" s="10" t="n">
        <f aca="false">Q346*(1+Inputs!$B$42)-U347+MAX(P347,0)</f>
        <v>1411112.51108971</v>
      </c>
      <c r="R347" s="10" t="n">
        <f aca="false">R346+Q346*Inputs!$B$48-U347+MAX(P347,0)</f>
        <v>416514.623376018</v>
      </c>
      <c r="S347" s="10" t="n">
        <f aca="false">S346*(1+Inputs!$B$42)-V347+MAX(-P347,0)</f>
        <v>121718.41613437</v>
      </c>
      <c r="T347" s="10" t="n">
        <f aca="false">T346+S346*Inputs!$B$48-V347+MAX(-P347,0)</f>
        <v>97375.3613966589</v>
      </c>
      <c r="U347" s="10" t="n">
        <f aca="false">Q346*Inputs!$B$48*Inputs!$B$29</f>
        <v>192.963459297165</v>
      </c>
      <c r="V347" s="10" t="n">
        <f aca="false">S346*Inputs!$B$48*Inputs!$B$29</f>
        <v>16.4574809061335</v>
      </c>
    </row>
    <row r="348" customFormat="false" ht="15" hidden="false" customHeight="false" outlineLevel="0" collapsed="false">
      <c r="A348" s="16" t="n">
        <v>347</v>
      </c>
      <c r="B348" s="16" t="n">
        <f aca="false">ROUNDUP(A348/12,0)</f>
        <v>29</v>
      </c>
      <c r="C348" s="10" t="n">
        <f aca="false">F347</f>
        <v>36627.4994919378</v>
      </c>
      <c r="D348" s="10" t="n">
        <f aca="false">IF(AND(A348&lt;=Inputs!$B$9*12,C348&gt;0.000001),C348*Inputs!$B$10/12,0)</f>
        <v>222.20683025109</v>
      </c>
      <c r="E348" s="10" t="n">
        <f aca="false">IF(AND(A348&lt;=Inputs!$B$9*12,C348&gt;0.000001),MIN(C348,Inputs!$B$41-D348),0)</f>
        <v>2514.64229872962</v>
      </c>
      <c r="F348" s="10" t="n">
        <f aca="false">C348-E348</f>
        <v>34112.8571932082</v>
      </c>
      <c r="G348" s="10" t="n">
        <f aca="false">IF(AND(Inputs!$B$43=1,C348&gt;0.78*Inputs!$B$7,A348&lt;=Inputs!$B$9*6),Inputs!$B$16*Inputs!$B$39/12,0)</f>
        <v>0</v>
      </c>
      <c r="H348" s="10" t="n">
        <f aca="false">IF(B348=1,Inputs!$B$7,INDEX(Annual!$AC$2:$AC$51,B348-1))</f>
        <v>1499351.65959113</v>
      </c>
      <c r="I348" s="10" t="n">
        <f aca="false">Inputs!$B$12*IF(Inputs!$B$35="",H348,MIN(H348,Inputs!$B$7*(1+Inputs!$B$35)^(B348-1)))/12</f>
        <v>1124.51374469335</v>
      </c>
      <c r="J348" s="10" t="n">
        <f aca="false">Inputs!$B$13*Inputs!$B$7*(1+Inputs!$B$22)^(B348-1)/12</f>
        <v>451.404592390062</v>
      </c>
      <c r="K348" s="10" t="n">
        <f aca="false">Inputs!$B$14*Inputs!$B$7*(1+Inputs!$B$22)^(B348-1)/12</f>
        <v>902.809184780124</v>
      </c>
      <c r="L348" s="10" t="n">
        <f aca="false">Inputs!$B$15*(1+Inputs!$B$22)^(B348-1)</f>
        <v>0</v>
      </c>
      <c r="M348" s="10" t="n">
        <f aca="false">INDEX(Annual!$N$2:$N$51,B348)/12</f>
        <v>0</v>
      </c>
      <c r="N348" s="10" t="n">
        <f aca="false">D348+E348+G348+I348+J348+K348+L348-M348</f>
        <v>5215.57665084424</v>
      </c>
      <c r="O348" s="10" t="n">
        <f aca="false">Inputs!$B$17*(1+Inputs!$B$18)^(B348-1)+Inputs!$B$19*(1+Inputs!$B$22)^(B348-1)</f>
        <v>6582.93102330449</v>
      </c>
      <c r="P348" s="10" t="n">
        <f aca="false">N348-O348</f>
        <v>-1367.35437246024</v>
      </c>
      <c r="Q348" s="10" t="n">
        <f aca="false">Q347*(1+Inputs!$B$42)-U348+MAX(P348,0)</f>
        <v>1418897.11841512</v>
      </c>
      <c r="R348" s="10" t="n">
        <f aca="false">R347+Q347*Inputs!$B$48-U348+MAX(P348,0)</f>
        <v>417614.115207575</v>
      </c>
      <c r="S348" s="10" t="n">
        <f aca="false">S347*(1+Inputs!$B$42)-V348+MAX(-P348,0)</f>
        <v>123757.247845761</v>
      </c>
      <c r="T348" s="10" t="n">
        <f aca="false">T347+S347*Inputs!$B$48-V348+MAX(-P348,0)</f>
        <v>98837.5547016905</v>
      </c>
      <c r="U348" s="10" t="n">
        <f aca="false">Q347*Inputs!$B$48*Inputs!$B$29</f>
        <v>194.027970274835</v>
      </c>
      <c r="V348" s="10" t="n">
        <f aca="false">S347*Inputs!$B$48*Inputs!$B$29</f>
        <v>16.7362822184759</v>
      </c>
    </row>
    <row r="349" customFormat="false" ht="15" hidden="false" customHeight="false" outlineLevel="0" collapsed="false">
      <c r="A349" s="16" t="n">
        <v>348</v>
      </c>
      <c r="B349" s="16" t="n">
        <f aca="false">ROUNDUP(A349/12,0)</f>
        <v>29</v>
      </c>
      <c r="C349" s="10" t="n">
        <f aca="false">F348</f>
        <v>34112.8571932082</v>
      </c>
      <c r="D349" s="10" t="n">
        <f aca="false">IF(AND(A349&lt;=Inputs!$B$9*12,C349&gt;0.000001),C349*Inputs!$B$10/12,0)</f>
        <v>206.951333638797</v>
      </c>
      <c r="E349" s="10" t="n">
        <f aca="false">IF(AND(A349&lt;=Inputs!$B$9*12,C349&gt;0.000001),MIN(C349,Inputs!$B$41-D349),0)</f>
        <v>2529.89779534191</v>
      </c>
      <c r="F349" s="10" t="n">
        <f aca="false">C349-E349</f>
        <v>31582.9593978663</v>
      </c>
      <c r="G349" s="10" t="n">
        <f aca="false">IF(AND(Inputs!$B$43=1,C349&gt;0.78*Inputs!$B$7,A349&lt;=Inputs!$B$9*6),Inputs!$B$16*Inputs!$B$39/12,0)</f>
        <v>0</v>
      </c>
      <c r="H349" s="10" t="n">
        <f aca="false">IF(B349=1,Inputs!$B$7,INDEX(Annual!$AC$2:$AC$51,B349-1))</f>
        <v>1499351.65959113</v>
      </c>
      <c r="I349" s="10" t="n">
        <f aca="false">Inputs!$B$12*IF(Inputs!$B$35="",H349,MIN(H349,Inputs!$B$7*(1+Inputs!$B$35)^(B349-1)))/12</f>
        <v>1124.51374469335</v>
      </c>
      <c r="J349" s="10" t="n">
        <f aca="false">Inputs!$B$13*Inputs!$B$7*(1+Inputs!$B$22)^(B349-1)/12</f>
        <v>451.404592390062</v>
      </c>
      <c r="K349" s="10" t="n">
        <f aca="false">Inputs!$B$14*Inputs!$B$7*(1+Inputs!$B$22)^(B349-1)/12</f>
        <v>902.809184780124</v>
      </c>
      <c r="L349" s="10" t="n">
        <f aca="false">Inputs!$B$15*(1+Inputs!$B$22)^(B349-1)</f>
        <v>0</v>
      </c>
      <c r="M349" s="10" t="n">
        <f aca="false">INDEX(Annual!$N$2:$N$51,B349)/12</f>
        <v>0</v>
      </c>
      <c r="N349" s="10" t="n">
        <f aca="false">D349+E349+G349+I349+J349+K349+L349-M349</f>
        <v>5215.57665084424</v>
      </c>
      <c r="O349" s="10" t="n">
        <f aca="false">Inputs!$B$17*(1+Inputs!$B$18)^(B349-1)+Inputs!$B$19*(1+Inputs!$B$22)^(B349-1)</f>
        <v>6582.93102330449</v>
      </c>
      <c r="P349" s="10" t="n">
        <f aca="false">N349-O349</f>
        <v>-1367.35437246024</v>
      </c>
      <c r="Q349" s="10" t="n">
        <f aca="false">Q348*(1+Inputs!$B$42)-U349+MAX(P349,0)</f>
        <v>1426724.67065863</v>
      </c>
      <c r="R349" s="10" t="n">
        <f aca="false">R348+Q348*Inputs!$B$48-U349+MAX(P349,0)</f>
        <v>418719.672545673</v>
      </c>
      <c r="S349" s="10" t="n">
        <f aca="false">S348*(1+Inputs!$B$42)-V349+MAX(-P349,0)</f>
        <v>125807.327068707</v>
      </c>
      <c r="T349" s="10" t="n">
        <f aca="false">T348+S348*Inputs!$B$48-V349+MAX(-P349,0)</f>
        <v>100301.336596431</v>
      </c>
      <c r="U349" s="10" t="n">
        <f aca="false">Q348*Inputs!$B$48*Inputs!$B$29</f>
        <v>195.098353782079</v>
      </c>
      <c r="V349" s="10" t="n">
        <f aca="false">S348*Inputs!$B$48*Inputs!$B$29</f>
        <v>17.0166215787921</v>
      </c>
    </row>
    <row r="350" customFormat="false" ht="15" hidden="false" customHeight="false" outlineLevel="0" collapsed="false">
      <c r="A350" s="16" t="n">
        <v>349</v>
      </c>
      <c r="B350" s="16" t="n">
        <f aca="false">ROUNDUP(A350/12,0)</f>
        <v>30</v>
      </c>
      <c r="C350" s="10" t="n">
        <f aca="false">F349</f>
        <v>31582.9593978663</v>
      </c>
      <c r="D350" s="10" t="n">
        <f aca="false">IF(AND(A350&lt;=Inputs!$B$9*12,C350&gt;0.000001),C350*Inputs!$B$10/12,0)</f>
        <v>191.603287013722</v>
      </c>
      <c r="E350" s="10" t="n">
        <f aca="false">IF(AND(A350&lt;=Inputs!$B$9*12,C350&gt;0.000001),MIN(C350,Inputs!$B$41-D350),0)</f>
        <v>2545.24584196698</v>
      </c>
      <c r="F350" s="10" t="n">
        <f aca="false">C350-E350</f>
        <v>29037.7135558993</v>
      </c>
      <c r="G350" s="10" t="n">
        <f aca="false">IF(AND(Inputs!$B$43=1,C350&gt;0.78*Inputs!$B$7,A350&lt;=Inputs!$B$9*6),Inputs!$B$16*Inputs!$B$39/12,0)</f>
        <v>0</v>
      </c>
      <c r="H350" s="10" t="n">
        <f aca="false">IF(B350=1,Inputs!$B$7,INDEX(Annual!$AC$2:$AC$51,B350-1))</f>
        <v>1559325.72597478</v>
      </c>
      <c r="I350" s="10" t="n">
        <f aca="false">Inputs!$B$12*IF(Inputs!$B$35="",H350,MIN(H350,Inputs!$B$7*(1+Inputs!$B$35)^(B350-1)))/12</f>
        <v>1169.49429448108</v>
      </c>
      <c r="J350" s="10" t="n">
        <f aca="false">Inputs!$B$13*Inputs!$B$7*(1+Inputs!$B$22)^(B350-1)/12</f>
        <v>464.043920976984</v>
      </c>
      <c r="K350" s="10" t="n">
        <f aca="false">Inputs!$B$14*Inputs!$B$7*(1+Inputs!$B$22)^(B350-1)/12</f>
        <v>928.087841953968</v>
      </c>
      <c r="L350" s="10" t="n">
        <f aca="false">Inputs!$B$15*(1+Inputs!$B$22)^(B350-1)</f>
        <v>0</v>
      </c>
      <c r="M350" s="10" t="n">
        <f aca="false">INDEX(Annual!$N$2:$N$51,B350)/12</f>
        <v>0</v>
      </c>
      <c r="N350" s="10" t="n">
        <f aca="false">D350+E350+G350+I350+J350+K350+L350-M350</f>
        <v>5298.47518639274</v>
      </c>
      <c r="O350" s="10" t="n">
        <f aca="false">Inputs!$B$17*(1+Inputs!$B$18)^(B350-1)+Inputs!$B$19*(1+Inputs!$B$22)^(B350-1)</f>
        <v>6813.10610120558</v>
      </c>
      <c r="P350" s="10" t="n">
        <f aca="false">N350-O350</f>
        <v>-1514.63091481284</v>
      </c>
      <c r="Q350" s="10" t="n">
        <f aca="false">Q349*(1+Inputs!$B$42)-U350+MAX(P350,0)</f>
        <v>1434595.40473211</v>
      </c>
      <c r="R350" s="10" t="n">
        <f aca="false">R349+Q349*Inputs!$B$48-U350+MAX(P350,0)</f>
        <v>419831.328851562</v>
      </c>
      <c r="S350" s="10" t="n">
        <f aca="false">S349*(1+Inputs!$B$42)-V350+MAX(-P350,0)</f>
        <v>128015.992394095</v>
      </c>
      <c r="T350" s="10" t="n">
        <f aca="false">T349+S349*Inputs!$B$48-V350+MAX(-P350,0)</f>
        <v>101913.992386918</v>
      </c>
      <c r="U350" s="10" t="n">
        <f aca="false">Q349*Inputs!$B$48*Inputs!$B$29</f>
        <v>196.174642215561</v>
      </c>
      <c r="V350" s="10" t="n">
        <f aca="false">S349*Inputs!$B$48*Inputs!$B$29</f>
        <v>17.2985074719472</v>
      </c>
    </row>
    <row r="351" customFormat="false" ht="15" hidden="false" customHeight="false" outlineLevel="0" collapsed="false">
      <c r="A351" s="16" t="n">
        <v>350</v>
      </c>
      <c r="B351" s="16" t="n">
        <f aca="false">ROUNDUP(A351/12,0)</f>
        <v>30</v>
      </c>
      <c r="C351" s="10" t="n">
        <f aca="false">F350</f>
        <v>29037.7135558993</v>
      </c>
      <c r="D351" s="10" t="n">
        <f aca="false">IF(AND(A351&lt;=Inputs!$B$9*12,C351&gt;0.000001),C351*Inputs!$B$10/12,0)</f>
        <v>176.162128905789</v>
      </c>
      <c r="E351" s="10" t="n">
        <f aca="false">IF(AND(A351&lt;=Inputs!$B$9*12,C351&gt;0.000001),MIN(C351,Inputs!$B$41-D351),0)</f>
        <v>2560.68700007492</v>
      </c>
      <c r="F351" s="10" t="n">
        <f aca="false">C351-E351</f>
        <v>26477.0265558244</v>
      </c>
      <c r="G351" s="10" t="n">
        <f aca="false">IF(AND(Inputs!$B$43=1,C351&gt;0.78*Inputs!$B$7,A351&lt;=Inputs!$B$9*6),Inputs!$B$16*Inputs!$B$39/12,0)</f>
        <v>0</v>
      </c>
      <c r="H351" s="10" t="n">
        <f aca="false">IF(B351=1,Inputs!$B$7,INDEX(Annual!$AC$2:$AC$51,B351-1))</f>
        <v>1559325.72597478</v>
      </c>
      <c r="I351" s="10" t="n">
        <f aca="false">Inputs!$B$12*IF(Inputs!$B$35="",H351,MIN(H351,Inputs!$B$7*(1+Inputs!$B$35)^(B351-1)))/12</f>
        <v>1169.49429448108</v>
      </c>
      <c r="J351" s="10" t="n">
        <f aca="false">Inputs!$B$13*Inputs!$B$7*(1+Inputs!$B$22)^(B351-1)/12</f>
        <v>464.043920976984</v>
      </c>
      <c r="K351" s="10" t="n">
        <f aca="false">Inputs!$B$14*Inputs!$B$7*(1+Inputs!$B$22)^(B351-1)/12</f>
        <v>928.087841953968</v>
      </c>
      <c r="L351" s="10" t="n">
        <f aca="false">Inputs!$B$15*(1+Inputs!$B$22)^(B351-1)</f>
        <v>0</v>
      </c>
      <c r="M351" s="10" t="n">
        <f aca="false">INDEX(Annual!$N$2:$N$51,B351)/12</f>
        <v>0</v>
      </c>
      <c r="N351" s="10" t="n">
        <f aca="false">D351+E351+G351+I351+J351+K351+L351-M351</f>
        <v>5298.47518639274</v>
      </c>
      <c r="O351" s="10" t="n">
        <f aca="false">Inputs!$B$17*(1+Inputs!$B$18)^(B351-1)+Inputs!$B$19*(1+Inputs!$B$22)^(B351-1)</f>
        <v>6813.10610120558</v>
      </c>
      <c r="P351" s="10" t="n">
        <f aca="false">N351-O351</f>
        <v>-1514.63091481284</v>
      </c>
      <c r="Q351" s="10" t="n">
        <f aca="false">Q350*(1+Inputs!$B$42)-U351+MAX(P351,0)</f>
        <v>1442509.55885442</v>
      </c>
      <c r="R351" s="10" t="n">
        <f aca="false">R350+Q350*Inputs!$B$48-U351+MAX(P351,0)</f>
        <v>420949.117771082</v>
      </c>
      <c r="S351" s="10" t="n">
        <f aca="false">S350*(1+Inputs!$B$42)-V351+MAX(-P351,0)</f>
        <v>130236.842142863</v>
      </c>
      <c r="T351" s="10" t="n">
        <f aca="false">T350+S350*Inputs!$B$48-V351+MAX(-P351,0)</f>
        <v>103528.369095804</v>
      </c>
      <c r="U351" s="10" t="n">
        <f aca="false">Q350*Inputs!$B$48*Inputs!$B$29</f>
        <v>197.256868150665</v>
      </c>
      <c r="V351" s="10" t="n">
        <f aca="false">S350*Inputs!$B$48*Inputs!$B$29</f>
        <v>17.6021989541881</v>
      </c>
    </row>
    <row r="352" customFormat="false" ht="15" hidden="false" customHeight="false" outlineLevel="0" collapsed="false">
      <c r="A352" s="16" t="n">
        <v>351</v>
      </c>
      <c r="B352" s="16" t="n">
        <f aca="false">ROUNDUP(A352/12,0)</f>
        <v>30</v>
      </c>
      <c r="C352" s="10" t="n">
        <f aca="false">F351</f>
        <v>26477.0265558244</v>
      </c>
      <c r="D352" s="10" t="n">
        <f aca="false">IF(AND(A352&lt;=Inputs!$B$9*12,C352&gt;0.000001),C352*Inputs!$B$10/12,0)</f>
        <v>160.627294438668</v>
      </c>
      <c r="E352" s="10" t="n">
        <f aca="false">IF(AND(A352&lt;=Inputs!$B$9*12,C352&gt;0.000001),MIN(C352,Inputs!$B$41-D352),0)</f>
        <v>2576.22183454204</v>
      </c>
      <c r="F352" s="10" t="n">
        <f aca="false">C352-E352</f>
        <v>23900.8047212824</v>
      </c>
      <c r="G352" s="10" t="n">
        <f aca="false">IF(AND(Inputs!$B$43=1,C352&gt;0.78*Inputs!$B$7,A352&lt;=Inputs!$B$9*6),Inputs!$B$16*Inputs!$B$39/12,0)</f>
        <v>0</v>
      </c>
      <c r="H352" s="10" t="n">
        <f aca="false">IF(B352=1,Inputs!$B$7,INDEX(Annual!$AC$2:$AC$51,B352-1))</f>
        <v>1559325.72597478</v>
      </c>
      <c r="I352" s="10" t="n">
        <f aca="false">Inputs!$B$12*IF(Inputs!$B$35="",H352,MIN(H352,Inputs!$B$7*(1+Inputs!$B$35)^(B352-1)))/12</f>
        <v>1169.49429448108</v>
      </c>
      <c r="J352" s="10" t="n">
        <f aca="false">Inputs!$B$13*Inputs!$B$7*(1+Inputs!$B$22)^(B352-1)/12</f>
        <v>464.043920976984</v>
      </c>
      <c r="K352" s="10" t="n">
        <f aca="false">Inputs!$B$14*Inputs!$B$7*(1+Inputs!$B$22)^(B352-1)/12</f>
        <v>928.087841953968</v>
      </c>
      <c r="L352" s="10" t="n">
        <f aca="false">Inputs!$B$15*(1+Inputs!$B$22)^(B352-1)</f>
        <v>0</v>
      </c>
      <c r="M352" s="10" t="n">
        <f aca="false">INDEX(Annual!$N$2:$N$51,B352)/12</f>
        <v>0</v>
      </c>
      <c r="N352" s="10" t="n">
        <f aca="false">D352+E352+G352+I352+J352+K352+L352-M352</f>
        <v>5298.47518639274</v>
      </c>
      <c r="O352" s="10" t="n">
        <f aca="false">Inputs!$B$17*(1+Inputs!$B$18)^(B352-1)+Inputs!$B$19*(1+Inputs!$B$22)^(B352-1)</f>
        <v>6813.10610120558</v>
      </c>
      <c r="P352" s="10" t="n">
        <f aca="false">N352-O352</f>
        <v>-1514.63091481284</v>
      </c>
      <c r="Q352" s="10" t="n">
        <f aca="false">Q351*(1+Inputs!$B$42)-U352+MAX(P352,0)</f>
        <v>1450467.37255856</v>
      </c>
      <c r="R352" s="10" t="n">
        <f aca="false">R351+Q351*Inputs!$B$48-U352+MAX(P352,0)</f>
        <v>422073.073135689</v>
      </c>
      <c r="S352" s="10" t="n">
        <f aca="false">S351*(1+Inputs!$B$42)-V352+MAX(-P352,0)</f>
        <v>132469.943532154</v>
      </c>
      <c r="T352" s="10" t="n">
        <f aca="false">T351+S351*Inputs!$B$48-V352+MAX(-P352,0)</f>
        <v>105144.476216787</v>
      </c>
      <c r="U352" s="10" t="n">
        <f aca="false">Q351*Inputs!$B$48*Inputs!$B$29</f>
        <v>198.345064342483</v>
      </c>
      <c r="V352" s="10" t="n">
        <f aca="false">S351*Inputs!$B$48*Inputs!$B$29</f>
        <v>17.9075657946437</v>
      </c>
    </row>
    <row r="353" customFormat="false" ht="15" hidden="false" customHeight="false" outlineLevel="0" collapsed="false">
      <c r="A353" s="16" t="n">
        <v>352</v>
      </c>
      <c r="B353" s="16" t="n">
        <f aca="false">ROUNDUP(A353/12,0)</f>
        <v>30</v>
      </c>
      <c r="C353" s="10" t="n">
        <f aca="false">F352</f>
        <v>23900.8047212824</v>
      </c>
      <c r="D353" s="10" t="n">
        <f aca="false">IF(AND(A353&lt;=Inputs!$B$9*12,C353&gt;0.000001),C353*Inputs!$B$10/12,0)</f>
        <v>144.998215309113</v>
      </c>
      <c r="E353" s="10" t="n">
        <f aca="false">IF(AND(A353&lt;=Inputs!$B$9*12,C353&gt;0.000001),MIN(C353,Inputs!$B$41-D353),0)</f>
        <v>2591.85091367159</v>
      </c>
      <c r="F353" s="10" t="n">
        <f aca="false">C353-E353</f>
        <v>21308.9538076108</v>
      </c>
      <c r="G353" s="10" t="n">
        <f aca="false">IF(AND(Inputs!$B$43=1,C353&gt;0.78*Inputs!$B$7,A353&lt;=Inputs!$B$9*6),Inputs!$B$16*Inputs!$B$39/12,0)</f>
        <v>0</v>
      </c>
      <c r="H353" s="10" t="n">
        <f aca="false">IF(B353=1,Inputs!$B$7,INDEX(Annual!$AC$2:$AC$51,B353-1))</f>
        <v>1559325.72597478</v>
      </c>
      <c r="I353" s="10" t="n">
        <f aca="false">Inputs!$B$12*IF(Inputs!$B$35="",H353,MIN(H353,Inputs!$B$7*(1+Inputs!$B$35)^(B353-1)))/12</f>
        <v>1169.49429448108</v>
      </c>
      <c r="J353" s="10" t="n">
        <f aca="false">Inputs!$B$13*Inputs!$B$7*(1+Inputs!$B$22)^(B353-1)/12</f>
        <v>464.043920976984</v>
      </c>
      <c r="K353" s="10" t="n">
        <f aca="false">Inputs!$B$14*Inputs!$B$7*(1+Inputs!$B$22)^(B353-1)/12</f>
        <v>928.087841953968</v>
      </c>
      <c r="L353" s="10" t="n">
        <f aca="false">Inputs!$B$15*(1+Inputs!$B$22)^(B353-1)</f>
        <v>0</v>
      </c>
      <c r="M353" s="10" t="n">
        <f aca="false">INDEX(Annual!$N$2:$N$51,B353)/12</f>
        <v>0</v>
      </c>
      <c r="N353" s="10" t="n">
        <f aca="false">D353+E353+G353+I353+J353+K353+L353-M353</f>
        <v>5298.47518639274</v>
      </c>
      <c r="O353" s="10" t="n">
        <f aca="false">Inputs!$B$17*(1+Inputs!$B$18)^(B353-1)+Inputs!$B$19*(1+Inputs!$B$22)^(B353-1)</f>
        <v>6813.10610120558</v>
      </c>
      <c r="P353" s="10" t="n">
        <f aca="false">N353-O353</f>
        <v>-1514.63091481284</v>
      </c>
      <c r="Q353" s="10" t="n">
        <f aca="false">Q352*(1+Inputs!$B$42)-U353+MAX(P353,0)</f>
        <v>1458469.08669897</v>
      </c>
      <c r="R353" s="10" t="n">
        <f aca="false">R352+Q352*Inputs!$B$48-U353+MAX(P353,0)</f>
        <v>423203.228963475</v>
      </c>
      <c r="S353" s="10" t="n">
        <f aca="false">S352*(1+Inputs!$B$42)-V353+MAX(-P353,0)</f>
        <v>134715.364149923</v>
      </c>
      <c r="T353" s="10" t="n">
        <f aca="false">T352+S352*Inputs!$B$48-V353+MAX(-P353,0)</f>
        <v>106762.323295935</v>
      </c>
      <c r="U353" s="10" t="n">
        <f aca="false">Q352*Inputs!$B$48*Inputs!$B$29</f>
        <v>199.439263726802</v>
      </c>
      <c r="V353" s="10" t="n">
        <f aca="false">S352*Inputs!$B$48*Inputs!$B$29</f>
        <v>18.2146172356711</v>
      </c>
    </row>
    <row r="354" customFormat="false" ht="15" hidden="false" customHeight="false" outlineLevel="0" collapsed="false">
      <c r="A354" s="16" t="n">
        <v>353</v>
      </c>
      <c r="B354" s="16" t="n">
        <f aca="false">ROUNDUP(A354/12,0)</f>
        <v>30</v>
      </c>
      <c r="C354" s="10" t="n">
        <f aca="false">F353</f>
        <v>21308.9538076108</v>
      </c>
      <c r="D354" s="10" t="n">
        <f aca="false">IF(AND(A354&lt;=Inputs!$B$9*12,C354&gt;0.000001),C354*Inputs!$B$10/12,0)</f>
        <v>129.274319766172</v>
      </c>
      <c r="E354" s="10" t="n">
        <f aca="false">IF(AND(A354&lt;=Inputs!$B$9*12,C354&gt;0.000001),MIN(C354,Inputs!$B$41-D354),0)</f>
        <v>2607.57480921453</v>
      </c>
      <c r="F354" s="10" t="n">
        <f aca="false">C354-E354</f>
        <v>18701.3789983963</v>
      </c>
      <c r="G354" s="10" t="n">
        <f aca="false">IF(AND(Inputs!$B$43=1,C354&gt;0.78*Inputs!$B$7,A354&lt;=Inputs!$B$9*6),Inputs!$B$16*Inputs!$B$39/12,0)</f>
        <v>0</v>
      </c>
      <c r="H354" s="10" t="n">
        <f aca="false">IF(B354=1,Inputs!$B$7,INDEX(Annual!$AC$2:$AC$51,B354-1))</f>
        <v>1559325.72597478</v>
      </c>
      <c r="I354" s="10" t="n">
        <f aca="false">Inputs!$B$12*IF(Inputs!$B$35="",H354,MIN(H354,Inputs!$B$7*(1+Inputs!$B$35)^(B354-1)))/12</f>
        <v>1169.49429448108</v>
      </c>
      <c r="J354" s="10" t="n">
        <f aca="false">Inputs!$B$13*Inputs!$B$7*(1+Inputs!$B$22)^(B354-1)/12</f>
        <v>464.043920976984</v>
      </c>
      <c r="K354" s="10" t="n">
        <f aca="false">Inputs!$B$14*Inputs!$B$7*(1+Inputs!$B$22)^(B354-1)/12</f>
        <v>928.087841953968</v>
      </c>
      <c r="L354" s="10" t="n">
        <f aca="false">Inputs!$B$15*(1+Inputs!$B$22)^(B354-1)</f>
        <v>0</v>
      </c>
      <c r="M354" s="10" t="n">
        <f aca="false">INDEX(Annual!$N$2:$N$51,B354)/12</f>
        <v>0</v>
      </c>
      <c r="N354" s="10" t="n">
        <f aca="false">D354+E354+G354+I354+J354+K354+L354-M354</f>
        <v>5298.47518639274</v>
      </c>
      <c r="O354" s="10" t="n">
        <f aca="false">Inputs!$B$17*(1+Inputs!$B$18)^(B354-1)+Inputs!$B$19*(1+Inputs!$B$22)^(B354-1)</f>
        <v>6813.10610120558</v>
      </c>
      <c r="P354" s="10" t="n">
        <f aca="false">N354-O354</f>
        <v>-1514.63091481284</v>
      </c>
      <c r="Q354" s="10" t="n">
        <f aca="false">Q353*(1+Inputs!$B$42)-U354+MAX(P354,0)</f>
        <v>1466514.94345878</v>
      </c>
      <c r="R354" s="10" t="n">
        <f aca="false">R353+Q353*Inputs!$B$48-U354+MAX(P354,0)</f>
        <v>424339.619460194</v>
      </c>
      <c r="S354" s="10" t="n">
        <f aca="false">S353*(1+Inputs!$B$42)-V354+MAX(-P354,0)</f>
        <v>136973.171956986</v>
      </c>
      <c r="T354" s="10" t="n">
        <f aca="false">T353+S353*Inputs!$B$48-V354+MAX(-P354,0)</f>
        <v>108381.919931981</v>
      </c>
      <c r="U354" s="10" t="n">
        <f aca="false">Q353*Inputs!$B$48*Inputs!$B$29</f>
        <v>200.539499421108</v>
      </c>
      <c r="V354" s="10" t="n">
        <f aca="false">S353*Inputs!$B$48*Inputs!$B$29</f>
        <v>18.5233625706144</v>
      </c>
    </row>
    <row r="355" customFormat="false" ht="15" hidden="false" customHeight="false" outlineLevel="0" collapsed="false">
      <c r="A355" s="16" t="n">
        <v>354</v>
      </c>
      <c r="B355" s="16" t="n">
        <f aca="false">ROUNDUP(A355/12,0)</f>
        <v>30</v>
      </c>
      <c r="C355" s="10" t="n">
        <f aca="false">F354</f>
        <v>18701.3789983963</v>
      </c>
      <c r="D355" s="10" t="n">
        <f aca="false">IF(AND(A355&lt;=Inputs!$B$9*12,C355&gt;0.000001),C355*Inputs!$B$10/12,0)</f>
        <v>113.455032590271</v>
      </c>
      <c r="E355" s="10" t="n">
        <f aca="false">IF(AND(A355&lt;=Inputs!$B$9*12,C355&gt;0.000001),MIN(C355,Inputs!$B$41-D355),0)</f>
        <v>2623.39409639044</v>
      </c>
      <c r="F355" s="10" t="n">
        <f aca="false">C355-E355</f>
        <v>16077.9849020058</v>
      </c>
      <c r="G355" s="10" t="n">
        <f aca="false">IF(AND(Inputs!$B$43=1,C355&gt;0.78*Inputs!$B$7,A355&lt;=Inputs!$B$9*6),Inputs!$B$16*Inputs!$B$39/12,0)</f>
        <v>0</v>
      </c>
      <c r="H355" s="10" t="n">
        <f aca="false">IF(B355=1,Inputs!$B$7,INDEX(Annual!$AC$2:$AC$51,B355-1))</f>
        <v>1559325.72597478</v>
      </c>
      <c r="I355" s="10" t="n">
        <f aca="false">Inputs!$B$12*IF(Inputs!$B$35="",H355,MIN(H355,Inputs!$B$7*(1+Inputs!$B$35)^(B355-1)))/12</f>
        <v>1169.49429448108</v>
      </c>
      <c r="J355" s="10" t="n">
        <f aca="false">Inputs!$B$13*Inputs!$B$7*(1+Inputs!$B$22)^(B355-1)/12</f>
        <v>464.043920976984</v>
      </c>
      <c r="K355" s="10" t="n">
        <f aca="false">Inputs!$B$14*Inputs!$B$7*(1+Inputs!$B$22)^(B355-1)/12</f>
        <v>928.087841953968</v>
      </c>
      <c r="L355" s="10" t="n">
        <f aca="false">Inputs!$B$15*(1+Inputs!$B$22)^(B355-1)</f>
        <v>0</v>
      </c>
      <c r="M355" s="10" t="n">
        <f aca="false">INDEX(Annual!$N$2:$N$51,B355)/12</f>
        <v>0</v>
      </c>
      <c r="N355" s="10" t="n">
        <f aca="false">D355+E355+G355+I355+J355+K355+L355-M355</f>
        <v>5298.47518639274</v>
      </c>
      <c r="O355" s="10" t="n">
        <f aca="false">Inputs!$B$17*(1+Inputs!$B$18)^(B355-1)+Inputs!$B$19*(1+Inputs!$B$22)^(B355-1)</f>
        <v>6813.10610120558</v>
      </c>
      <c r="P355" s="10" t="n">
        <f aca="false">N355-O355</f>
        <v>-1514.63091481284</v>
      </c>
      <c r="Q355" s="10" t="n">
        <f aca="false">Q354*(1+Inputs!$B$42)-U355+MAX(P355,0)</f>
        <v>1474605.18635717</v>
      </c>
      <c r="R355" s="10" t="n">
        <f aca="false">R354+Q354*Inputs!$B$48-U355+MAX(P355,0)</f>
        <v>425482.279020306</v>
      </c>
      <c r="S355" s="10" t="n">
        <f aca="false">S354*(1+Inputs!$B$42)-V355+MAX(-P355,0)</f>
        <v>139243.435289074</v>
      </c>
      <c r="T355" s="10" t="n">
        <f aca="false">T354+S354*Inputs!$B$48-V355+MAX(-P355,0)</f>
        <v>110003.275776611</v>
      </c>
      <c r="U355" s="10" t="n">
        <f aca="false">Q354*Inputs!$B$48*Inputs!$B$29</f>
        <v>201.645804725582</v>
      </c>
      <c r="V355" s="10" t="n">
        <f aca="false">S354*Inputs!$B$48*Inputs!$B$29</f>
        <v>18.8338111440856</v>
      </c>
    </row>
    <row r="356" customFormat="false" ht="15" hidden="false" customHeight="false" outlineLevel="0" collapsed="false">
      <c r="A356" s="16" t="n">
        <v>355</v>
      </c>
      <c r="B356" s="16" t="n">
        <f aca="false">ROUNDUP(A356/12,0)</f>
        <v>30</v>
      </c>
      <c r="C356" s="10" t="n">
        <f aca="false">F355</f>
        <v>16077.9849020058</v>
      </c>
      <c r="D356" s="10" t="n">
        <f aca="false">IF(AND(A356&lt;=Inputs!$B$9*12,C356&gt;0.000001),C356*Inputs!$B$10/12,0)</f>
        <v>97.5397750721686</v>
      </c>
      <c r="E356" s="10" t="n">
        <f aca="false">IF(AND(A356&lt;=Inputs!$B$9*12,C356&gt;0.000001),MIN(C356,Inputs!$B$41-D356),0)</f>
        <v>2639.30935390854</v>
      </c>
      <c r="F356" s="10" t="n">
        <f aca="false">C356-E356</f>
        <v>13438.6755480973</v>
      </c>
      <c r="G356" s="10" t="n">
        <f aca="false">IF(AND(Inputs!$B$43=1,C356&gt;0.78*Inputs!$B$7,A356&lt;=Inputs!$B$9*6),Inputs!$B$16*Inputs!$B$39/12,0)</f>
        <v>0</v>
      </c>
      <c r="H356" s="10" t="n">
        <f aca="false">IF(B356=1,Inputs!$B$7,INDEX(Annual!$AC$2:$AC$51,B356-1))</f>
        <v>1559325.72597478</v>
      </c>
      <c r="I356" s="10" t="n">
        <f aca="false">Inputs!$B$12*IF(Inputs!$B$35="",H356,MIN(H356,Inputs!$B$7*(1+Inputs!$B$35)^(B356-1)))/12</f>
        <v>1169.49429448108</v>
      </c>
      <c r="J356" s="10" t="n">
        <f aca="false">Inputs!$B$13*Inputs!$B$7*(1+Inputs!$B$22)^(B356-1)/12</f>
        <v>464.043920976984</v>
      </c>
      <c r="K356" s="10" t="n">
        <f aca="false">Inputs!$B$14*Inputs!$B$7*(1+Inputs!$B$22)^(B356-1)/12</f>
        <v>928.087841953968</v>
      </c>
      <c r="L356" s="10" t="n">
        <f aca="false">Inputs!$B$15*(1+Inputs!$B$22)^(B356-1)</f>
        <v>0</v>
      </c>
      <c r="M356" s="10" t="n">
        <f aca="false">INDEX(Annual!$N$2:$N$51,B356)/12</f>
        <v>0</v>
      </c>
      <c r="N356" s="10" t="n">
        <f aca="false">D356+E356+G356+I356+J356+K356+L356-M356</f>
        <v>5298.47518639274</v>
      </c>
      <c r="O356" s="10" t="n">
        <f aca="false">Inputs!$B$17*(1+Inputs!$B$18)^(B356-1)+Inputs!$B$19*(1+Inputs!$B$22)^(B356-1)</f>
        <v>6813.10610120558</v>
      </c>
      <c r="P356" s="10" t="n">
        <f aca="false">N356-O356</f>
        <v>-1514.63091481284</v>
      </c>
      <c r="Q356" s="10" t="n">
        <f aca="false">Q355*(1+Inputs!$B$42)-U356+MAX(P356,0)</f>
        <v>1482740.06025674</v>
      </c>
      <c r="R356" s="10" t="n">
        <f aca="false">R355+Q355*Inputs!$B$48-U356+MAX(P356,0)</f>
        <v>426631.242228009</v>
      </c>
      <c r="S356" s="10" t="n">
        <f aca="false">S355*(1+Inputs!$B$42)-V356+MAX(-P356,0)</f>
        <v>141526.222858901</v>
      </c>
      <c r="T356" s="10" t="n">
        <f aca="false">T355+S355*Inputs!$B$48-V356+MAX(-P356,0)</f>
        <v>111626.400534753</v>
      </c>
      <c r="U356" s="10" t="n">
        <f aca="false">Q355*Inputs!$B$48*Inputs!$B$29</f>
        <v>202.758213124111</v>
      </c>
      <c r="V356" s="10" t="n">
        <f aca="false">S355*Inputs!$B$48*Inputs!$B$29</f>
        <v>19.1459723522477</v>
      </c>
    </row>
    <row r="357" customFormat="false" ht="15" hidden="false" customHeight="false" outlineLevel="0" collapsed="false">
      <c r="A357" s="16" t="n">
        <v>356</v>
      </c>
      <c r="B357" s="16" t="n">
        <f aca="false">ROUNDUP(A357/12,0)</f>
        <v>30</v>
      </c>
      <c r="C357" s="10" t="n">
        <f aca="false">F356</f>
        <v>13438.6755480973</v>
      </c>
      <c r="D357" s="10" t="n">
        <f aca="false">IF(AND(A357&lt;=Inputs!$B$9*12,C357&gt;0.000001),C357*Inputs!$B$10/12,0)</f>
        <v>81.5279649917902</v>
      </c>
      <c r="E357" s="10" t="n">
        <f aca="false">IF(AND(A357&lt;=Inputs!$B$9*12,C357&gt;0.000001),MIN(C357,Inputs!$B$41-D357),0)</f>
        <v>2655.32116398892</v>
      </c>
      <c r="F357" s="10" t="n">
        <f aca="false">C357-E357</f>
        <v>10783.3543841084</v>
      </c>
      <c r="G357" s="10" t="n">
        <f aca="false">IF(AND(Inputs!$B$43=1,C357&gt;0.78*Inputs!$B$7,A357&lt;=Inputs!$B$9*6),Inputs!$B$16*Inputs!$B$39/12,0)</f>
        <v>0</v>
      </c>
      <c r="H357" s="10" t="n">
        <f aca="false">IF(B357=1,Inputs!$B$7,INDEX(Annual!$AC$2:$AC$51,B357-1))</f>
        <v>1559325.72597478</v>
      </c>
      <c r="I357" s="10" t="n">
        <f aca="false">Inputs!$B$12*IF(Inputs!$B$35="",H357,MIN(H357,Inputs!$B$7*(1+Inputs!$B$35)^(B357-1)))/12</f>
        <v>1169.49429448108</v>
      </c>
      <c r="J357" s="10" t="n">
        <f aca="false">Inputs!$B$13*Inputs!$B$7*(1+Inputs!$B$22)^(B357-1)/12</f>
        <v>464.043920976984</v>
      </c>
      <c r="K357" s="10" t="n">
        <f aca="false">Inputs!$B$14*Inputs!$B$7*(1+Inputs!$B$22)^(B357-1)/12</f>
        <v>928.087841953968</v>
      </c>
      <c r="L357" s="10" t="n">
        <f aca="false">Inputs!$B$15*(1+Inputs!$B$22)^(B357-1)</f>
        <v>0</v>
      </c>
      <c r="M357" s="10" t="n">
        <f aca="false">INDEX(Annual!$N$2:$N$51,B357)/12</f>
        <v>0</v>
      </c>
      <c r="N357" s="10" t="n">
        <f aca="false">D357+E357+G357+I357+J357+K357+L357-M357</f>
        <v>5298.47518639274</v>
      </c>
      <c r="O357" s="10" t="n">
        <f aca="false">Inputs!$B$17*(1+Inputs!$B$18)^(B357-1)+Inputs!$B$19*(1+Inputs!$B$22)^(B357-1)</f>
        <v>6813.10610120558</v>
      </c>
      <c r="P357" s="10" t="n">
        <f aca="false">N357-O357</f>
        <v>-1514.63091481284</v>
      </c>
      <c r="Q357" s="10" t="n">
        <f aca="false">Q356*(1+Inputs!$B$42)-U357+MAX(P357,0)</f>
        <v>1490919.81137087</v>
      </c>
      <c r="R357" s="10" t="n">
        <f aca="false">R356+Q356*Inputs!$B$48-U357+MAX(P357,0)</f>
        <v>427786.543858293</v>
      </c>
      <c r="S357" s="10" t="n">
        <f aca="false">S356*(1+Inputs!$B$42)-V357+MAX(-P357,0)</f>
        <v>143821.603758245</v>
      </c>
      <c r="T357" s="10" t="n">
        <f aca="false">T356+S356*Inputs!$B$48-V357+MAX(-P357,0)</f>
        <v>113251.303964877</v>
      </c>
      <c r="U357" s="10" t="n">
        <f aca="false">Q356*Inputs!$B$48*Inputs!$B$29</f>
        <v>203.876758285301</v>
      </c>
      <c r="V357" s="10" t="n">
        <f aca="false">S356*Inputs!$B$48*Inputs!$B$29</f>
        <v>19.4598556430988</v>
      </c>
    </row>
    <row r="358" customFormat="false" ht="15" hidden="false" customHeight="false" outlineLevel="0" collapsed="false">
      <c r="A358" s="16" t="n">
        <v>357</v>
      </c>
      <c r="B358" s="16" t="n">
        <f aca="false">ROUNDUP(A358/12,0)</f>
        <v>30</v>
      </c>
      <c r="C358" s="10" t="n">
        <f aca="false">F357</f>
        <v>10783.3543841084</v>
      </c>
      <c r="D358" s="10" t="n">
        <f aca="false">IF(AND(A358&lt;=Inputs!$B$9*12,C358&gt;0.000001),C358*Inputs!$B$10/12,0)</f>
        <v>65.4190165969241</v>
      </c>
      <c r="E358" s="10" t="n">
        <f aca="false">IF(AND(A358&lt;=Inputs!$B$9*12,C358&gt;0.000001),MIN(C358,Inputs!$B$41-D358),0)</f>
        <v>2671.43011238378</v>
      </c>
      <c r="F358" s="10" t="n">
        <f aca="false">C358-E358</f>
        <v>8111.92427172458</v>
      </c>
      <c r="G358" s="10" t="n">
        <f aca="false">IF(AND(Inputs!$B$43=1,C358&gt;0.78*Inputs!$B$7,A358&lt;=Inputs!$B$9*6),Inputs!$B$16*Inputs!$B$39/12,0)</f>
        <v>0</v>
      </c>
      <c r="H358" s="10" t="n">
        <f aca="false">IF(B358=1,Inputs!$B$7,INDEX(Annual!$AC$2:$AC$51,B358-1))</f>
        <v>1559325.72597478</v>
      </c>
      <c r="I358" s="10" t="n">
        <f aca="false">Inputs!$B$12*IF(Inputs!$B$35="",H358,MIN(H358,Inputs!$B$7*(1+Inputs!$B$35)^(B358-1)))/12</f>
        <v>1169.49429448108</v>
      </c>
      <c r="J358" s="10" t="n">
        <f aca="false">Inputs!$B$13*Inputs!$B$7*(1+Inputs!$B$22)^(B358-1)/12</f>
        <v>464.043920976984</v>
      </c>
      <c r="K358" s="10" t="n">
        <f aca="false">Inputs!$B$14*Inputs!$B$7*(1+Inputs!$B$22)^(B358-1)/12</f>
        <v>928.087841953968</v>
      </c>
      <c r="L358" s="10" t="n">
        <f aca="false">Inputs!$B$15*(1+Inputs!$B$22)^(B358-1)</f>
        <v>0</v>
      </c>
      <c r="M358" s="10" t="n">
        <f aca="false">INDEX(Annual!$N$2:$N$51,B358)/12</f>
        <v>0</v>
      </c>
      <c r="N358" s="10" t="n">
        <f aca="false">D358+E358+G358+I358+J358+K358+L358-M358</f>
        <v>5298.47518639274</v>
      </c>
      <c r="O358" s="10" t="n">
        <f aca="false">Inputs!$B$17*(1+Inputs!$B$18)^(B358-1)+Inputs!$B$19*(1+Inputs!$B$22)^(B358-1)</f>
        <v>6813.10610120558</v>
      </c>
      <c r="P358" s="10" t="n">
        <f aca="false">N358-O358</f>
        <v>-1514.63091481284</v>
      </c>
      <c r="Q358" s="10" t="n">
        <f aca="false">Q357*(1+Inputs!$B$42)-U358+MAX(P358,0)</f>
        <v>1499144.68727126</v>
      </c>
      <c r="R358" s="10" t="n">
        <f aca="false">R357+Q357*Inputs!$B$48-U358+MAX(P358,0)</f>
        <v>428948.218877986</v>
      </c>
      <c r="S358" s="10" t="n">
        <f aca="false">S357*(1+Inputs!$B$42)-V358+MAX(-P358,0)</f>
        <v>146129.64746004</v>
      </c>
      <c r="T358" s="10" t="n">
        <f aca="false">T357+S357*Inputs!$B$48-V358+MAX(-P358,0)</f>
        <v>114877.995879285</v>
      </c>
      <c r="U358" s="10" t="n">
        <f aca="false">Q357*Inputs!$B$48*Inputs!$B$29</f>
        <v>205.001474063495</v>
      </c>
      <c r="V358" s="10" t="n">
        <f aca="false">S357*Inputs!$B$48*Inputs!$B$29</f>
        <v>19.7754705167587</v>
      </c>
    </row>
    <row r="359" customFormat="false" ht="15" hidden="false" customHeight="false" outlineLevel="0" collapsed="false">
      <c r="A359" s="16" t="n">
        <v>358</v>
      </c>
      <c r="B359" s="16" t="n">
        <f aca="false">ROUNDUP(A359/12,0)</f>
        <v>30</v>
      </c>
      <c r="C359" s="10" t="n">
        <f aca="false">F358</f>
        <v>8111.92427172458</v>
      </c>
      <c r="D359" s="10" t="n">
        <f aca="false">IF(AND(A359&lt;=Inputs!$B$9*12,C359&gt;0.000001),C359*Inputs!$B$10/12,0)</f>
        <v>49.2123405817958</v>
      </c>
      <c r="E359" s="10" t="n">
        <f aca="false">IF(AND(A359&lt;=Inputs!$B$9*12,C359&gt;0.000001),MIN(C359,Inputs!$B$41-D359),0)</f>
        <v>2687.63678839891</v>
      </c>
      <c r="F359" s="10" t="n">
        <f aca="false">C359-E359</f>
        <v>5424.28748332567</v>
      </c>
      <c r="G359" s="10" t="n">
        <f aca="false">IF(AND(Inputs!$B$43=1,C359&gt;0.78*Inputs!$B$7,A359&lt;=Inputs!$B$9*6),Inputs!$B$16*Inputs!$B$39/12,0)</f>
        <v>0</v>
      </c>
      <c r="H359" s="10" t="n">
        <f aca="false">IF(B359=1,Inputs!$B$7,INDEX(Annual!$AC$2:$AC$51,B359-1))</f>
        <v>1559325.72597478</v>
      </c>
      <c r="I359" s="10" t="n">
        <f aca="false">Inputs!$B$12*IF(Inputs!$B$35="",H359,MIN(H359,Inputs!$B$7*(1+Inputs!$B$35)^(B359-1)))/12</f>
        <v>1169.49429448108</v>
      </c>
      <c r="J359" s="10" t="n">
        <f aca="false">Inputs!$B$13*Inputs!$B$7*(1+Inputs!$B$22)^(B359-1)/12</f>
        <v>464.043920976984</v>
      </c>
      <c r="K359" s="10" t="n">
        <f aca="false">Inputs!$B$14*Inputs!$B$7*(1+Inputs!$B$22)^(B359-1)/12</f>
        <v>928.087841953968</v>
      </c>
      <c r="L359" s="10" t="n">
        <f aca="false">Inputs!$B$15*(1+Inputs!$B$22)^(B359-1)</f>
        <v>0</v>
      </c>
      <c r="M359" s="10" t="n">
        <f aca="false">INDEX(Annual!$N$2:$N$51,B359)/12</f>
        <v>0</v>
      </c>
      <c r="N359" s="10" t="n">
        <f aca="false">D359+E359+G359+I359+J359+K359+L359-M359</f>
        <v>5298.47518639274</v>
      </c>
      <c r="O359" s="10" t="n">
        <f aca="false">Inputs!$B$17*(1+Inputs!$B$18)^(B359-1)+Inputs!$B$19*(1+Inputs!$B$22)^(B359-1)</f>
        <v>6813.10610120558</v>
      </c>
      <c r="P359" s="10" t="n">
        <f aca="false">N359-O359</f>
        <v>-1514.63091481284</v>
      </c>
      <c r="Q359" s="10" t="n">
        <f aca="false">Q358*(1+Inputs!$B$42)-U359+MAX(P359,0)</f>
        <v>1507414.93689535</v>
      </c>
      <c r="R359" s="10" t="n">
        <f aca="false">R358+Q358*Inputs!$B$48-U359+MAX(P359,0)</f>
        <v>430116.302446818</v>
      </c>
      <c r="S359" s="10" t="n">
        <f aca="false">S358*(1+Inputs!$B$42)-V359+MAX(-P359,0)</f>
        <v>148450.423820476</v>
      </c>
      <c r="T359" s="10" t="n">
        <f aca="false">T358+S358*Inputs!$B$48-V359+MAX(-P359,0)</f>
        <v>116506.48614441</v>
      </c>
      <c r="U359" s="10" t="n">
        <f aca="false">Q358*Inputs!$B$48*Inputs!$B$29</f>
        <v>206.132394499798</v>
      </c>
      <c r="V359" s="10" t="n">
        <f aca="false">S358*Inputs!$B$48*Inputs!$B$29</f>
        <v>20.0928265257555</v>
      </c>
    </row>
    <row r="360" customFormat="false" ht="15" hidden="false" customHeight="false" outlineLevel="0" collapsed="false">
      <c r="A360" s="16" t="n">
        <v>359</v>
      </c>
      <c r="B360" s="16" t="n">
        <f aca="false">ROUNDUP(A360/12,0)</f>
        <v>30</v>
      </c>
      <c r="C360" s="10" t="n">
        <f aca="false">F359</f>
        <v>5424.28748332567</v>
      </c>
      <c r="D360" s="10" t="n">
        <f aca="false">IF(AND(A360&lt;=Inputs!$B$9*12,C360&gt;0.000001),C360*Inputs!$B$10/12,0)</f>
        <v>32.9073440655091</v>
      </c>
      <c r="E360" s="10" t="n">
        <f aca="false">IF(AND(A360&lt;=Inputs!$B$9*12,C360&gt;0.000001),MIN(C360,Inputs!$B$41-D360),0)</f>
        <v>2703.9417849152</v>
      </c>
      <c r="F360" s="10" t="n">
        <f aca="false">C360-E360</f>
        <v>2720.34569841048</v>
      </c>
      <c r="G360" s="10" t="n">
        <f aca="false">IF(AND(Inputs!$B$43=1,C360&gt;0.78*Inputs!$B$7,A360&lt;=Inputs!$B$9*6),Inputs!$B$16*Inputs!$B$39/12,0)</f>
        <v>0</v>
      </c>
      <c r="H360" s="10" t="n">
        <f aca="false">IF(B360=1,Inputs!$B$7,INDEX(Annual!$AC$2:$AC$51,B360-1))</f>
        <v>1559325.72597478</v>
      </c>
      <c r="I360" s="10" t="n">
        <f aca="false">Inputs!$B$12*IF(Inputs!$B$35="",H360,MIN(H360,Inputs!$B$7*(1+Inputs!$B$35)^(B360-1)))/12</f>
        <v>1169.49429448108</v>
      </c>
      <c r="J360" s="10" t="n">
        <f aca="false">Inputs!$B$13*Inputs!$B$7*(1+Inputs!$B$22)^(B360-1)/12</f>
        <v>464.043920976984</v>
      </c>
      <c r="K360" s="10" t="n">
        <f aca="false">Inputs!$B$14*Inputs!$B$7*(1+Inputs!$B$22)^(B360-1)/12</f>
        <v>928.087841953968</v>
      </c>
      <c r="L360" s="10" t="n">
        <f aca="false">Inputs!$B$15*(1+Inputs!$B$22)^(B360-1)</f>
        <v>0</v>
      </c>
      <c r="M360" s="10" t="n">
        <f aca="false">INDEX(Annual!$N$2:$N$51,B360)/12</f>
        <v>0</v>
      </c>
      <c r="N360" s="10" t="n">
        <f aca="false">D360+E360+G360+I360+J360+K360+L360-M360</f>
        <v>5298.47518639274</v>
      </c>
      <c r="O360" s="10" t="n">
        <f aca="false">Inputs!$B$17*(1+Inputs!$B$18)^(B360-1)+Inputs!$B$19*(1+Inputs!$B$22)^(B360-1)</f>
        <v>6813.10610120558</v>
      </c>
      <c r="P360" s="10" t="n">
        <f aca="false">N360-O360</f>
        <v>-1514.63091481284</v>
      </c>
      <c r="Q360" s="10" t="n">
        <f aca="false">Q359*(1+Inputs!$B$42)-U360+MAX(P360,0)</f>
        <v>1515730.81055388</v>
      </c>
      <c r="R360" s="10" t="n">
        <f aca="false">R359+Q359*Inputs!$B$48-U360+MAX(P360,0)</f>
        <v>431290.829918482</v>
      </c>
      <c r="S360" s="10" t="n">
        <f aca="false">S359*(1+Inputs!$B$42)-V360+MAX(-P360,0)</f>
        <v>150784.003081117</v>
      </c>
      <c r="T360" s="10" t="n">
        <f aca="false">T359+S359*Inputs!$B$48-V360+MAX(-P360,0)</f>
        <v>118136.784681116</v>
      </c>
      <c r="U360" s="10" t="n">
        <f aca="false">Q359*Inputs!$B$48*Inputs!$B$29</f>
        <v>207.269553823111</v>
      </c>
      <c r="V360" s="10" t="n">
        <f aca="false">S359*Inputs!$B$48*Inputs!$B$29</f>
        <v>20.4119332753155</v>
      </c>
    </row>
    <row r="361" customFormat="false" ht="15" hidden="false" customHeight="false" outlineLevel="0" collapsed="false">
      <c r="A361" s="16" t="n">
        <v>360</v>
      </c>
      <c r="B361" s="16" t="n">
        <f aca="false">ROUNDUP(A361/12,0)</f>
        <v>30</v>
      </c>
      <c r="C361" s="10" t="n">
        <f aca="false">F360</f>
        <v>2720.34569841048</v>
      </c>
      <c r="D361" s="10" t="n">
        <f aca="false">IF(AND(A361&lt;=Inputs!$B$9*12,C361&gt;0.000001),C361*Inputs!$B$10/12,0)</f>
        <v>16.5034305703569</v>
      </c>
      <c r="E361" s="10" t="n">
        <f aca="false">IF(AND(A361&lt;=Inputs!$B$9*12,C361&gt;0.000001),MIN(C361,Inputs!$B$41-D361),0)</f>
        <v>2720.34569841035</v>
      </c>
      <c r="F361" s="10" t="n">
        <f aca="false">C361-E361</f>
        <v>1.28693500300869E-010</v>
      </c>
      <c r="G361" s="10" t="n">
        <f aca="false">IF(AND(Inputs!$B$43=1,C361&gt;0.78*Inputs!$B$7,A361&lt;=Inputs!$B$9*6),Inputs!$B$16*Inputs!$B$39/12,0)</f>
        <v>0</v>
      </c>
      <c r="H361" s="10" t="n">
        <f aca="false">IF(B361=1,Inputs!$B$7,INDEX(Annual!$AC$2:$AC$51,B361-1))</f>
        <v>1559325.72597478</v>
      </c>
      <c r="I361" s="10" t="n">
        <f aca="false">Inputs!$B$12*IF(Inputs!$B$35="",H361,MIN(H361,Inputs!$B$7*(1+Inputs!$B$35)^(B361-1)))/12</f>
        <v>1169.49429448108</v>
      </c>
      <c r="J361" s="10" t="n">
        <f aca="false">Inputs!$B$13*Inputs!$B$7*(1+Inputs!$B$22)^(B361-1)/12</f>
        <v>464.043920976984</v>
      </c>
      <c r="K361" s="10" t="n">
        <f aca="false">Inputs!$B$14*Inputs!$B$7*(1+Inputs!$B$22)^(B361-1)/12</f>
        <v>928.087841953968</v>
      </c>
      <c r="L361" s="10" t="n">
        <f aca="false">Inputs!$B$15*(1+Inputs!$B$22)^(B361-1)</f>
        <v>0</v>
      </c>
      <c r="M361" s="10" t="n">
        <f aca="false">INDEX(Annual!$N$2:$N$51,B361)/12</f>
        <v>0</v>
      </c>
      <c r="N361" s="10" t="n">
        <f aca="false">D361+E361+G361+I361+J361+K361+L361-M361</f>
        <v>5298.47518639274</v>
      </c>
      <c r="O361" s="10" t="n">
        <f aca="false">Inputs!$B$17*(1+Inputs!$B$18)^(B361-1)+Inputs!$B$19*(1+Inputs!$B$22)^(B361-1)</f>
        <v>6813.10610120558</v>
      </c>
      <c r="P361" s="10" t="n">
        <f aca="false">N361-O361</f>
        <v>-1514.63091481284</v>
      </c>
      <c r="Q361" s="10" t="n">
        <f aca="false">Q360*(1+Inputs!$B$42)-U361+MAX(P361,0)</f>
        <v>1524092.55993847</v>
      </c>
      <c r="R361" s="10" t="n">
        <f aca="false">R360+Q360*Inputs!$B$48-U361+MAX(P361,0)</f>
        <v>432471.836841705</v>
      </c>
      <c r="S361" s="10" t="n">
        <f aca="false">S360*(1+Inputs!$B$42)-V361+MAX(-P361,0)</f>
        <v>153130.455871022</v>
      </c>
      <c r="T361" s="10" t="n">
        <f aca="false">T360+S360*Inputs!$B$48-V361+MAX(-P361,0)</f>
        <v>119768.901464997</v>
      </c>
      <c r="U361" s="10" t="n">
        <f aca="false">Q360*Inputs!$B$48*Inputs!$B$29</f>
        <v>208.412986451158</v>
      </c>
      <c r="V361" s="10" t="n">
        <f aca="false">S360*Inputs!$B$48*Inputs!$B$29</f>
        <v>20.7328004236536</v>
      </c>
    </row>
    <row r="362" customFormat="false" ht="15" hidden="false" customHeight="false" outlineLevel="0" collapsed="false">
      <c r="A362" s="16" t="n">
        <v>361</v>
      </c>
      <c r="B362" s="16" t="n">
        <f aca="false">ROUNDUP(A362/12,0)</f>
        <v>31</v>
      </c>
      <c r="C362" s="10" t="n">
        <f aca="false">F361</f>
        <v>1.28693500300869E-010</v>
      </c>
      <c r="D362" s="10" t="n">
        <f aca="false">IF(AND(A362&lt;=Inputs!$B$9*12,C362&gt;0.000001),C362*Inputs!$B$10/12,0)</f>
        <v>0</v>
      </c>
      <c r="E362" s="10" t="n">
        <f aca="false">IF(AND(A362&lt;=Inputs!$B$9*12,C362&gt;0.000001),MIN(C362,Inputs!$B$41-D362),0)</f>
        <v>0</v>
      </c>
      <c r="F362" s="10" t="n">
        <f aca="false">C362-E362</f>
        <v>1.28693500300869E-010</v>
      </c>
      <c r="G362" s="10" t="n">
        <f aca="false">IF(AND(Inputs!$B$43=1,C362&gt;0.78*Inputs!$B$7,A362&lt;=Inputs!$B$9*6),Inputs!$B$16*Inputs!$B$39/12,0)</f>
        <v>0</v>
      </c>
      <c r="H362" s="10" t="n">
        <f aca="false">IF(B362=1,Inputs!$B$7,INDEX(Annual!$AC$2:$AC$51,B362-1))</f>
        <v>1621698.75501377</v>
      </c>
      <c r="I362" s="10" t="n">
        <f aca="false">Inputs!$B$12*IF(Inputs!$B$35="",H362,MIN(H362,Inputs!$B$7*(1+Inputs!$B$35)^(B362-1)))/12</f>
        <v>1216.27406626033</v>
      </c>
      <c r="J362" s="10" t="n">
        <f aca="false">Inputs!$B$13*Inputs!$B$7*(1+Inputs!$B$22)^(B362-1)/12</f>
        <v>477.037150764339</v>
      </c>
      <c r="K362" s="10" t="n">
        <f aca="false">Inputs!$B$14*Inputs!$B$7*(1+Inputs!$B$22)^(B362-1)/12</f>
        <v>954.074301528679</v>
      </c>
      <c r="L362" s="10" t="n">
        <f aca="false">Inputs!$B$15*(1+Inputs!$B$22)^(B362-1)</f>
        <v>0</v>
      </c>
      <c r="M362" s="10" t="n">
        <f aca="false">INDEX(Annual!$N$2:$N$51,B362)/12</f>
        <v>0</v>
      </c>
      <c r="N362" s="10" t="n">
        <f aca="false">D362+E362+G362+I362+J362+K362+L362-M362</f>
        <v>2647.38551855335</v>
      </c>
      <c r="O362" s="10" t="n">
        <f aca="false">Inputs!$B$17*(1+Inputs!$B$18)^(B362-1)+Inputs!$B$19*(1+Inputs!$B$22)^(B362-1)</f>
        <v>7051.3309366116</v>
      </c>
      <c r="P362" s="10" t="n">
        <f aca="false">N362-O362</f>
        <v>-4403.94541805826</v>
      </c>
      <c r="Q362" s="10" t="n">
        <f aca="false">Q361*(1+Inputs!$B$42)-U362+MAX(P362,0)</f>
        <v>1532500.43812923</v>
      </c>
      <c r="R362" s="10" t="n">
        <f aca="false">R361+Q361*Inputs!$B$48-U362+MAX(P362,0)</f>
        <v>433659.358961324</v>
      </c>
      <c r="S362" s="10" t="n">
        <f aca="false">S361*(1+Inputs!$B$42)-V362+MAX(-P362,0)</f>
        <v>158379.167712132</v>
      </c>
      <c r="T362" s="10" t="n">
        <f aca="false">T361+S361*Inputs!$B$48-V362+MAX(-P362,0)</f>
        <v>124292.161029921</v>
      </c>
      <c r="U362" s="10" t="n">
        <f aca="false">Q361*Inputs!$B$48*Inputs!$B$29</f>
        <v>209.56272699154</v>
      </c>
      <c r="V362" s="10" t="n">
        <f aca="false">S361*Inputs!$B$48*Inputs!$B$29</f>
        <v>21.0554376822655</v>
      </c>
    </row>
    <row r="363" customFormat="false" ht="15" hidden="false" customHeight="false" outlineLevel="0" collapsed="false">
      <c r="A363" s="16" t="n">
        <v>362</v>
      </c>
      <c r="B363" s="16" t="n">
        <f aca="false">ROUNDUP(A363/12,0)</f>
        <v>31</v>
      </c>
      <c r="C363" s="10" t="n">
        <f aca="false">F362</f>
        <v>1.28693500300869E-010</v>
      </c>
      <c r="D363" s="10" t="n">
        <f aca="false">IF(AND(A363&lt;=Inputs!$B$9*12,C363&gt;0.000001),C363*Inputs!$B$10/12,0)</f>
        <v>0</v>
      </c>
      <c r="E363" s="10" t="n">
        <f aca="false">IF(AND(A363&lt;=Inputs!$B$9*12,C363&gt;0.000001),MIN(C363,Inputs!$B$41-D363),0)</f>
        <v>0</v>
      </c>
      <c r="F363" s="10" t="n">
        <f aca="false">C363-E363</f>
        <v>1.28693500300869E-010</v>
      </c>
      <c r="G363" s="10" t="n">
        <f aca="false">IF(AND(Inputs!$B$43=1,C363&gt;0.78*Inputs!$B$7,A363&lt;=Inputs!$B$9*6),Inputs!$B$16*Inputs!$B$39/12,0)</f>
        <v>0</v>
      </c>
      <c r="H363" s="10" t="n">
        <f aca="false">IF(B363=1,Inputs!$B$7,INDEX(Annual!$AC$2:$AC$51,B363-1))</f>
        <v>1621698.75501377</v>
      </c>
      <c r="I363" s="10" t="n">
        <f aca="false">Inputs!$B$12*IF(Inputs!$B$35="",H363,MIN(H363,Inputs!$B$7*(1+Inputs!$B$35)^(B363-1)))/12</f>
        <v>1216.27406626033</v>
      </c>
      <c r="J363" s="10" t="n">
        <f aca="false">Inputs!$B$13*Inputs!$B$7*(1+Inputs!$B$22)^(B363-1)/12</f>
        <v>477.037150764339</v>
      </c>
      <c r="K363" s="10" t="n">
        <f aca="false">Inputs!$B$14*Inputs!$B$7*(1+Inputs!$B$22)^(B363-1)/12</f>
        <v>954.074301528679</v>
      </c>
      <c r="L363" s="10" t="n">
        <f aca="false">Inputs!$B$15*(1+Inputs!$B$22)^(B363-1)</f>
        <v>0</v>
      </c>
      <c r="M363" s="10" t="n">
        <f aca="false">INDEX(Annual!$N$2:$N$51,B363)/12</f>
        <v>0</v>
      </c>
      <c r="N363" s="10" t="n">
        <f aca="false">D363+E363+G363+I363+J363+K363+L363-M363</f>
        <v>2647.38551855335</v>
      </c>
      <c r="O363" s="10" t="n">
        <f aca="false">Inputs!$B$17*(1+Inputs!$B$18)^(B363-1)+Inputs!$B$19*(1+Inputs!$B$22)^(B363-1)</f>
        <v>7051.3309366116</v>
      </c>
      <c r="P363" s="10" t="n">
        <f aca="false">N363-O363</f>
        <v>-4403.94541805826</v>
      </c>
      <c r="Q363" s="10" t="n">
        <f aca="false">Q362*(1+Inputs!$B$42)-U363+MAX(P363,0)</f>
        <v>1540954.69960243</v>
      </c>
      <c r="R363" s="10" t="n">
        <f aca="false">R362+Q362*Inputs!$B$48-U363+MAX(P363,0)</f>
        <v>434853.432219367</v>
      </c>
      <c r="S363" s="10" t="n">
        <f aca="false">S362*(1+Inputs!$B$42)-V363+MAX(-P363,0)</f>
        <v>163656.83483521</v>
      </c>
      <c r="T363" s="10" t="n">
        <f aca="false">T362+S362*Inputs!$B$48-V363+MAX(-P363,0)</f>
        <v>128819.510216155</v>
      </c>
      <c r="U363" s="10" t="n">
        <f aca="false">Q362*Inputs!$B$48*Inputs!$B$29</f>
        <v>210.718810242769</v>
      </c>
      <c r="V363" s="10" t="n">
        <f aca="false">S362*Inputs!$B$48*Inputs!$B$29</f>
        <v>21.7771355604181</v>
      </c>
    </row>
    <row r="364" customFormat="false" ht="15" hidden="false" customHeight="false" outlineLevel="0" collapsed="false">
      <c r="A364" s="16" t="n">
        <v>363</v>
      </c>
      <c r="B364" s="16" t="n">
        <f aca="false">ROUNDUP(A364/12,0)</f>
        <v>31</v>
      </c>
      <c r="C364" s="10" t="n">
        <f aca="false">F363</f>
        <v>1.28693500300869E-010</v>
      </c>
      <c r="D364" s="10" t="n">
        <f aca="false">IF(AND(A364&lt;=Inputs!$B$9*12,C364&gt;0.000001),C364*Inputs!$B$10/12,0)</f>
        <v>0</v>
      </c>
      <c r="E364" s="10" t="n">
        <f aca="false">IF(AND(A364&lt;=Inputs!$B$9*12,C364&gt;0.000001),MIN(C364,Inputs!$B$41-D364),0)</f>
        <v>0</v>
      </c>
      <c r="F364" s="10" t="n">
        <f aca="false">C364-E364</f>
        <v>1.28693500300869E-010</v>
      </c>
      <c r="G364" s="10" t="n">
        <f aca="false">IF(AND(Inputs!$B$43=1,C364&gt;0.78*Inputs!$B$7,A364&lt;=Inputs!$B$9*6),Inputs!$B$16*Inputs!$B$39/12,0)</f>
        <v>0</v>
      </c>
      <c r="H364" s="10" t="n">
        <f aca="false">IF(B364=1,Inputs!$B$7,INDEX(Annual!$AC$2:$AC$51,B364-1))</f>
        <v>1621698.75501377</v>
      </c>
      <c r="I364" s="10" t="n">
        <f aca="false">Inputs!$B$12*IF(Inputs!$B$35="",H364,MIN(H364,Inputs!$B$7*(1+Inputs!$B$35)^(B364-1)))/12</f>
        <v>1216.27406626033</v>
      </c>
      <c r="J364" s="10" t="n">
        <f aca="false">Inputs!$B$13*Inputs!$B$7*(1+Inputs!$B$22)^(B364-1)/12</f>
        <v>477.037150764339</v>
      </c>
      <c r="K364" s="10" t="n">
        <f aca="false">Inputs!$B$14*Inputs!$B$7*(1+Inputs!$B$22)^(B364-1)/12</f>
        <v>954.074301528679</v>
      </c>
      <c r="L364" s="10" t="n">
        <f aca="false">Inputs!$B$15*(1+Inputs!$B$22)^(B364-1)</f>
        <v>0</v>
      </c>
      <c r="M364" s="10" t="n">
        <f aca="false">INDEX(Annual!$N$2:$N$51,B364)/12</f>
        <v>0</v>
      </c>
      <c r="N364" s="10" t="n">
        <f aca="false">D364+E364+G364+I364+J364+K364+L364-M364</f>
        <v>2647.38551855335</v>
      </c>
      <c r="O364" s="10" t="n">
        <f aca="false">Inputs!$B$17*(1+Inputs!$B$18)^(B364-1)+Inputs!$B$19*(1+Inputs!$B$22)^(B364-1)</f>
        <v>7051.3309366116</v>
      </c>
      <c r="P364" s="10" t="n">
        <f aca="false">N364-O364</f>
        <v>-4403.94541805826</v>
      </c>
      <c r="Q364" s="10" t="n">
        <f aca="false">Q363*(1+Inputs!$B$42)-U364+MAX(P364,0)</f>
        <v>1549455.6002382</v>
      </c>
      <c r="R364" s="10" t="n">
        <f aca="false">R363+Q363*Inputs!$B$48-U364+MAX(P364,0)</f>
        <v>436054.09275614</v>
      </c>
      <c r="S364" s="10" t="n">
        <f aca="false">S363*(1+Inputs!$B$42)-V364+MAX(-P364,0)</f>
        <v>168963.61697628</v>
      </c>
      <c r="T364" s="10" t="n">
        <f aca="false">T363+S363*Inputs!$B$48-V364+MAX(-P364,0)</f>
        <v>133350.971584689</v>
      </c>
      <c r="U364" s="10" t="n">
        <f aca="false">Q363*Inputs!$B$48*Inputs!$B$29</f>
        <v>211.881271195335</v>
      </c>
      <c r="V364" s="10" t="n">
        <f aca="false">S363*Inputs!$B$48*Inputs!$B$29</f>
        <v>22.5028147898414</v>
      </c>
    </row>
    <row r="365" customFormat="false" ht="15" hidden="false" customHeight="false" outlineLevel="0" collapsed="false">
      <c r="A365" s="16" t="n">
        <v>364</v>
      </c>
      <c r="B365" s="16" t="n">
        <f aca="false">ROUNDUP(A365/12,0)</f>
        <v>31</v>
      </c>
      <c r="C365" s="10" t="n">
        <f aca="false">F364</f>
        <v>1.28693500300869E-010</v>
      </c>
      <c r="D365" s="10" t="n">
        <f aca="false">IF(AND(A365&lt;=Inputs!$B$9*12,C365&gt;0.000001),C365*Inputs!$B$10/12,0)</f>
        <v>0</v>
      </c>
      <c r="E365" s="10" t="n">
        <f aca="false">IF(AND(A365&lt;=Inputs!$B$9*12,C365&gt;0.000001),MIN(C365,Inputs!$B$41-D365),0)</f>
        <v>0</v>
      </c>
      <c r="F365" s="10" t="n">
        <f aca="false">C365-E365</f>
        <v>1.28693500300869E-010</v>
      </c>
      <c r="G365" s="10" t="n">
        <f aca="false">IF(AND(Inputs!$B$43=1,C365&gt;0.78*Inputs!$B$7,A365&lt;=Inputs!$B$9*6),Inputs!$B$16*Inputs!$B$39/12,0)</f>
        <v>0</v>
      </c>
      <c r="H365" s="10" t="n">
        <f aca="false">IF(B365=1,Inputs!$B$7,INDEX(Annual!$AC$2:$AC$51,B365-1))</f>
        <v>1621698.75501377</v>
      </c>
      <c r="I365" s="10" t="n">
        <f aca="false">Inputs!$B$12*IF(Inputs!$B$35="",H365,MIN(H365,Inputs!$B$7*(1+Inputs!$B$35)^(B365-1)))/12</f>
        <v>1216.27406626033</v>
      </c>
      <c r="J365" s="10" t="n">
        <f aca="false">Inputs!$B$13*Inputs!$B$7*(1+Inputs!$B$22)^(B365-1)/12</f>
        <v>477.037150764339</v>
      </c>
      <c r="K365" s="10" t="n">
        <f aca="false">Inputs!$B$14*Inputs!$B$7*(1+Inputs!$B$22)^(B365-1)/12</f>
        <v>954.074301528679</v>
      </c>
      <c r="L365" s="10" t="n">
        <f aca="false">Inputs!$B$15*(1+Inputs!$B$22)^(B365-1)</f>
        <v>0</v>
      </c>
      <c r="M365" s="10" t="n">
        <f aca="false">INDEX(Annual!$N$2:$N$51,B365)/12</f>
        <v>0</v>
      </c>
      <c r="N365" s="10" t="n">
        <f aca="false">D365+E365+G365+I365+J365+K365+L365-M365</f>
        <v>2647.38551855335</v>
      </c>
      <c r="O365" s="10" t="n">
        <f aca="false">Inputs!$B$17*(1+Inputs!$B$18)^(B365-1)+Inputs!$B$19*(1+Inputs!$B$22)^(B365-1)</f>
        <v>7051.3309366116</v>
      </c>
      <c r="P365" s="10" t="n">
        <f aca="false">N365-O365</f>
        <v>-4403.94541805826</v>
      </c>
      <c r="Q365" s="10" t="n">
        <f aca="false">Q364*(1+Inputs!$B$42)-U365+MAX(P365,0)</f>
        <v>1558003.39732824</v>
      </c>
      <c r="R365" s="10" t="n">
        <f aca="false">R364+Q364*Inputs!$B$48-U365+MAX(P365,0)</f>
        <v>437261.376911326</v>
      </c>
      <c r="S365" s="10" t="n">
        <f aca="false">S364*(1+Inputs!$B$42)-V365+MAX(-P365,0)</f>
        <v>174299.674752569</v>
      </c>
      <c r="T365" s="10" t="n">
        <f aca="false">T364+S364*Inputs!$B$48-V365+MAX(-P365,0)</f>
        <v>137886.567820975</v>
      </c>
      <c r="U365" s="10" t="n">
        <f aca="false">Q364*Inputs!$B$48*Inputs!$B$29</f>
        <v>213.050145032752</v>
      </c>
      <c r="V365" s="10" t="n">
        <f aca="false">S364*Inputs!$B$48*Inputs!$B$29</f>
        <v>23.2324973342385</v>
      </c>
    </row>
    <row r="366" customFormat="false" ht="15" hidden="false" customHeight="false" outlineLevel="0" collapsed="false">
      <c r="A366" s="16" t="n">
        <v>365</v>
      </c>
      <c r="B366" s="16" t="n">
        <f aca="false">ROUNDUP(A366/12,0)</f>
        <v>31</v>
      </c>
      <c r="C366" s="10" t="n">
        <f aca="false">F365</f>
        <v>1.28693500300869E-010</v>
      </c>
      <c r="D366" s="10" t="n">
        <f aca="false">IF(AND(A366&lt;=Inputs!$B$9*12,C366&gt;0.000001),C366*Inputs!$B$10/12,0)</f>
        <v>0</v>
      </c>
      <c r="E366" s="10" t="n">
        <f aca="false">IF(AND(A366&lt;=Inputs!$B$9*12,C366&gt;0.000001),MIN(C366,Inputs!$B$41-D366),0)</f>
        <v>0</v>
      </c>
      <c r="F366" s="10" t="n">
        <f aca="false">C366-E366</f>
        <v>1.28693500300869E-010</v>
      </c>
      <c r="G366" s="10" t="n">
        <f aca="false">IF(AND(Inputs!$B$43=1,C366&gt;0.78*Inputs!$B$7,A366&lt;=Inputs!$B$9*6),Inputs!$B$16*Inputs!$B$39/12,0)</f>
        <v>0</v>
      </c>
      <c r="H366" s="10" t="n">
        <f aca="false">IF(B366=1,Inputs!$B$7,INDEX(Annual!$AC$2:$AC$51,B366-1))</f>
        <v>1621698.75501377</v>
      </c>
      <c r="I366" s="10" t="n">
        <f aca="false">Inputs!$B$12*IF(Inputs!$B$35="",H366,MIN(H366,Inputs!$B$7*(1+Inputs!$B$35)^(B366-1)))/12</f>
        <v>1216.27406626033</v>
      </c>
      <c r="J366" s="10" t="n">
        <f aca="false">Inputs!$B$13*Inputs!$B$7*(1+Inputs!$B$22)^(B366-1)/12</f>
        <v>477.037150764339</v>
      </c>
      <c r="K366" s="10" t="n">
        <f aca="false">Inputs!$B$14*Inputs!$B$7*(1+Inputs!$B$22)^(B366-1)/12</f>
        <v>954.074301528679</v>
      </c>
      <c r="L366" s="10" t="n">
        <f aca="false">Inputs!$B$15*(1+Inputs!$B$22)^(B366-1)</f>
        <v>0</v>
      </c>
      <c r="M366" s="10" t="n">
        <f aca="false">INDEX(Annual!$N$2:$N$51,B366)/12</f>
        <v>0</v>
      </c>
      <c r="N366" s="10" t="n">
        <f aca="false">D366+E366+G366+I366+J366+K366+L366-M366</f>
        <v>2647.38551855335</v>
      </c>
      <c r="O366" s="10" t="n">
        <f aca="false">Inputs!$B$17*(1+Inputs!$B$18)^(B366-1)+Inputs!$B$19*(1+Inputs!$B$22)^(B366-1)</f>
        <v>7051.3309366116</v>
      </c>
      <c r="P366" s="10" t="n">
        <f aca="false">N366-O366</f>
        <v>-4403.94541805826</v>
      </c>
      <c r="Q366" s="10" t="n">
        <f aca="false">Q365*(1+Inputs!$B$42)-U366+MAX(P366,0)</f>
        <v>1566598.34958367</v>
      </c>
      <c r="R366" s="10" t="n">
        <f aca="false">R365+Q365*Inputs!$B$48-U366+MAX(P366,0)</f>
        <v>438475.321225077</v>
      </c>
      <c r="S366" s="10" t="n">
        <f aca="false">S365*(1+Inputs!$B$42)-V366+MAX(-P366,0)</f>
        <v>179665.169667378</v>
      </c>
      <c r="T366" s="10" t="n">
        <f aca="false">T365+S365*Inputs!$B$48-V366+MAX(-P366,0)</f>
        <v>142426.321735611</v>
      </c>
      <c r="U366" s="10" t="n">
        <f aca="false">Q365*Inputs!$B$48*Inputs!$B$29</f>
        <v>214.225467132633</v>
      </c>
      <c r="V366" s="10" t="n">
        <f aca="false">S365*Inputs!$B$48*Inputs!$B$29</f>
        <v>23.9662052784783</v>
      </c>
    </row>
    <row r="367" customFormat="false" ht="15" hidden="false" customHeight="false" outlineLevel="0" collapsed="false">
      <c r="A367" s="16" t="n">
        <v>366</v>
      </c>
      <c r="B367" s="16" t="n">
        <f aca="false">ROUNDUP(A367/12,0)</f>
        <v>31</v>
      </c>
      <c r="C367" s="10" t="n">
        <f aca="false">F366</f>
        <v>1.28693500300869E-010</v>
      </c>
      <c r="D367" s="10" t="n">
        <f aca="false">IF(AND(A367&lt;=Inputs!$B$9*12,C367&gt;0.000001),C367*Inputs!$B$10/12,0)</f>
        <v>0</v>
      </c>
      <c r="E367" s="10" t="n">
        <f aca="false">IF(AND(A367&lt;=Inputs!$B$9*12,C367&gt;0.000001),MIN(C367,Inputs!$B$41-D367),0)</f>
        <v>0</v>
      </c>
      <c r="F367" s="10" t="n">
        <f aca="false">C367-E367</f>
        <v>1.28693500300869E-010</v>
      </c>
      <c r="G367" s="10" t="n">
        <f aca="false">IF(AND(Inputs!$B$43=1,C367&gt;0.78*Inputs!$B$7,A367&lt;=Inputs!$B$9*6),Inputs!$B$16*Inputs!$B$39/12,0)</f>
        <v>0</v>
      </c>
      <c r="H367" s="10" t="n">
        <f aca="false">IF(B367=1,Inputs!$B$7,INDEX(Annual!$AC$2:$AC$51,B367-1))</f>
        <v>1621698.75501377</v>
      </c>
      <c r="I367" s="10" t="n">
        <f aca="false">Inputs!$B$12*IF(Inputs!$B$35="",H367,MIN(H367,Inputs!$B$7*(1+Inputs!$B$35)^(B367-1)))/12</f>
        <v>1216.27406626033</v>
      </c>
      <c r="J367" s="10" t="n">
        <f aca="false">Inputs!$B$13*Inputs!$B$7*(1+Inputs!$B$22)^(B367-1)/12</f>
        <v>477.037150764339</v>
      </c>
      <c r="K367" s="10" t="n">
        <f aca="false">Inputs!$B$14*Inputs!$B$7*(1+Inputs!$B$22)^(B367-1)/12</f>
        <v>954.074301528679</v>
      </c>
      <c r="L367" s="10" t="n">
        <f aca="false">Inputs!$B$15*(1+Inputs!$B$22)^(B367-1)</f>
        <v>0</v>
      </c>
      <c r="M367" s="10" t="n">
        <f aca="false">INDEX(Annual!$N$2:$N$51,B367)/12</f>
        <v>0</v>
      </c>
      <c r="N367" s="10" t="n">
        <f aca="false">D367+E367+G367+I367+J367+K367+L367-M367</f>
        <v>2647.38551855335</v>
      </c>
      <c r="O367" s="10" t="n">
        <f aca="false">Inputs!$B$17*(1+Inputs!$B$18)^(B367-1)+Inputs!$B$19*(1+Inputs!$B$22)^(B367-1)</f>
        <v>7051.3309366116</v>
      </c>
      <c r="P367" s="10" t="n">
        <f aca="false">N367-O367</f>
        <v>-4403.94541805826</v>
      </c>
      <c r="Q367" s="10" t="n">
        <f aca="false">Q366*(1+Inputs!$B$42)-U367+MAX(P367,0)</f>
        <v>1575240.71714282</v>
      </c>
      <c r="R367" s="10" t="n">
        <f aca="false">R366+Q366*Inputs!$B$48-U367+MAX(P367,0)</f>
        <v>439695.962439128</v>
      </c>
      <c r="S367" s="10" t="n">
        <f aca="false">S366*(1+Inputs!$B$42)-V367+MAX(-P367,0)</f>
        <v>185060.264114959</v>
      </c>
      <c r="T367" s="10" t="n">
        <f aca="false">T366+S366*Inputs!$B$48-V367+MAX(-P367,0)</f>
        <v>146970.256265035</v>
      </c>
      <c r="U367" s="10" t="n">
        <f aca="false">Q366*Inputs!$B$48*Inputs!$B$29</f>
        <v>215.407273067755</v>
      </c>
      <c r="V367" s="10" t="n">
        <f aca="false">S366*Inputs!$B$48*Inputs!$B$29</f>
        <v>24.7039608292644</v>
      </c>
    </row>
    <row r="368" customFormat="false" ht="15" hidden="false" customHeight="false" outlineLevel="0" collapsed="false">
      <c r="A368" s="16" t="n">
        <v>367</v>
      </c>
      <c r="B368" s="16" t="n">
        <f aca="false">ROUNDUP(A368/12,0)</f>
        <v>31</v>
      </c>
      <c r="C368" s="10" t="n">
        <f aca="false">F367</f>
        <v>1.28693500300869E-010</v>
      </c>
      <c r="D368" s="10" t="n">
        <f aca="false">IF(AND(A368&lt;=Inputs!$B$9*12,C368&gt;0.000001),C368*Inputs!$B$10/12,0)</f>
        <v>0</v>
      </c>
      <c r="E368" s="10" t="n">
        <f aca="false">IF(AND(A368&lt;=Inputs!$B$9*12,C368&gt;0.000001),MIN(C368,Inputs!$B$41-D368),0)</f>
        <v>0</v>
      </c>
      <c r="F368" s="10" t="n">
        <f aca="false">C368-E368</f>
        <v>1.28693500300869E-010</v>
      </c>
      <c r="G368" s="10" t="n">
        <f aca="false">IF(AND(Inputs!$B$43=1,C368&gt;0.78*Inputs!$B$7,A368&lt;=Inputs!$B$9*6),Inputs!$B$16*Inputs!$B$39/12,0)</f>
        <v>0</v>
      </c>
      <c r="H368" s="10" t="n">
        <f aca="false">IF(B368=1,Inputs!$B$7,INDEX(Annual!$AC$2:$AC$51,B368-1))</f>
        <v>1621698.75501377</v>
      </c>
      <c r="I368" s="10" t="n">
        <f aca="false">Inputs!$B$12*IF(Inputs!$B$35="",H368,MIN(H368,Inputs!$B$7*(1+Inputs!$B$35)^(B368-1)))/12</f>
        <v>1216.27406626033</v>
      </c>
      <c r="J368" s="10" t="n">
        <f aca="false">Inputs!$B$13*Inputs!$B$7*(1+Inputs!$B$22)^(B368-1)/12</f>
        <v>477.037150764339</v>
      </c>
      <c r="K368" s="10" t="n">
        <f aca="false">Inputs!$B$14*Inputs!$B$7*(1+Inputs!$B$22)^(B368-1)/12</f>
        <v>954.074301528679</v>
      </c>
      <c r="L368" s="10" t="n">
        <f aca="false">Inputs!$B$15*(1+Inputs!$B$22)^(B368-1)</f>
        <v>0</v>
      </c>
      <c r="M368" s="10" t="n">
        <f aca="false">INDEX(Annual!$N$2:$N$51,B368)/12</f>
        <v>0</v>
      </c>
      <c r="N368" s="10" t="n">
        <f aca="false">D368+E368+G368+I368+J368+K368+L368-M368</f>
        <v>2647.38551855335</v>
      </c>
      <c r="O368" s="10" t="n">
        <f aca="false">Inputs!$B$17*(1+Inputs!$B$18)^(B368-1)+Inputs!$B$19*(1+Inputs!$B$22)^(B368-1)</f>
        <v>7051.3309366116</v>
      </c>
      <c r="P368" s="10" t="n">
        <f aca="false">N368-O368</f>
        <v>-4403.94541805826</v>
      </c>
      <c r="Q368" s="10" t="n">
        <f aca="false">Q367*(1+Inputs!$B$42)-U368+MAX(P368,0)</f>
        <v>1583930.7615791</v>
      </c>
      <c r="R368" s="10" t="n">
        <f aca="false">R367+Q367*Inputs!$B$48-U368+MAX(P368,0)</f>
        <v>440923.337497902</v>
      </c>
      <c r="S368" s="10" t="n">
        <f aca="false">S367*(1+Inputs!$B$42)-V368+MAX(-P368,0)</f>
        <v>190485.121385439</v>
      </c>
      <c r="T368" s="10" t="n">
        <f aca="false">T367+S367*Inputs!$B$48-V368+MAX(-P368,0)</f>
        <v>151518.394472216</v>
      </c>
      <c r="U368" s="10" t="n">
        <f aca="false">Q367*Inputs!$B$48*Inputs!$B$29</f>
        <v>216.595598607138</v>
      </c>
      <c r="V368" s="10" t="n">
        <f aca="false">S367*Inputs!$B$48*Inputs!$B$29</f>
        <v>25.4457863158068</v>
      </c>
    </row>
    <row r="369" customFormat="false" ht="15" hidden="false" customHeight="false" outlineLevel="0" collapsed="false">
      <c r="A369" s="16" t="n">
        <v>368</v>
      </c>
      <c r="B369" s="16" t="n">
        <f aca="false">ROUNDUP(A369/12,0)</f>
        <v>31</v>
      </c>
      <c r="C369" s="10" t="n">
        <f aca="false">F368</f>
        <v>1.28693500300869E-010</v>
      </c>
      <c r="D369" s="10" t="n">
        <f aca="false">IF(AND(A369&lt;=Inputs!$B$9*12,C369&gt;0.000001),C369*Inputs!$B$10/12,0)</f>
        <v>0</v>
      </c>
      <c r="E369" s="10" t="n">
        <f aca="false">IF(AND(A369&lt;=Inputs!$B$9*12,C369&gt;0.000001),MIN(C369,Inputs!$B$41-D369),0)</f>
        <v>0</v>
      </c>
      <c r="F369" s="10" t="n">
        <f aca="false">C369-E369</f>
        <v>1.28693500300869E-010</v>
      </c>
      <c r="G369" s="10" t="n">
        <f aca="false">IF(AND(Inputs!$B$43=1,C369&gt;0.78*Inputs!$B$7,A369&lt;=Inputs!$B$9*6),Inputs!$B$16*Inputs!$B$39/12,0)</f>
        <v>0</v>
      </c>
      <c r="H369" s="10" t="n">
        <f aca="false">IF(B369=1,Inputs!$B$7,INDEX(Annual!$AC$2:$AC$51,B369-1))</f>
        <v>1621698.75501377</v>
      </c>
      <c r="I369" s="10" t="n">
        <f aca="false">Inputs!$B$12*IF(Inputs!$B$35="",H369,MIN(H369,Inputs!$B$7*(1+Inputs!$B$35)^(B369-1)))/12</f>
        <v>1216.27406626033</v>
      </c>
      <c r="J369" s="10" t="n">
        <f aca="false">Inputs!$B$13*Inputs!$B$7*(1+Inputs!$B$22)^(B369-1)/12</f>
        <v>477.037150764339</v>
      </c>
      <c r="K369" s="10" t="n">
        <f aca="false">Inputs!$B$14*Inputs!$B$7*(1+Inputs!$B$22)^(B369-1)/12</f>
        <v>954.074301528679</v>
      </c>
      <c r="L369" s="10" t="n">
        <f aca="false">Inputs!$B$15*(1+Inputs!$B$22)^(B369-1)</f>
        <v>0</v>
      </c>
      <c r="M369" s="10" t="n">
        <f aca="false">INDEX(Annual!$N$2:$N$51,B369)/12</f>
        <v>0</v>
      </c>
      <c r="N369" s="10" t="n">
        <f aca="false">D369+E369+G369+I369+J369+K369+L369-M369</f>
        <v>2647.38551855335</v>
      </c>
      <c r="O369" s="10" t="n">
        <f aca="false">Inputs!$B$17*(1+Inputs!$B$18)^(B369-1)+Inputs!$B$19*(1+Inputs!$B$22)^(B369-1)</f>
        <v>7051.3309366116</v>
      </c>
      <c r="P369" s="10" t="n">
        <f aca="false">N369-O369</f>
        <v>-4403.94541805826</v>
      </c>
      <c r="Q369" s="10" t="n">
        <f aca="false">Q368*(1+Inputs!$B$42)-U369+MAX(P369,0)</f>
        <v>1592668.74590893</v>
      </c>
      <c r="R369" s="10" t="n">
        <f aca="false">R368+Q368*Inputs!$B$48-U369+MAX(P369,0)</f>
        <v>442157.483549632</v>
      </c>
      <c r="S369" s="10" t="n">
        <f aca="false">S368*(1+Inputs!$B$42)-V369+MAX(-P369,0)</f>
        <v>195939.905669757</v>
      </c>
      <c r="T369" s="10" t="n">
        <f aca="false">T368+S368*Inputs!$B$48-V369+MAX(-P369,0)</f>
        <v>156070.759547354</v>
      </c>
      <c r="U369" s="10" t="n">
        <f aca="false">Q368*Inputs!$B$48*Inputs!$B$29</f>
        <v>217.790479717126</v>
      </c>
      <c r="V369" s="10" t="n">
        <f aca="false">S368*Inputs!$B$48*Inputs!$B$29</f>
        <v>26.1917041904979</v>
      </c>
    </row>
    <row r="370" customFormat="false" ht="15" hidden="false" customHeight="false" outlineLevel="0" collapsed="false">
      <c r="A370" s="16" t="n">
        <v>369</v>
      </c>
      <c r="B370" s="16" t="n">
        <f aca="false">ROUNDUP(A370/12,0)</f>
        <v>31</v>
      </c>
      <c r="C370" s="10" t="n">
        <f aca="false">F369</f>
        <v>1.28693500300869E-010</v>
      </c>
      <c r="D370" s="10" t="n">
        <f aca="false">IF(AND(A370&lt;=Inputs!$B$9*12,C370&gt;0.000001),C370*Inputs!$B$10/12,0)</f>
        <v>0</v>
      </c>
      <c r="E370" s="10" t="n">
        <f aca="false">IF(AND(A370&lt;=Inputs!$B$9*12,C370&gt;0.000001),MIN(C370,Inputs!$B$41-D370),0)</f>
        <v>0</v>
      </c>
      <c r="F370" s="10" t="n">
        <f aca="false">C370-E370</f>
        <v>1.28693500300869E-010</v>
      </c>
      <c r="G370" s="10" t="n">
        <f aca="false">IF(AND(Inputs!$B$43=1,C370&gt;0.78*Inputs!$B$7,A370&lt;=Inputs!$B$9*6),Inputs!$B$16*Inputs!$B$39/12,0)</f>
        <v>0</v>
      </c>
      <c r="H370" s="10" t="n">
        <f aca="false">IF(B370=1,Inputs!$B$7,INDEX(Annual!$AC$2:$AC$51,B370-1))</f>
        <v>1621698.75501377</v>
      </c>
      <c r="I370" s="10" t="n">
        <f aca="false">Inputs!$B$12*IF(Inputs!$B$35="",H370,MIN(H370,Inputs!$B$7*(1+Inputs!$B$35)^(B370-1)))/12</f>
        <v>1216.27406626033</v>
      </c>
      <c r="J370" s="10" t="n">
        <f aca="false">Inputs!$B$13*Inputs!$B$7*(1+Inputs!$B$22)^(B370-1)/12</f>
        <v>477.037150764339</v>
      </c>
      <c r="K370" s="10" t="n">
        <f aca="false">Inputs!$B$14*Inputs!$B$7*(1+Inputs!$B$22)^(B370-1)/12</f>
        <v>954.074301528679</v>
      </c>
      <c r="L370" s="10" t="n">
        <f aca="false">Inputs!$B$15*(1+Inputs!$B$22)^(B370-1)</f>
        <v>0</v>
      </c>
      <c r="M370" s="10" t="n">
        <f aca="false">INDEX(Annual!$N$2:$N$51,B370)/12</f>
        <v>0</v>
      </c>
      <c r="N370" s="10" t="n">
        <f aca="false">D370+E370+G370+I370+J370+K370+L370-M370</f>
        <v>2647.38551855335</v>
      </c>
      <c r="O370" s="10" t="n">
        <f aca="false">Inputs!$B$17*(1+Inputs!$B$18)^(B370-1)+Inputs!$B$19*(1+Inputs!$B$22)^(B370-1)</f>
        <v>7051.3309366116</v>
      </c>
      <c r="P370" s="10" t="n">
        <f aca="false">N370-O370</f>
        <v>-4403.94541805826</v>
      </c>
      <c r="Q370" s="10" t="n">
        <f aca="false">Q369*(1+Inputs!$B$42)-U370+MAX(P370,0)</f>
        <v>1601454.93459972</v>
      </c>
      <c r="R370" s="10" t="n">
        <f aca="false">R369+Q369*Inputs!$B$48-U370+MAX(P370,0)</f>
        <v>443398.437947486</v>
      </c>
      <c r="S370" s="10" t="n">
        <f aca="false">S369*(1+Inputs!$B$42)-V370+MAX(-P370,0)</f>
        <v>201424.782064637</v>
      </c>
      <c r="T370" s="10" t="n">
        <f aca="false">T369+S369*Inputs!$B$48-V370+MAX(-P370,0)</f>
        <v>160627.37480858</v>
      </c>
      <c r="U370" s="10" t="n">
        <f aca="false">Q369*Inputs!$B$48*Inputs!$B$29</f>
        <v>218.991952562478</v>
      </c>
      <c r="V370" s="10" t="n">
        <f aca="false">S369*Inputs!$B$48*Inputs!$B$29</f>
        <v>26.9417370295917</v>
      </c>
    </row>
    <row r="371" customFormat="false" ht="15" hidden="false" customHeight="false" outlineLevel="0" collapsed="false">
      <c r="A371" s="16" t="n">
        <v>370</v>
      </c>
      <c r="B371" s="16" t="n">
        <f aca="false">ROUNDUP(A371/12,0)</f>
        <v>31</v>
      </c>
      <c r="C371" s="10" t="n">
        <f aca="false">F370</f>
        <v>1.28693500300869E-010</v>
      </c>
      <c r="D371" s="10" t="n">
        <f aca="false">IF(AND(A371&lt;=Inputs!$B$9*12,C371&gt;0.000001),C371*Inputs!$B$10/12,0)</f>
        <v>0</v>
      </c>
      <c r="E371" s="10" t="n">
        <f aca="false">IF(AND(A371&lt;=Inputs!$B$9*12,C371&gt;0.000001),MIN(C371,Inputs!$B$41-D371),0)</f>
        <v>0</v>
      </c>
      <c r="F371" s="10" t="n">
        <f aca="false">C371-E371</f>
        <v>1.28693500300869E-010</v>
      </c>
      <c r="G371" s="10" t="n">
        <f aca="false">IF(AND(Inputs!$B$43=1,C371&gt;0.78*Inputs!$B$7,A371&lt;=Inputs!$B$9*6),Inputs!$B$16*Inputs!$B$39/12,0)</f>
        <v>0</v>
      </c>
      <c r="H371" s="10" t="n">
        <f aca="false">IF(B371=1,Inputs!$B$7,INDEX(Annual!$AC$2:$AC$51,B371-1))</f>
        <v>1621698.75501377</v>
      </c>
      <c r="I371" s="10" t="n">
        <f aca="false">Inputs!$B$12*IF(Inputs!$B$35="",H371,MIN(H371,Inputs!$B$7*(1+Inputs!$B$35)^(B371-1)))/12</f>
        <v>1216.27406626033</v>
      </c>
      <c r="J371" s="10" t="n">
        <f aca="false">Inputs!$B$13*Inputs!$B$7*(1+Inputs!$B$22)^(B371-1)/12</f>
        <v>477.037150764339</v>
      </c>
      <c r="K371" s="10" t="n">
        <f aca="false">Inputs!$B$14*Inputs!$B$7*(1+Inputs!$B$22)^(B371-1)/12</f>
        <v>954.074301528679</v>
      </c>
      <c r="L371" s="10" t="n">
        <f aca="false">Inputs!$B$15*(1+Inputs!$B$22)^(B371-1)</f>
        <v>0</v>
      </c>
      <c r="M371" s="10" t="n">
        <f aca="false">INDEX(Annual!$N$2:$N$51,B371)/12</f>
        <v>0</v>
      </c>
      <c r="N371" s="10" t="n">
        <f aca="false">D371+E371+G371+I371+J371+K371+L371-M371</f>
        <v>2647.38551855335</v>
      </c>
      <c r="O371" s="10" t="n">
        <f aca="false">Inputs!$B$17*(1+Inputs!$B$18)^(B371-1)+Inputs!$B$19*(1+Inputs!$B$22)^(B371-1)</f>
        <v>7051.3309366116</v>
      </c>
      <c r="P371" s="10" t="n">
        <f aca="false">N371-O371</f>
        <v>-4403.94541805826</v>
      </c>
      <c r="Q371" s="10" t="n">
        <f aca="false">Q370*(1+Inputs!$B$42)-U371+MAX(P371,0)</f>
        <v>1610289.59357781</v>
      </c>
      <c r="R371" s="10" t="n">
        <f aca="false">R370+Q370*Inputs!$B$48-U371+MAX(P371,0)</f>
        <v>444646.238250695</v>
      </c>
      <c r="S371" s="10" t="n">
        <f aca="false">S370*(1+Inputs!$B$42)-V371+MAX(-P371,0)</f>
        <v>206939.916577582</v>
      </c>
      <c r="T371" s="10" t="n">
        <f aca="false">T370+S370*Inputs!$B$48-V371+MAX(-P371,0)</f>
        <v>165188.263702663</v>
      </c>
      <c r="U371" s="10" t="n">
        <f aca="false">Q370*Inputs!$B$48*Inputs!$B$29</f>
        <v>220.200053507461</v>
      </c>
      <c r="V371" s="10" t="n">
        <f aca="false">S370*Inputs!$B$48*Inputs!$B$29</f>
        <v>27.6959075338876</v>
      </c>
    </row>
    <row r="372" customFormat="false" ht="15" hidden="false" customHeight="false" outlineLevel="0" collapsed="false">
      <c r="A372" s="16" t="n">
        <v>371</v>
      </c>
      <c r="B372" s="16" t="n">
        <f aca="false">ROUNDUP(A372/12,0)</f>
        <v>31</v>
      </c>
      <c r="C372" s="10" t="n">
        <f aca="false">F371</f>
        <v>1.28693500300869E-010</v>
      </c>
      <c r="D372" s="10" t="n">
        <f aca="false">IF(AND(A372&lt;=Inputs!$B$9*12,C372&gt;0.000001),C372*Inputs!$B$10/12,0)</f>
        <v>0</v>
      </c>
      <c r="E372" s="10" t="n">
        <f aca="false">IF(AND(A372&lt;=Inputs!$B$9*12,C372&gt;0.000001),MIN(C372,Inputs!$B$41-D372),0)</f>
        <v>0</v>
      </c>
      <c r="F372" s="10" t="n">
        <f aca="false">C372-E372</f>
        <v>1.28693500300869E-010</v>
      </c>
      <c r="G372" s="10" t="n">
        <f aca="false">IF(AND(Inputs!$B$43=1,C372&gt;0.78*Inputs!$B$7,A372&lt;=Inputs!$B$9*6),Inputs!$B$16*Inputs!$B$39/12,0)</f>
        <v>0</v>
      </c>
      <c r="H372" s="10" t="n">
        <f aca="false">IF(B372=1,Inputs!$B$7,INDEX(Annual!$AC$2:$AC$51,B372-1))</f>
        <v>1621698.75501377</v>
      </c>
      <c r="I372" s="10" t="n">
        <f aca="false">Inputs!$B$12*IF(Inputs!$B$35="",H372,MIN(H372,Inputs!$B$7*(1+Inputs!$B$35)^(B372-1)))/12</f>
        <v>1216.27406626033</v>
      </c>
      <c r="J372" s="10" t="n">
        <f aca="false">Inputs!$B$13*Inputs!$B$7*(1+Inputs!$B$22)^(B372-1)/12</f>
        <v>477.037150764339</v>
      </c>
      <c r="K372" s="10" t="n">
        <f aca="false">Inputs!$B$14*Inputs!$B$7*(1+Inputs!$B$22)^(B372-1)/12</f>
        <v>954.074301528679</v>
      </c>
      <c r="L372" s="10" t="n">
        <f aca="false">Inputs!$B$15*(1+Inputs!$B$22)^(B372-1)</f>
        <v>0</v>
      </c>
      <c r="M372" s="10" t="n">
        <f aca="false">INDEX(Annual!$N$2:$N$51,B372)/12</f>
        <v>0</v>
      </c>
      <c r="N372" s="10" t="n">
        <f aca="false">D372+E372+G372+I372+J372+K372+L372-M372</f>
        <v>2647.38551855335</v>
      </c>
      <c r="O372" s="10" t="n">
        <f aca="false">Inputs!$B$17*(1+Inputs!$B$18)^(B372-1)+Inputs!$B$19*(1+Inputs!$B$22)^(B372-1)</f>
        <v>7051.3309366116</v>
      </c>
      <c r="P372" s="10" t="n">
        <f aca="false">N372-O372</f>
        <v>-4403.94541805826</v>
      </c>
      <c r="Q372" s="10" t="n">
        <f aca="false">Q371*(1+Inputs!$B$42)-U372+MAX(P372,0)</f>
        <v>1619172.99023661</v>
      </c>
      <c r="R372" s="10" t="n">
        <f aca="false">R371+Q371*Inputs!$B$48-U372+MAX(P372,0)</f>
        <v>445900.922225691</v>
      </c>
      <c r="S372" s="10" t="n">
        <f aca="false">S371*(1+Inputs!$B$42)-V372+MAX(-P372,0)</f>
        <v>212485.476131898</v>
      </c>
      <c r="T372" s="10" t="n">
        <f aca="false">T371+S371*Inputs!$B$48-V372+MAX(-P372,0)</f>
        <v>169753.449805722</v>
      </c>
      <c r="U372" s="10" t="n">
        <f aca="false">Q371*Inputs!$B$48*Inputs!$B$29</f>
        <v>221.414819116949</v>
      </c>
      <c r="V372" s="10" t="n">
        <f aca="false">S371*Inputs!$B$48*Inputs!$B$29</f>
        <v>28.4542385294175</v>
      </c>
    </row>
    <row r="373" customFormat="false" ht="15" hidden="false" customHeight="false" outlineLevel="0" collapsed="false">
      <c r="A373" s="16" t="n">
        <v>372</v>
      </c>
      <c r="B373" s="16" t="n">
        <f aca="false">ROUNDUP(A373/12,0)</f>
        <v>31</v>
      </c>
      <c r="C373" s="10" t="n">
        <f aca="false">F372</f>
        <v>1.28693500300869E-010</v>
      </c>
      <c r="D373" s="10" t="n">
        <f aca="false">IF(AND(A373&lt;=Inputs!$B$9*12,C373&gt;0.000001),C373*Inputs!$B$10/12,0)</f>
        <v>0</v>
      </c>
      <c r="E373" s="10" t="n">
        <f aca="false">IF(AND(A373&lt;=Inputs!$B$9*12,C373&gt;0.000001),MIN(C373,Inputs!$B$41-D373),0)</f>
        <v>0</v>
      </c>
      <c r="F373" s="10" t="n">
        <f aca="false">C373-E373</f>
        <v>1.28693500300869E-010</v>
      </c>
      <c r="G373" s="10" t="n">
        <f aca="false">IF(AND(Inputs!$B$43=1,C373&gt;0.78*Inputs!$B$7,A373&lt;=Inputs!$B$9*6),Inputs!$B$16*Inputs!$B$39/12,0)</f>
        <v>0</v>
      </c>
      <c r="H373" s="10" t="n">
        <f aca="false">IF(B373=1,Inputs!$B$7,INDEX(Annual!$AC$2:$AC$51,B373-1))</f>
        <v>1621698.75501377</v>
      </c>
      <c r="I373" s="10" t="n">
        <f aca="false">Inputs!$B$12*IF(Inputs!$B$35="",H373,MIN(H373,Inputs!$B$7*(1+Inputs!$B$35)^(B373-1)))/12</f>
        <v>1216.27406626033</v>
      </c>
      <c r="J373" s="10" t="n">
        <f aca="false">Inputs!$B$13*Inputs!$B$7*(1+Inputs!$B$22)^(B373-1)/12</f>
        <v>477.037150764339</v>
      </c>
      <c r="K373" s="10" t="n">
        <f aca="false">Inputs!$B$14*Inputs!$B$7*(1+Inputs!$B$22)^(B373-1)/12</f>
        <v>954.074301528679</v>
      </c>
      <c r="L373" s="10" t="n">
        <f aca="false">Inputs!$B$15*(1+Inputs!$B$22)^(B373-1)</f>
        <v>0</v>
      </c>
      <c r="M373" s="10" t="n">
        <f aca="false">INDEX(Annual!$N$2:$N$51,B373)/12</f>
        <v>0</v>
      </c>
      <c r="N373" s="10" t="n">
        <f aca="false">D373+E373+G373+I373+J373+K373+L373-M373</f>
        <v>2647.38551855335</v>
      </c>
      <c r="O373" s="10" t="n">
        <f aca="false">Inputs!$B$17*(1+Inputs!$B$18)^(B373-1)+Inputs!$B$19*(1+Inputs!$B$22)^(B373-1)</f>
        <v>7051.3309366116</v>
      </c>
      <c r="P373" s="10" t="n">
        <f aca="false">N373-O373</f>
        <v>-4403.94541805826</v>
      </c>
      <c r="Q373" s="10" t="n">
        <f aca="false">Q372*(1+Inputs!$B$42)-U373+MAX(P373,0)</f>
        <v>1628105.39344461</v>
      </c>
      <c r="R373" s="10" t="n">
        <f aca="false">R372+Q372*Inputs!$B$48-U373+MAX(P373,0)</f>
        <v>447162.52784725</v>
      </c>
      <c r="S373" s="10" t="n">
        <f aca="false">S372*(1+Inputs!$B$42)-V373+MAX(-P373,0)</f>
        <v>218061.62857175</v>
      </c>
      <c r="T373" s="10" t="n">
        <f aca="false">T372+S372*Inputs!$B$48-V373+MAX(-P373,0)</f>
        <v>174322.956823933</v>
      </c>
      <c r="U373" s="10" t="n">
        <f aca="false">Q372*Inputs!$B$48*Inputs!$B$29</f>
        <v>222.636286157534</v>
      </c>
      <c r="V373" s="10" t="n">
        <f aca="false">S372*Inputs!$B$48*Inputs!$B$29</f>
        <v>29.2167529681359</v>
      </c>
    </row>
    <row r="374" customFormat="false" ht="15" hidden="false" customHeight="false" outlineLevel="0" collapsed="false">
      <c r="A374" s="16" t="n">
        <v>373</v>
      </c>
      <c r="B374" s="16" t="n">
        <f aca="false">ROUNDUP(A374/12,0)</f>
        <v>32</v>
      </c>
      <c r="C374" s="10" t="n">
        <f aca="false">F373</f>
        <v>1.28693500300869E-010</v>
      </c>
      <c r="D374" s="10" t="n">
        <f aca="false">IF(AND(A374&lt;=Inputs!$B$9*12,C374&gt;0.000001),C374*Inputs!$B$10/12,0)</f>
        <v>0</v>
      </c>
      <c r="E374" s="10" t="n">
        <f aca="false">IF(AND(A374&lt;=Inputs!$B$9*12,C374&gt;0.000001),MIN(C374,Inputs!$B$41-D374),0)</f>
        <v>0</v>
      </c>
      <c r="F374" s="10" t="n">
        <f aca="false">C374-E374</f>
        <v>1.28693500300869E-010</v>
      </c>
      <c r="G374" s="10" t="n">
        <f aca="false">IF(AND(Inputs!$B$43=1,C374&gt;0.78*Inputs!$B$7,A374&lt;=Inputs!$B$9*6),Inputs!$B$16*Inputs!$B$39/12,0)</f>
        <v>0</v>
      </c>
      <c r="H374" s="10" t="n">
        <f aca="false">IF(B374=1,Inputs!$B$7,INDEX(Annual!$AC$2:$AC$51,B374-1))</f>
        <v>1686566.70521432</v>
      </c>
      <c r="I374" s="10" t="n">
        <f aca="false">Inputs!$B$12*IF(Inputs!$B$35="",H374,MIN(H374,Inputs!$B$7*(1+Inputs!$B$35)^(B374-1)))/12</f>
        <v>1264.92502891074</v>
      </c>
      <c r="J374" s="10" t="n">
        <f aca="false">Inputs!$B$13*Inputs!$B$7*(1+Inputs!$B$22)^(B374-1)/12</f>
        <v>490.394190985741</v>
      </c>
      <c r="K374" s="10" t="n">
        <f aca="false">Inputs!$B$14*Inputs!$B$7*(1+Inputs!$B$22)^(B374-1)/12</f>
        <v>980.788381971482</v>
      </c>
      <c r="L374" s="10" t="n">
        <f aca="false">Inputs!$B$15*(1+Inputs!$B$22)^(B374-1)</f>
        <v>0</v>
      </c>
      <c r="M374" s="10" t="n">
        <f aca="false">INDEX(Annual!$N$2:$N$51,B374)/12</f>
        <v>0</v>
      </c>
      <c r="N374" s="10" t="n">
        <f aca="false">D374+E374+G374+I374+J374+K374+L374-M374</f>
        <v>2736.10760186796</v>
      </c>
      <c r="O374" s="10" t="n">
        <f aca="false">Inputs!$B$17*(1+Inputs!$B$18)^(B374-1)+Inputs!$B$19*(1+Inputs!$B$22)^(B374-1)</f>
        <v>7297.88709266902</v>
      </c>
      <c r="P374" s="10" t="n">
        <f aca="false">N374-O374</f>
        <v>-4561.77949080106</v>
      </c>
      <c r="Q374" s="10" t="n">
        <f aca="false">Q373*(1+Inputs!$B$42)-U374+MAX(P374,0)</f>
        <v>1637087.07355357</v>
      </c>
      <c r="R374" s="10" t="n">
        <f aca="false">R373+Q373*Inputs!$B$48-U374+MAX(P374,0)</f>
        <v>448431.093299643</v>
      </c>
      <c r="S374" s="10" t="n">
        <f aca="false">S373*(1+Inputs!$B$42)-V374+MAX(-P374,0)</f>
        <v>223826.376739981</v>
      </c>
      <c r="T374" s="10" t="n">
        <f aca="false">T373+S373*Inputs!$B$48-V374+MAX(-P374,0)</f>
        <v>179054.642666996</v>
      </c>
      <c r="U374" s="10" t="n">
        <f aca="false">Q373*Inputs!$B$48*Inputs!$B$29</f>
        <v>223.864491598634</v>
      </c>
      <c r="V374" s="10" t="n">
        <f aca="false">S373*Inputs!$B$48*Inputs!$B$29</f>
        <v>29.9834739286156</v>
      </c>
    </row>
    <row r="375" customFormat="false" ht="15" hidden="false" customHeight="false" outlineLevel="0" collapsed="false">
      <c r="A375" s="16" t="n">
        <v>374</v>
      </c>
      <c r="B375" s="16" t="n">
        <f aca="false">ROUNDUP(A375/12,0)</f>
        <v>32</v>
      </c>
      <c r="C375" s="10" t="n">
        <f aca="false">F374</f>
        <v>1.28693500300869E-010</v>
      </c>
      <c r="D375" s="10" t="n">
        <f aca="false">IF(AND(A375&lt;=Inputs!$B$9*12,C375&gt;0.000001),C375*Inputs!$B$10/12,0)</f>
        <v>0</v>
      </c>
      <c r="E375" s="10" t="n">
        <f aca="false">IF(AND(A375&lt;=Inputs!$B$9*12,C375&gt;0.000001),MIN(C375,Inputs!$B$41-D375),0)</f>
        <v>0</v>
      </c>
      <c r="F375" s="10" t="n">
        <f aca="false">C375-E375</f>
        <v>1.28693500300869E-010</v>
      </c>
      <c r="G375" s="10" t="n">
        <f aca="false">IF(AND(Inputs!$B$43=1,C375&gt;0.78*Inputs!$B$7,A375&lt;=Inputs!$B$9*6),Inputs!$B$16*Inputs!$B$39/12,0)</f>
        <v>0</v>
      </c>
      <c r="H375" s="10" t="n">
        <f aca="false">IF(B375=1,Inputs!$B$7,INDEX(Annual!$AC$2:$AC$51,B375-1))</f>
        <v>1686566.70521432</v>
      </c>
      <c r="I375" s="10" t="n">
        <f aca="false">Inputs!$B$12*IF(Inputs!$B$35="",H375,MIN(H375,Inputs!$B$7*(1+Inputs!$B$35)^(B375-1)))/12</f>
        <v>1264.92502891074</v>
      </c>
      <c r="J375" s="10" t="n">
        <f aca="false">Inputs!$B$13*Inputs!$B$7*(1+Inputs!$B$22)^(B375-1)/12</f>
        <v>490.394190985741</v>
      </c>
      <c r="K375" s="10" t="n">
        <f aca="false">Inputs!$B$14*Inputs!$B$7*(1+Inputs!$B$22)^(B375-1)/12</f>
        <v>980.788381971482</v>
      </c>
      <c r="L375" s="10" t="n">
        <f aca="false">Inputs!$B$15*(1+Inputs!$B$22)^(B375-1)</f>
        <v>0</v>
      </c>
      <c r="M375" s="10" t="n">
        <f aca="false">INDEX(Annual!$N$2:$N$51,B375)/12</f>
        <v>0</v>
      </c>
      <c r="N375" s="10" t="n">
        <f aca="false">D375+E375+G375+I375+J375+K375+L375-M375</f>
        <v>2736.10760186796</v>
      </c>
      <c r="O375" s="10" t="n">
        <f aca="false">Inputs!$B$17*(1+Inputs!$B$18)^(B375-1)+Inputs!$B$19*(1+Inputs!$B$22)^(B375-1)</f>
        <v>7297.88709266902</v>
      </c>
      <c r="P375" s="10" t="n">
        <f aca="false">N375-O375</f>
        <v>-4561.77949080106</v>
      </c>
      <c r="Q375" s="10" t="n">
        <f aca="false">Q374*(1+Inputs!$B$42)-U375+MAX(P375,0)</f>
        <v>1646118.30240667</v>
      </c>
      <c r="R375" s="10" t="n">
        <f aca="false">R374+Q374*Inputs!$B$48-U375+MAX(P375,0)</f>
        <v>449706.656977787</v>
      </c>
      <c r="S375" s="10" t="n">
        <f aca="false">S374*(1+Inputs!$B$42)-V375+MAX(-P375,0)</f>
        <v>229622.926979604</v>
      </c>
      <c r="T375" s="10" t="n">
        <f aca="false">T374+S374*Inputs!$B$48-V375+MAX(-P375,0)</f>
        <v>183790.820209674</v>
      </c>
      <c r="U375" s="10" t="n">
        <f aca="false">Q374*Inputs!$B$48*Inputs!$B$29</f>
        <v>225.099472613615</v>
      </c>
      <c r="V375" s="10" t="n">
        <f aca="false">S374*Inputs!$B$48*Inputs!$B$29</f>
        <v>30.7761268017474</v>
      </c>
    </row>
    <row r="376" customFormat="false" ht="15" hidden="false" customHeight="false" outlineLevel="0" collapsed="false">
      <c r="A376" s="16" t="n">
        <v>375</v>
      </c>
      <c r="B376" s="16" t="n">
        <f aca="false">ROUNDUP(A376/12,0)</f>
        <v>32</v>
      </c>
      <c r="C376" s="10" t="n">
        <f aca="false">F375</f>
        <v>1.28693500300869E-010</v>
      </c>
      <c r="D376" s="10" t="n">
        <f aca="false">IF(AND(A376&lt;=Inputs!$B$9*12,C376&gt;0.000001),C376*Inputs!$B$10/12,0)</f>
        <v>0</v>
      </c>
      <c r="E376" s="10" t="n">
        <f aca="false">IF(AND(A376&lt;=Inputs!$B$9*12,C376&gt;0.000001),MIN(C376,Inputs!$B$41-D376),0)</f>
        <v>0</v>
      </c>
      <c r="F376" s="10" t="n">
        <f aca="false">C376-E376</f>
        <v>1.28693500300869E-010</v>
      </c>
      <c r="G376" s="10" t="n">
        <f aca="false">IF(AND(Inputs!$B$43=1,C376&gt;0.78*Inputs!$B$7,A376&lt;=Inputs!$B$9*6),Inputs!$B$16*Inputs!$B$39/12,0)</f>
        <v>0</v>
      </c>
      <c r="H376" s="10" t="n">
        <f aca="false">IF(B376=1,Inputs!$B$7,INDEX(Annual!$AC$2:$AC$51,B376-1))</f>
        <v>1686566.70521432</v>
      </c>
      <c r="I376" s="10" t="n">
        <f aca="false">Inputs!$B$12*IF(Inputs!$B$35="",H376,MIN(H376,Inputs!$B$7*(1+Inputs!$B$35)^(B376-1)))/12</f>
        <v>1264.92502891074</v>
      </c>
      <c r="J376" s="10" t="n">
        <f aca="false">Inputs!$B$13*Inputs!$B$7*(1+Inputs!$B$22)^(B376-1)/12</f>
        <v>490.394190985741</v>
      </c>
      <c r="K376" s="10" t="n">
        <f aca="false">Inputs!$B$14*Inputs!$B$7*(1+Inputs!$B$22)^(B376-1)/12</f>
        <v>980.788381971482</v>
      </c>
      <c r="L376" s="10" t="n">
        <f aca="false">Inputs!$B$15*(1+Inputs!$B$22)^(B376-1)</f>
        <v>0</v>
      </c>
      <c r="M376" s="10" t="n">
        <f aca="false">INDEX(Annual!$N$2:$N$51,B376)/12</f>
        <v>0</v>
      </c>
      <c r="N376" s="10" t="n">
        <f aca="false">D376+E376+G376+I376+J376+K376+L376-M376</f>
        <v>2736.10760186796</v>
      </c>
      <c r="O376" s="10" t="n">
        <f aca="false">Inputs!$B$17*(1+Inputs!$B$18)^(B376-1)+Inputs!$B$19*(1+Inputs!$B$22)^(B376-1)</f>
        <v>7297.88709266902</v>
      </c>
      <c r="P376" s="10" t="n">
        <f aca="false">N376-O376</f>
        <v>-4561.77949080106</v>
      </c>
      <c r="Q376" s="10" t="n">
        <f aca="false">Q375*(1+Inputs!$B$42)-U376+MAX(P376,0)</f>
        <v>1655199.35334676</v>
      </c>
      <c r="R376" s="10" t="n">
        <f aca="false">R375+Q375*Inputs!$B$48-U376+MAX(P376,0)</f>
        <v>450989.257488412</v>
      </c>
      <c r="S376" s="10" t="n">
        <f aca="false">S375*(1+Inputs!$B$42)-V376+MAX(-P376,0)</f>
        <v>235451.45473137</v>
      </c>
      <c r="T376" s="10" t="n">
        <f aca="false">T375+S375*Inputs!$B$48-V376+MAX(-P376,0)</f>
        <v>188531.51423108</v>
      </c>
      <c r="U376" s="10" t="n">
        <f aca="false">Q375*Inputs!$B$48*Inputs!$B$29</f>
        <v>226.341266580917</v>
      </c>
      <c r="V376" s="10" t="n">
        <f aca="false">S375*Inputs!$B$48*Inputs!$B$29</f>
        <v>31.5731524596956</v>
      </c>
    </row>
    <row r="377" customFormat="false" ht="15" hidden="false" customHeight="false" outlineLevel="0" collapsed="false">
      <c r="A377" s="16" t="n">
        <v>376</v>
      </c>
      <c r="B377" s="16" t="n">
        <f aca="false">ROUNDUP(A377/12,0)</f>
        <v>32</v>
      </c>
      <c r="C377" s="10" t="n">
        <f aca="false">F376</f>
        <v>1.28693500300869E-010</v>
      </c>
      <c r="D377" s="10" t="n">
        <f aca="false">IF(AND(A377&lt;=Inputs!$B$9*12,C377&gt;0.000001),C377*Inputs!$B$10/12,0)</f>
        <v>0</v>
      </c>
      <c r="E377" s="10" t="n">
        <f aca="false">IF(AND(A377&lt;=Inputs!$B$9*12,C377&gt;0.000001),MIN(C377,Inputs!$B$41-D377),0)</f>
        <v>0</v>
      </c>
      <c r="F377" s="10" t="n">
        <f aca="false">C377-E377</f>
        <v>1.28693500300869E-010</v>
      </c>
      <c r="G377" s="10" t="n">
        <f aca="false">IF(AND(Inputs!$B$43=1,C377&gt;0.78*Inputs!$B$7,A377&lt;=Inputs!$B$9*6),Inputs!$B$16*Inputs!$B$39/12,0)</f>
        <v>0</v>
      </c>
      <c r="H377" s="10" t="n">
        <f aca="false">IF(B377=1,Inputs!$B$7,INDEX(Annual!$AC$2:$AC$51,B377-1))</f>
        <v>1686566.70521432</v>
      </c>
      <c r="I377" s="10" t="n">
        <f aca="false">Inputs!$B$12*IF(Inputs!$B$35="",H377,MIN(H377,Inputs!$B$7*(1+Inputs!$B$35)^(B377-1)))/12</f>
        <v>1264.92502891074</v>
      </c>
      <c r="J377" s="10" t="n">
        <f aca="false">Inputs!$B$13*Inputs!$B$7*(1+Inputs!$B$22)^(B377-1)/12</f>
        <v>490.394190985741</v>
      </c>
      <c r="K377" s="10" t="n">
        <f aca="false">Inputs!$B$14*Inputs!$B$7*(1+Inputs!$B$22)^(B377-1)/12</f>
        <v>980.788381971482</v>
      </c>
      <c r="L377" s="10" t="n">
        <f aca="false">Inputs!$B$15*(1+Inputs!$B$22)^(B377-1)</f>
        <v>0</v>
      </c>
      <c r="M377" s="10" t="n">
        <f aca="false">INDEX(Annual!$N$2:$N$51,B377)/12</f>
        <v>0</v>
      </c>
      <c r="N377" s="10" t="n">
        <f aca="false">D377+E377+G377+I377+J377+K377+L377-M377</f>
        <v>2736.10760186796</v>
      </c>
      <c r="O377" s="10" t="n">
        <f aca="false">Inputs!$B$17*(1+Inputs!$B$18)^(B377-1)+Inputs!$B$19*(1+Inputs!$B$22)^(B377-1)</f>
        <v>7297.88709266902</v>
      </c>
      <c r="P377" s="10" t="n">
        <f aca="false">N377-O377</f>
        <v>-4561.77949080106</v>
      </c>
      <c r="Q377" s="10" t="n">
        <f aca="false">Q376*(1+Inputs!$B$42)-U377+MAX(P377,0)</f>
        <v>1664330.50122464</v>
      </c>
      <c r="R377" s="10" t="n">
        <f aca="false">R376+Q376*Inputs!$B$48-U377+MAX(P377,0)</f>
        <v>452278.933651228</v>
      </c>
      <c r="S377" s="10" t="n">
        <f aca="false">S376*(1+Inputs!$B$42)-V377+MAX(-P377,0)</f>
        <v>241312.136403873</v>
      </c>
      <c r="T377" s="10" t="n">
        <f aca="false">T376+S376*Inputs!$B$48-V377+MAX(-P377,0)</f>
        <v>193276.749647025</v>
      </c>
      <c r="U377" s="10" t="n">
        <f aca="false">Q376*Inputs!$B$48*Inputs!$B$29</f>
        <v>227.58991108518</v>
      </c>
      <c r="V377" s="10" t="n">
        <f aca="false">S376*Inputs!$B$48*Inputs!$B$29</f>
        <v>32.3745750255634</v>
      </c>
    </row>
    <row r="378" customFormat="false" ht="15" hidden="false" customHeight="false" outlineLevel="0" collapsed="false">
      <c r="A378" s="16" t="n">
        <v>377</v>
      </c>
      <c r="B378" s="16" t="n">
        <f aca="false">ROUNDUP(A378/12,0)</f>
        <v>32</v>
      </c>
      <c r="C378" s="10" t="n">
        <f aca="false">F377</f>
        <v>1.28693500300869E-010</v>
      </c>
      <c r="D378" s="10" t="n">
        <f aca="false">IF(AND(A378&lt;=Inputs!$B$9*12,C378&gt;0.000001),C378*Inputs!$B$10/12,0)</f>
        <v>0</v>
      </c>
      <c r="E378" s="10" t="n">
        <f aca="false">IF(AND(A378&lt;=Inputs!$B$9*12,C378&gt;0.000001),MIN(C378,Inputs!$B$41-D378),0)</f>
        <v>0</v>
      </c>
      <c r="F378" s="10" t="n">
        <f aca="false">C378-E378</f>
        <v>1.28693500300869E-010</v>
      </c>
      <c r="G378" s="10" t="n">
        <f aca="false">IF(AND(Inputs!$B$43=1,C378&gt;0.78*Inputs!$B$7,A378&lt;=Inputs!$B$9*6),Inputs!$B$16*Inputs!$B$39/12,0)</f>
        <v>0</v>
      </c>
      <c r="H378" s="10" t="n">
        <f aca="false">IF(B378=1,Inputs!$B$7,INDEX(Annual!$AC$2:$AC$51,B378-1))</f>
        <v>1686566.70521432</v>
      </c>
      <c r="I378" s="10" t="n">
        <f aca="false">Inputs!$B$12*IF(Inputs!$B$35="",H378,MIN(H378,Inputs!$B$7*(1+Inputs!$B$35)^(B378-1)))/12</f>
        <v>1264.92502891074</v>
      </c>
      <c r="J378" s="10" t="n">
        <f aca="false">Inputs!$B$13*Inputs!$B$7*(1+Inputs!$B$22)^(B378-1)/12</f>
        <v>490.394190985741</v>
      </c>
      <c r="K378" s="10" t="n">
        <f aca="false">Inputs!$B$14*Inputs!$B$7*(1+Inputs!$B$22)^(B378-1)/12</f>
        <v>980.788381971482</v>
      </c>
      <c r="L378" s="10" t="n">
        <f aca="false">Inputs!$B$15*(1+Inputs!$B$22)^(B378-1)</f>
        <v>0</v>
      </c>
      <c r="M378" s="10" t="n">
        <f aca="false">INDEX(Annual!$N$2:$N$51,B378)/12</f>
        <v>0</v>
      </c>
      <c r="N378" s="10" t="n">
        <f aca="false">D378+E378+G378+I378+J378+K378+L378-M378</f>
        <v>2736.10760186796</v>
      </c>
      <c r="O378" s="10" t="n">
        <f aca="false">Inputs!$B$17*(1+Inputs!$B$18)^(B378-1)+Inputs!$B$19*(1+Inputs!$B$22)^(B378-1)</f>
        <v>7297.88709266902</v>
      </c>
      <c r="P378" s="10" t="n">
        <f aca="false">N378-O378</f>
        <v>-4561.77949080106</v>
      </c>
      <c r="Q378" s="10" t="n">
        <f aca="false">Q377*(1+Inputs!$B$42)-U378+MAX(P378,0)</f>
        <v>1673512.02240734</v>
      </c>
      <c r="R378" s="10" t="n">
        <f aca="false">R377+Q377*Inputs!$B$48-U378+MAX(P378,0)</f>
        <v>453575.724500099</v>
      </c>
      <c r="S378" s="10" t="n">
        <f aca="false">S377*(1+Inputs!$B$42)-V378+MAX(-P378,0)</f>
        <v>247205.149378891</v>
      </c>
      <c r="T378" s="10" t="n">
        <f aca="false">T377+S377*Inputs!$B$48-V378+MAX(-P378,0)</f>
        <v>198026.551510775</v>
      </c>
      <c r="U378" s="10" t="n">
        <f aca="false">Q377*Inputs!$B$48*Inputs!$B$29</f>
        <v>228.845443918388</v>
      </c>
      <c r="V378" s="10" t="n">
        <f aca="false">S377*Inputs!$B$48*Inputs!$B$29</f>
        <v>33.1804187555325</v>
      </c>
    </row>
    <row r="379" customFormat="false" ht="15" hidden="false" customHeight="false" outlineLevel="0" collapsed="false">
      <c r="A379" s="16" t="n">
        <v>378</v>
      </c>
      <c r="B379" s="16" t="n">
        <f aca="false">ROUNDUP(A379/12,0)</f>
        <v>32</v>
      </c>
      <c r="C379" s="10" t="n">
        <f aca="false">F378</f>
        <v>1.28693500300869E-010</v>
      </c>
      <c r="D379" s="10" t="n">
        <f aca="false">IF(AND(A379&lt;=Inputs!$B$9*12,C379&gt;0.000001),C379*Inputs!$B$10/12,0)</f>
        <v>0</v>
      </c>
      <c r="E379" s="10" t="n">
        <f aca="false">IF(AND(A379&lt;=Inputs!$B$9*12,C379&gt;0.000001),MIN(C379,Inputs!$B$41-D379),0)</f>
        <v>0</v>
      </c>
      <c r="F379" s="10" t="n">
        <f aca="false">C379-E379</f>
        <v>1.28693500300869E-010</v>
      </c>
      <c r="G379" s="10" t="n">
        <f aca="false">IF(AND(Inputs!$B$43=1,C379&gt;0.78*Inputs!$B$7,A379&lt;=Inputs!$B$9*6),Inputs!$B$16*Inputs!$B$39/12,0)</f>
        <v>0</v>
      </c>
      <c r="H379" s="10" t="n">
        <f aca="false">IF(B379=1,Inputs!$B$7,INDEX(Annual!$AC$2:$AC$51,B379-1))</f>
        <v>1686566.70521432</v>
      </c>
      <c r="I379" s="10" t="n">
        <f aca="false">Inputs!$B$12*IF(Inputs!$B$35="",H379,MIN(H379,Inputs!$B$7*(1+Inputs!$B$35)^(B379-1)))/12</f>
        <v>1264.92502891074</v>
      </c>
      <c r="J379" s="10" t="n">
        <f aca="false">Inputs!$B$13*Inputs!$B$7*(1+Inputs!$B$22)^(B379-1)/12</f>
        <v>490.394190985741</v>
      </c>
      <c r="K379" s="10" t="n">
        <f aca="false">Inputs!$B$14*Inputs!$B$7*(1+Inputs!$B$22)^(B379-1)/12</f>
        <v>980.788381971482</v>
      </c>
      <c r="L379" s="10" t="n">
        <f aca="false">Inputs!$B$15*(1+Inputs!$B$22)^(B379-1)</f>
        <v>0</v>
      </c>
      <c r="M379" s="10" t="n">
        <f aca="false">INDEX(Annual!$N$2:$N$51,B379)/12</f>
        <v>0</v>
      </c>
      <c r="N379" s="10" t="n">
        <f aca="false">D379+E379+G379+I379+J379+K379+L379-M379</f>
        <v>2736.10760186796</v>
      </c>
      <c r="O379" s="10" t="n">
        <f aca="false">Inputs!$B$17*(1+Inputs!$B$18)^(B379-1)+Inputs!$B$19*(1+Inputs!$B$22)^(B379-1)</f>
        <v>7297.88709266902</v>
      </c>
      <c r="P379" s="10" t="n">
        <f aca="false">N379-O379</f>
        <v>-4561.77949080106</v>
      </c>
      <c r="Q379" s="10" t="n">
        <f aca="false">Q378*(1+Inputs!$B$42)-U379+MAX(P379,0)</f>
        <v>1682744.19478652</v>
      </c>
      <c r="R379" s="10" t="n">
        <f aca="false">R378+Q378*Inputs!$B$48-U379+MAX(P379,0)</f>
        <v>454879.669284224</v>
      </c>
      <c r="S379" s="10" t="n">
        <f aca="false">S378*(1+Inputs!$B$42)-V379+MAX(-P379,0)</f>
        <v>253130.672016756</v>
      </c>
      <c r="T379" s="10" t="n">
        <f aca="false">T378+S378*Inputs!$B$48-V379+MAX(-P379,0)</f>
        <v>202780.9450138</v>
      </c>
      <c r="U379" s="10" t="n">
        <f aca="false">Q378*Inputs!$B$48*Inputs!$B$29</f>
        <v>230.107903081009</v>
      </c>
      <c r="V379" s="10" t="n">
        <f aca="false">S378*Inputs!$B$48*Inputs!$B$29</f>
        <v>33.9907080395975</v>
      </c>
    </row>
    <row r="380" customFormat="false" ht="15" hidden="false" customHeight="false" outlineLevel="0" collapsed="false">
      <c r="A380" s="16" t="n">
        <v>379</v>
      </c>
      <c r="B380" s="16" t="n">
        <f aca="false">ROUNDUP(A380/12,0)</f>
        <v>32</v>
      </c>
      <c r="C380" s="10" t="n">
        <f aca="false">F379</f>
        <v>1.28693500300869E-010</v>
      </c>
      <c r="D380" s="10" t="n">
        <f aca="false">IF(AND(A380&lt;=Inputs!$B$9*12,C380&gt;0.000001),C380*Inputs!$B$10/12,0)</f>
        <v>0</v>
      </c>
      <c r="E380" s="10" t="n">
        <f aca="false">IF(AND(A380&lt;=Inputs!$B$9*12,C380&gt;0.000001),MIN(C380,Inputs!$B$41-D380),0)</f>
        <v>0</v>
      </c>
      <c r="F380" s="10" t="n">
        <f aca="false">C380-E380</f>
        <v>1.28693500300869E-010</v>
      </c>
      <c r="G380" s="10" t="n">
        <f aca="false">IF(AND(Inputs!$B$43=1,C380&gt;0.78*Inputs!$B$7,A380&lt;=Inputs!$B$9*6),Inputs!$B$16*Inputs!$B$39/12,0)</f>
        <v>0</v>
      </c>
      <c r="H380" s="10" t="n">
        <f aca="false">IF(B380=1,Inputs!$B$7,INDEX(Annual!$AC$2:$AC$51,B380-1))</f>
        <v>1686566.70521432</v>
      </c>
      <c r="I380" s="10" t="n">
        <f aca="false">Inputs!$B$12*IF(Inputs!$B$35="",H380,MIN(H380,Inputs!$B$7*(1+Inputs!$B$35)^(B380-1)))/12</f>
        <v>1264.92502891074</v>
      </c>
      <c r="J380" s="10" t="n">
        <f aca="false">Inputs!$B$13*Inputs!$B$7*(1+Inputs!$B$22)^(B380-1)/12</f>
        <v>490.394190985741</v>
      </c>
      <c r="K380" s="10" t="n">
        <f aca="false">Inputs!$B$14*Inputs!$B$7*(1+Inputs!$B$22)^(B380-1)/12</f>
        <v>980.788381971482</v>
      </c>
      <c r="L380" s="10" t="n">
        <f aca="false">Inputs!$B$15*(1+Inputs!$B$22)^(B380-1)</f>
        <v>0</v>
      </c>
      <c r="M380" s="10" t="n">
        <f aca="false">INDEX(Annual!$N$2:$N$51,B380)/12</f>
        <v>0</v>
      </c>
      <c r="N380" s="10" t="n">
        <f aca="false">D380+E380+G380+I380+J380+K380+L380-M380</f>
        <v>2736.10760186796</v>
      </c>
      <c r="O380" s="10" t="n">
        <f aca="false">Inputs!$B$17*(1+Inputs!$B$18)^(B380-1)+Inputs!$B$19*(1+Inputs!$B$22)^(B380-1)</f>
        <v>7297.88709266902</v>
      </c>
      <c r="P380" s="10" t="n">
        <f aca="false">N380-O380</f>
        <v>-4561.77949080106</v>
      </c>
      <c r="Q380" s="10" t="n">
        <f aca="false">Q379*(1+Inputs!$B$42)-U380+MAX(P380,0)</f>
        <v>1692027.29778687</v>
      </c>
      <c r="R380" s="10" t="n">
        <f aca="false">R379+Q379*Inputs!$B$48-U380+MAX(P380,0)</f>
        <v>456190.807469329</v>
      </c>
      <c r="S380" s="10" t="n">
        <f aca="false">S379*(1+Inputs!$B$42)-V380+MAX(-P380,0)</f>
        <v>259088.883661749</v>
      </c>
      <c r="T380" s="10" t="n">
        <f aca="false">T379+S379*Inputs!$B$48-V380+MAX(-P380,0)</f>
        <v>207539.955486547</v>
      </c>
      <c r="U380" s="10" t="n">
        <f aca="false">Q379*Inputs!$B$48*Inputs!$B$29</f>
        <v>231.377326783146</v>
      </c>
      <c r="V380" s="10" t="n">
        <f aca="false">S379*Inputs!$B$48*Inputs!$B$29</f>
        <v>34.805467402304</v>
      </c>
    </row>
    <row r="381" customFormat="false" ht="15" hidden="false" customHeight="false" outlineLevel="0" collapsed="false">
      <c r="A381" s="16" t="n">
        <v>380</v>
      </c>
      <c r="B381" s="16" t="n">
        <f aca="false">ROUNDUP(A381/12,0)</f>
        <v>32</v>
      </c>
      <c r="C381" s="10" t="n">
        <f aca="false">F380</f>
        <v>1.28693500300869E-010</v>
      </c>
      <c r="D381" s="10" t="n">
        <f aca="false">IF(AND(A381&lt;=Inputs!$B$9*12,C381&gt;0.000001),C381*Inputs!$B$10/12,0)</f>
        <v>0</v>
      </c>
      <c r="E381" s="10" t="n">
        <f aca="false">IF(AND(A381&lt;=Inputs!$B$9*12,C381&gt;0.000001),MIN(C381,Inputs!$B$41-D381),0)</f>
        <v>0</v>
      </c>
      <c r="F381" s="10" t="n">
        <f aca="false">C381-E381</f>
        <v>1.28693500300869E-010</v>
      </c>
      <c r="G381" s="10" t="n">
        <f aca="false">IF(AND(Inputs!$B$43=1,C381&gt;0.78*Inputs!$B$7,A381&lt;=Inputs!$B$9*6),Inputs!$B$16*Inputs!$B$39/12,0)</f>
        <v>0</v>
      </c>
      <c r="H381" s="10" t="n">
        <f aca="false">IF(B381=1,Inputs!$B$7,INDEX(Annual!$AC$2:$AC$51,B381-1))</f>
        <v>1686566.70521432</v>
      </c>
      <c r="I381" s="10" t="n">
        <f aca="false">Inputs!$B$12*IF(Inputs!$B$35="",H381,MIN(H381,Inputs!$B$7*(1+Inputs!$B$35)^(B381-1)))/12</f>
        <v>1264.92502891074</v>
      </c>
      <c r="J381" s="10" t="n">
        <f aca="false">Inputs!$B$13*Inputs!$B$7*(1+Inputs!$B$22)^(B381-1)/12</f>
        <v>490.394190985741</v>
      </c>
      <c r="K381" s="10" t="n">
        <f aca="false">Inputs!$B$14*Inputs!$B$7*(1+Inputs!$B$22)^(B381-1)/12</f>
        <v>980.788381971482</v>
      </c>
      <c r="L381" s="10" t="n">
        <f aca="false">Inputs!$B$15*(1+Inputs!$B$22)^(B381-1)</f>
        <v>0</v>
      </c>
      <c r="M381" s="10" t="n">
        <f aca="false">INDEX(Annual!$N$2:$N$51,B381)/12</f>
        <v>0</v>
      </c>
      <c r="N381" s="10" t="n">
        <f aca="false">D381+E381+G381+I381+J381+K381+L381-M381</f>
        <v>2736.10760186796</v>
      </c>
      <c r="O381" s="10" t="n">
        <f aca="false">Inputs!$B$17*(1+Inputs!$B$18)^(B381-1)+Inputs!$B$19*(1+Inputs!$B$22)^(B381-1)</f>
        <v>7297.88709266902</v>
      </c>
      <c r="P381" s="10" t="n">
        <f aca="false">N381-O381</f>
        <v>-4561.77949080106</v>
      </c>
      <c r="Q381" s="10" t="n">
        <f aca="false">Q380*(1+Inputs!$B$42)-U381+MAX(P381,0)</f>
        <v>1701361.61237457</v>
      </c>
      <c r="R381" s="10" t="n">
        <f aca="false">R380+Q380*Inputs!$B$48-U381+MAX(P381,0)</f>
        <v>457509.178738854</v>
      </c>
      <c r="S381" s="10" t="n">
        <f aca="false">S380*(1+Inputs!$B$42)-V381+MAX(-P381,0)</f>
        <v>265079.964647531</v>
      </c>
      <c r="T381" s="10" t="n">
        <f aca="false">T380+S380*Inputs!$B$48-V381+MAX(-P381,0)</f>
        <v>212303.608399202</v>
      </c>
      <c r="U381" s="10" t="n">
        <f aca="false">Q380*Inputs!$B$48*Inputs!$B$29</f>
        <v>232.653753445695</v>
      </c>
      <c r="V381" s="10" t="n">
        <f aca="false">S380*Inputs!$B$48*Inputs!$B$29</f>
        <v>35.6247215034905</v>
      </c>
    </row>
    <row r="382" customFormat="false" ht="15" hidden="false" customHeight="false" outlineLevel="0" collapsed="false">
      <c r="A382" s="16" t="n">
        <v>381</v>
      </c>
      <c r="B382" s="16" t="n">
        <f aca="false">ROUNDUP(A382/12,0)</f>
        <v>32</v>
      </c>
      <c r="C382" s="10" t="n">
        <f aca="false">F381</f>
        <v>1.28693500300869E-010</v>
      </c>
      <c r="D382" s="10" t="n">
        <f aca="false">IF(AND(A382&lt;=Inputs!$B$9*12,C382&gt;0.000001),C382*Inputs!$B$10/12,0)</f>
        <v>0</v>
      </c>
      <c r="E382" s="10" t="n">
        <f aca="false">IF(AND(A382&lt;=Inputs!$B$9*12,C382&gt;0.000001),MIN(C382,Inputs!$B$41-D382),0)</f>
        <v>0</v>
      </c>
      <c r="F382" s="10" t="n">
        <f aca="false">C382-E382</f>
        <v>1.28693500300869E-010</v>
      </c>
      <c r="G382" s="10" t="n">
        <f aca="false">IF(AND(Inputs!$B$43=1,C382&gt;0.78*Inputs!$B$7,A382&lt;=Inputs!$B$9*6),Inputs!$B$16*Inputs!$B$39/12,0)</f>
        <v>0</v>
      </c>
      <c r="H382" s="10" t="n">
        <f aca="false">IF(B382=1,Inputs!$B$7,INDEX(Annual!$AC$2:$AC$51,B382-1))</f>
        <v>1686566.70521432</v>
      </c>
      <c r="I382" s="10" t="n">
        <f aca="false">Inputs!$B$12*IF(Inputs!$B$35="",H382,MIN(H382,Inputs!$B$7*(1+Inputs!$B$35)^(B382-1)))/12</f>
        <v>1264.92502891074</v>
      </c>
      <c r="J382" s="10" t="n">
        <f aca="false">Inputs!$B$13*Inputs!$B$7*(1+Inputs!$B$22)^(B382-1)/12</f>
        <v>490.394190985741</v>
      </c>
      <c r="K382" s="10" t="n">
        <f aca="false">Inputs!$B$14*Inputs!$B$7*(1+Inputs!$B$22)^(B382-1)/12</f>
        <v>980.788381971482</v>
      </c>
      <c r="L382" s="10" t="n">
        <f aca="false">Inputs!$B$15*(1+Inputs!$B$22)^(B382-1)</f>
        <v>0</v>
      </c>
      <c r="M382" s="10" t="n">
        <f aca="false">INDEX(Annual!$N$2:$N$51,B382)/12</f>
        <v>0</v>
      </c>
      <c r="N382" s="10" t="n">
        <f aca="false">D382+E382+G382+I382+J382+K382+L382-M382</f>
        <v>2736.10760186796</v>
      </c>
      <c r="O382" s="10" t="n">
        <f aca="false">Inputs!$B$17*(1+Inputs!$B$18)^(B382-1)+Inputs!$B$19*(1+Inputs!$B$22)^(B382-1)</f>
        <v>7297.88709266902</v>
      </c>
      <c r="P382" s="10" t="n">
        <f aca="false">N382-O382</f>
        <v>-4561.77949080106</v>
      </c>
      <c r="Q382" s="10" t="n">
        <f aca="false">Q381*(1+Inputs!$B$42)-U382+MAX(P382,0)</f>
        <v>1710747.42106579</v>
      </c>
      <c r="R382" s="10" t="n">
        <f aca="false">R381+Q381*Inputs!$B$48-U382+MAX(P382,0)</f>
        <v>458834.822995163</v>
      </c>
      <c r="S382" s="10" t="n">
        <f aca="false">S381*(1+Inputs!$B$42)-V382+MAX(-P382,0)</f>
        <v>271104.096302598</v>
      </c>
      <c r="T382" s="10" t="n">
        <f aca="false">T381+S381*Inputs!$B$48-V382+MAX(-P382,0)</f>
        <v>217071.929362457</v>
      </c>
      <c r="U382" s="10" t="n">
        <f aca="false">Q381*Inputs!$B$48*Inputs!$B$29</f>
        <v>233.937221701503</v>
      </c>
      <c r="V382" s="10" t="n">
        <f aca="false">S381*Inputs!$B$48*Inputs!$B$29</f>
        <v>36.4484951390355</v>
      </c>
    </row>
    <row r="383" customFormat="false" ht="15" hidden="false" customHeight="false" outlineLevel="0" collapsed="false">
      <c r="A383" s="16" t="n">
        <v>382</v>
      </c>
      <c r="B383" s="16" t="n">
        <f aca="false">ROUNDUP(A383/12,0)</f>
        <v>32</v>
      </c>
      <c r="C383" s="10" t="n">
        <f aca="false">F382</f>
        <v>1.28693500300869E-010</v>
      </c>
      <c r="D383" s="10" t="n">
        <f aca="false">IF(AND(A383&lt;=Inputs!$B$9*12,C383&gt;0.000001),C383*Inputs!$B$10/12,0)</f>
        <v>0</v>
      </c>
      <c r="E383" s="10" t="n">
        <f aca="false">IF(AND(A383&lt;=Inputs!$B$9*12,C383&gt;0.000001),MIN(C383,Inputs!$B$41-D383),0)</f>
        <v>0</v>
      </c>
      <c r="F383" s="10" t="n">
        <f aca="false">C383-E383</f>
        <v>1.28693500300869E-010</v>
      </c>
      <c r="G383" s="10" t="n">
        <f aca="false">IF(AND(Inputs!$B$43=1,C383&gt;0.78*Inputs!$B$7,A383&lt;=Inputs!$B$9*6),Inputs!$B$16*Inputs!$B$39/12,0)</f>
        <v>0</v>
      </c>
      <c r="H383" s="10" t="n">
        <f aca="false">IF(B383=1,Inputs!$B$7,INDEX(Annual!$AC$2:$AC$51,B383-1))</f>
        <v>1686566.70521432</v>
      </c>
      <c r="I383" s="10" t="n">
        <f aca="false">Inputs!$B$12*IF(Inputs!$B$35="",H383,MIN(H383,Inputs!$B$7*(1+Inputs!$B$35)^(B383-1)))/12</f>
        <v>1264.92502891074</v>
      </c>
      <c r="J383" s="10" t="n">
        <f aca="false">Inputs!$B$13*Inputs!$B$7*(1+Inputs!$B$22)^(B383-1)/12</f>
        <v>490.394190985741</v>
      </c>
      <c r="K383" s="10" t="n">
        <f aca="false">Inputs!$B$14*Inputs!$B$7*(1+Inputs!$B$22)^(B383-1)/12</f>
        <v>980.788381971482</v>
      </c>
      <c r="L383" s="10" t="n">
        <f aca="false">Inputs!$B$15*(1+Inputs!$B$22)^(B383-1)</f>
        <v>0</v>
      </c>
      <c r="M383" s="10" t="n">
        <f aca="false">INDEX(Annual!$N$2:$N$51,B383)/12</f>
        <v>0</v>
      </c>
      <c r="N383" s="10" t="n">
        <f aca="false">D383+E383+G383+I383+J383+K383+L383-M383</f>
        <v>2736.10760186796</v>
      </c>
      <c r="O383" s="10" t="n">
        <f aca="false">Inputs!$B$17*(1+Inputs!$B$18)^(B383-1)+Inputs!$B$19*(1+Inputs!$B$22)^(B383-1)</f>
        <v>7297.88709266902</v>
      </c>
      <c r="P383" s="10" t="n">
        <f aca="false">N383-O383</f>
        <v>-4561.77949080106</v>
      </c>
      <c r="Q383" s="10" t="n">
        <f aca="false">Q382*(1+Inputs!$B$42)-U383+MAX(P383,0)</f>
        <v>1720185.00793522</v>
      </c>
      <c r="R383" s="10" t="n">
        <f aca="false">R382+Q382*Inputs!$B$48-U383+MAX(P383,0)</f>
        <v>460167.780360743</v>
      </c>
      <c r="S383" s="10" t="n">
        <f aca="false">S382*(1+Inputs!$B$42)-V383+MAX(-P383,0)</f>
        <v>277161.460955774</v>
      </c>
      <c r="T383" s="10" t="n">
        <f aca="false">T382+S382*Inputs!$B$48-V383+MAX(-P383,0)</f>
        <v>221844.944128294</v>
      </c>
      <c r="U383" s="10" t="n">
        <f aca="false">Q382*Inputs!$B$48*Inputs!$B$29</f>
        <v>235.227770396545</v>
      </c>
      <c r="V383" s="10" t="n">
        <f aca="false">S382*Inputs!$B$48*Inputs!$B$29</f>
        <v>37.2768132416073</v>
      </c>
    </row>
    <row r="384" customFormat="false" ht="15" hidden="false" customHeight="false" outlineLevel="0" collapsed="false">
      <c r="A384" s="16" t="n">
        <v>383</v>
      </c>
      <c r="B384" s="16" t="n">
        <f aca="false">ROUNDUP(A384/12,0)</f>
        <v>32</v>
      </c>
      <c r="C384" s="10" t="n">
        <f aca="false">F383</f>
        <v>1.28693500300869E-010</v>
      </c>
      <c r="D384" s="10" t="n">
        <f aca="false">IF(AND(A384&lt;=Inputs!$B$9*12,C384&gt;0.000001),C384*Inputs!$B$10/12,0)</f>
        <v>0</v>
      </c>
      <c r="E384" s="10" t="n">
        <f aca="false">IF(AND(A384&lt;=Inputs!$B$9*12,C384&gt;0.000001),MIN(C384,Inputs!$B$41-D384),0)</f>
        <v>0</v>
      </c>
      <c r="F384" s="10" t="n">
        <f aca="false">C384-E384</f>
        <v>1.28693500300869E-010</v>
      </c>
      <c r="G384" s="10" t="n">
        <f aca="false">IF(AND(Inputs!$B$43=1,C384&gt;0.78*Inputs!$B$7,A384&lt;=Inputs!$B$9*6),Inputs!$B$16*Inputs!$B$39/12,0)</f>
        <v>0</v>
      </c>
      <c r="H384" s="10" t="n">
        <f aca="false">IF(B384=1,Inputs!$B$7,INDEX(Annual!$AC$2:$AC$51,B384-1))</f>
        <v>1686566.70521432</v>
      </c>
      <c r="I384" s="10" t="n">
        <f aca="false">Inputs!$B$12*IF(Inputs!$B$35="",H384,MIN(H384,Inputs!$B$7*(1+Inputs!$B$35)^(B384-1)))/12</f>
        <v>1264.92502891074</v>
      </c>
      <c r="J384" s="10" t="n">
        <f aca="false">Inputs!$B$13*Inputs!$B$7*(1+Inputs!$B$22)^(B384-1)/12</f>
        <v>490.394190985741</v>
      </c>
      <c r="K384" s="10" t="n">
        <f aca="false">Inputs!$B$14*Inputs!$B$7*(1+Inputs!$B$22)^(B384-1)/12</f>
        <v>980.788381971482</v>
      </c>
      <c r="L384" s="10" t="n">
        <f aca="false">Inputs!$B$15*(1+Inputs!$B$22)^(B384-1)</f>
        <v>0</v>
      </c>
      <c r="M384" s="10" t="n">
        <f aca="false">INDEX(Annual!$N$2:$N$51,B384)/12</f>
        <v>0</v>
      </c>
      <c r="N384" s="10" t="n">
        <f aca="false">D384+E384+G384+I384+J384+K384+L384-M384</f>
        <v>2736.10760186796</v>
      </c>
      <c r="O384" s="10" t="n">
        <f aca="false">Inputs!$B$17*(1+Inputs!$B$18)^(B384-1)+Inputs!$B$19*(1+Inputs!$B$22)^(B384-1)</f>
        <v>7297.88709266902</v>
      </c>
      <c r="P384" s="10" t="n">
        <f aca="false">N384-O384</f>
        <v>-4561.77949080106</v>
      </c>
      <c r="Q384" s="10" t="n">
        <f aca="false">Q383*(1+Inputs!$B$42)-U384+MAX(P384,0)</f>
        <v>1729674.65862473</v>
      </c>
      <c r="R384" s="10" t="n">
        <f aca="false">R383+Q383*Inputs!$B$48-U384+MAX(P384,0)</f>
        <v>461508.091179426</v>
      </c>
      <c r="S384" s="10" t="n">
        <f aca="false">S383*(1+Inputs!$B$42)-V384+MAX(-P384,0)</f>
        <v>283252.241941723</v>
      </c>
      <c r="T384" s="10" t="n">
        <f aca="false">T383+S383*Inputs!$B$48-V384+MAX(-P384,0)</f>
        <v>226622.678590757</v>
      </c>
      <c r="U384" s="10" t="n">
        <f aca="false">Q383*Inputs!$B$48*Inputs!$B$29</f>
        <v>236.525438591093</v>
      </c>
      <c r="V384" s="10" t="n">
        <f aca="false">S383*Inputs!$B$48*Inputs!$B$29</f>
        <v>38.1097008814189</v>
      </c>
    </row>
    <row r="385" customFormat="false" ht="15" hidden="false" customHeight="false" outlineLevel="0" collapsed="false">
      <c r="A385" s="16" t="n">
        <v>384</v>
      </c>
      <c r="B385" s="16" t="n">
        <f aca="false">ROUNDUP(A385/12,0)</f>
        <v>32</v>
      </c>
      <c r="C385" s="10" t="n">
        <f aca="false">F384</f>
        <v>1.28693500300869E-010</v>
      </c>
      <c r="D385" s="10" t="n">
        <f aca="false">IF(AND(A385&lt;=Inputs!$B$9*12,C385&gt;0.000001),C385*Inputs!$B$10/12,0)</f>
        <v>0</v>
      </c>
      <c r="E385" s="10" t="n">
        <f aca="false">IF(AND(A385&lt;=Inputs!$B$9*12,C385&gt;0.000001),MIN(C385,Inputs!$B$41-D385),0)</f>
        <v>0</v>
      </c>
      <c r="F385" s="10" t="n">
        <f aca="false">C385-E385</f>
        <v>1.28693500300869E-010</v>
      </c>
      <c r="G385" s="10" t="n">
        <f aca="false">IF(AND(Inputs!$B$43=1,C385&gt;0.78*Inputs!$B$7,A385&lt;=Inputs!$B$9*6),Inputs!$B$16*Inputs!$B$39/12,0)</f>
        <v>0</v>
      </c>
      <c r="H385" s="10" t="n">
        <f aca="false">IF(B385=1,Inputs!$B$7,INDEX(Annual!$AC$2:$AC$51,B385-1))</f>
        <v>1686566.70521432</v>
      </c>
      <c r="I385" s="10" t="n">
        <f aca="false">Inputs!$B$12*IF(Inputs!$B$35="",H385,MIN(H385,Inputs!$B$7*(1+Inputs!$B$35)^(B385-1)))/12</f>
        <v>1264.92502891074</v>
      </c>
      <c r="J385" s="10" t="n">
        <f aca="false">Inputs!$B$13*Inputs!$B$7*(1+Inputs!$B$22)^(B385-1)/12</f>
        <v>490.394190985741</v>
      </c>
      <c r="K385" s="10" t="n">
        <f aca="false">Inputs!$B$14*Inputs!$B$7*(1+Inputs!$B$22)^(B385-1)/12</f>
        <v>980.788381971482</v>
      </c>
      <c r="L385" s="10" t="n">
        <f aca="false">Inputs!$B$15*(1+Inputs!$B$22)^(B385-1)</f>
        <v>0</v>
      </c>
      <c r="M385" s="10" t="n">
        <f aca="false">INDEX(Annual!$N$2:$N$51,B385)/12</f>
        <v>0</v>
      </c>
      <c r="N385" s="10" t="n">
        <f aca="false">D385+E385+G385+I385+J385+K385+L385-M385</f>
        <v>2736.10760186796</v>
      </c>
      <c r="O385" s="10" t="n">
        <f aca="false">Inputs!$B$17*(1+Inputs!$B$18)^(B385-1)+Inputs!$B$19*(1+Inputs!$B$22)^(B385-1)</f>
        <v>7297.88709266902</v>
      </c>
      <c r="P385" s="10" t="n">
        <f aca="false">N385-O385</f>
        <v>-4561.77949080106</v>
      </c>
      <c r="Q385" s="10" t="n">
        <f aca="false">Q384*(1+Inputs!$B$42)-U385+MAX(P385,0)</f>
        <v>1739216.66035195</v>
      </c>
      <c r="R385" s="10" t="n">
        <f aca="false">R384+Q384*Inputs!$B$48-U385+MAX(P385,0)</f>
        <v>462855.796017605</v>
      </c>
      <c r="S385" s="10" t="n">
        <f aca="false">S384*(1+Inputs!$B$42)-V385+MAX(-P385,0)</f>
        <v>289376.623606504</v>
      </c>
      <c r="T385" s="10" t="n">
        <f aca="false">T384+S384*Inputs!$B$48-V385+MAX(-P385,0)</f>
        <v>231405.158786737</v>
      </c>
      <c r="U385" s="10" t="n">
        <f aca="false">Q384*Inputs!$B$48*Inputs!$B$29</f>
        <v>237.830265560901</v>
      </c>
      <c r="V385" s="10" t="n">
        <f aca="false">S384*Inputs!$B$48*Inputs!$B$29</f>
        <v>38.9471832669869</v>
      </c>
    </row>
    <row r="386" customFormat="false" ht="15" hidden="false" customHeight="false" outlineLevel="0" collapsed="false">
      <c r="A386" s="16" t="n">
        <v>385</v>
      </c>
      <c r="B386" s="16" t="n">
        <f aca="false">ROUNDUP(A386/12,0)</f>
        <v>33</v>
      </c>
      <c r="C386" s="10" t="n">
        <f aca="false">F385</f>
        <v>1.28693500300869E-010</v>
      </c>
      <c r="D386" s="10" t="n">
        <f aca="false">IF(AND(A386&lt;=Inputs!$B$9*12,C386&gt;0.000001),C386*Inputs!$B$10/12,0)</f>
        <v>0</v>
      </c>
      <c r="E386" s="10" t="n">
        <f aca="false">IF(AND(A386&lt;=Inputs!$B$9*12,C386&gt;0.000001),MIN(C386,Inputs!$B$41-D386),0)</f>
        <v>0</v>
      </c>
      <c r="F386" s="10" t="n">
        <f aca="false">C386-E386</f>
        <v>1.28693500300869E-010</v>
      </c>
      <c r="G386" s="10" t="n">
        <f aca="false">IF(AND(Inputs!$B$43=1,C386&gt;0.78*Inputs!$B$7,A386&lt;=Inputs!$B$9*6),Inputs!$B$16*Inputs!$B$39/12,0)</f>
        <v>0</v>
      </c>
      <c r="H386" s="10" t="n">
        <f aca="false">IF(B386=1,Inputs!$B$7,INDEX(Annual!$AC$2:$AC$51,B386-1))</f>
        <v>1754029.37342289</v>
      </c>
      <c r="I386" s="10" t="n">
        <f aca="false">Inputs!$B$12*IF(Inputs!$B$35="",H386,MIN(H386,Inputs!$B$7*(1+Inputs!$B$35)^(B386-1)))/12</f>
        <v>1315.52203006717</v>
      </c>
      <c r="J386" s="10" t="n">
        <f aca="false">Inputs!$B$13*Inputs!$B$7*(1+Inputs!$B$22)^(B386-1)/12</f>
        <v>504.125228333342</v>
      </c>
      <c r="K386" s="10" t="n">
        <f aca="false">Inputs!$B$14*Inputs!$B$7*(1+Inputs!$B$22)^(B386-1)/12</f>
        <v>1008.25045666668</v>
      </c>
      <c r="L386" s="10" t="n">
        <f aca="false">Inputs!$B$15*(1+Inputs!$B$22)^(B386-1)</f>
        <v>0</v>
      </c>
      <c r="M386" s="10" t="n">
        <f aca="false">INDEX(Annual!$N$2:$N$51,B386)/12</f>
        <v>0</v>
      </c>
      <c r="N386" s="10" t="n">
        <f aca="false">D386+E386+G386+I386+J386+K386+L386-M386</f>
        <v>2827.8977150672</v>
      </c>
      <c r="O386" s="10" t="n">
        <f aca="false">Inputs!$B$17*(1+Inputs!$B$18)^(B386-1)+Inputs!$B$19*(1+Inputs!$B$22)^(B386-1)</f>
        <v>7553.06598224018</v>
      </c>
      <c r="P386" s="10" t="n">
        <f aca="false">N386-O386</f>
        <v>-4725.16826717298</v>
      </c>
      <c r="Q386" s="10" t="n">
        <f aca="false">Q385*(1+Inputs!$B$42)-U386+MAX(P386,0)</f>
        <v>1748811.30191898</v>
      </c>
      <c r="R386" s="10" t="n">
        <f aca="false">R385+Q385*Inputs!$B$48-U386+MAX(P386,0)</f>
        <v>464210.935665462</v>
      </c>
      <c r="S386" s="10" t="n">
        <f aca="false">S385*(1+Inputs!$B$42)-V386+MAX(-P386,0)</f>
        <v>295698.180089519</v>
      </c>
      <c r="T386" s="10" t="n">
        <f aca="false">T385+S385*Inputs!$B$48-V386+MAX(-P386,0)</f>
        <v>236355.799673137</v>
      </c>
      <c r="U386" s="10" t="n">
        <f aca="false">Q385*Inputs!$B$48*Inputs!$B$29</f>
        <v>239.142290798393</v>
      </c>
      <c r="V386" s="10" t="n">
        <f aca="false">S385*Inputs!$B$48*Inputs!$B$29</f>
        <v>39.7892857458943</v>
      </c>
    </row>
    <row r="387" customFormat="false" ht="15" hidden="false" customHeight="false" outlineLevel="0" collapsed="false">
      <c r="A387" s="16" t="n">
        <v>386</v>
      </c>
      <c r="B387" s="16" t="n">
        <f aca="false">ROUNDUP(A387/12,0)</f>
        <v>33</v>
      </c>
      <c r="C387" s="10" t="n">
        <f aca="false">F386</f>
        <v>1.28693500300869E-010</v>
      </c>
      <c r="D387" s="10" t="n">
        <f aca="false">IF(AND(A387&lt;=Inputs!$B$9*12,C387&gt;0.000001),C387*Inputs!$B$10/12,0)</f>
        <v>0</v>
      </c>
      <c r="E387" s="10" t="n">
        <f aca="false">IF(AND(A387&lt;=Inputs!$B$9*12,C387&gt;0.000001),MIN(C387,Inputs!$B$41-D387),0)</f>
        <v>0</v>
      </c>
      <c r="F387" s="10" t="n">
        <f aca="false">C387-E387</f>
        <v>1.28693500300869E-010</v>
      </c>
      <c r="G387" s="10" t="n">
        <f aca="false">IF(AND(Inputs!$B$43=1,C387&gt;0.78*Inputs!$B$7,A387&lt;=Inputs!$B$9*6),Inputs!$B$16*Inputs!$B$39/12,0)</f>
        <v>0</v>
      </c>
      <c r="H387" s="10" t="n">
        <f aca="false">IF(B387=1,Inputs!$B$7,INDEX(Annual!$AC$2:$AC$51,B387-1))</f>
        <v>1754029.37342289</v>
      </c>
      <c r="I387" s="10" t="n">
        <f aca="false">Inputs!$B$12*IF(Inputs!$B$35="",H387,MIN(H387,Inputs!$B$7*(1+Inputs!$B$35)^(B387-1)))/12</f>
        <v>1315.52203006717</v>
      </c>
      <c r="J387" s="10" t="n">
        <f aca="false">Inputs!$B$13*Inputs!$B$7*(1+Inputs!$B$22)^(B387-1)/12</f>
        <v>504.125228333342</v>
      </c>
      <c r="K387" s="10" t="n">
        <f aca="false">Inputs!$B$14*Inputs!$B$7*(1+Inputs!$B$22)^(B387-1)/12</f>
        <v>1008.25045666668</v>
      </c>
      <c r="L387" s="10" t="n">
        <f aca="false">Inputs!$B$15*(1+Inputs!$B$22)^(B387-1)</f>
        <v>0</v>
      </c>
      <c r="M387" s="10" t="n">
        <f aca="false">INDEX(Annual!$N$2:$N$51,B387)/12</f>
        <v>0</v>
      </c>
      <c r="N387" s="10" t="n">
        <f aca="false">D387+E387+G387+I387+J387+K387+L387-M387</f>
        <v>2827.8977150672</v>
      </c>
      <c r="O387" s="10" t="n">
        <f aca="false">Inputs!$B$17*(1+Inputs!$B$18)^(B387-1)+Inputs!$B$19*(1+Inputs!$B$22)^(B387-1)</f>
        <v>7553.06598224018</v>
      </c>
      <c r="P387" s="10" t="n">
        <f aca="false">N387-O387</f>
        <v>-4725.16826717298</v>
      </c>
      <c r="Q387" s="10" t="n">
        <f aca="false">Q386*(1+Inputs!$B$42)-U387+MAX(P387,0)</f>
        <v>1758458.87372115</v>
      </c>
      <c r="R387" s="10" t="n">
        <f aca="false">R386+Q386*Inputs!$B$48-U387+MAX(P387,0)</f>
        <v>465573.551138208</v>
      </c>
      <c r="S387" s="10" t="n">
        <f aca="false">S386*(1+Inputs!$B$42)-V387+MAX(-P387,0)</f>
        <v>302054.610357947</v>
      </c>
      <c r="T387" s="10" t="n">
        <f aca="false">T386+S386*Inputs!$B$48-V387+MAX(-P387,0)</f>
        <v>241311.36610563</v>
      </c>
      <c r="U387" s="10" t="n">
        <f aca="false">Q386*Inputs!$B$48*Inputs!$B$29</f>
        <v>240.461554013859</v>
      </c>
      <c r="V387" s="10" t="n">
        <f aca="false">S386*Inputs!$B$48*Inputs!$B$29</f>
        <v>40.6584997623088</v>
      </c>
    </row>
    <row r="388" customFormat="false" ht="15" hidden="false" customHeight="false" outlineLevel="0" collapsed="false">
      <c r="A388" s="16" t="n">
        <v>387</v>
      </c>
      <c r="B388" s="16" t="n">
        <f aca="false">ROUNDUP(A388/12,0)</f>
        <v>33</v>
      </c>
      <c r="C388" s="10" t="n">
        <f aca="false">F387</f>
        <v>1.28693500300869E-010</v>
      </c>
      <c r="D388" s="10" t="n">
        <f aca="false">IF(AND(A388&lt;=Inputs!$B$9*12,C388&gt;0.000001),C388*Inputs!$B$10/12,0)</f>
        <v>0</v>
      </c>
      <c r="E388" s="10" t="n">
        <f aca="false">IF(AND(A388&lt;=Inputs!$B$9*12,C388&gt;0.000001),MIN(C388,Inputs!$B$41-D388),0)</f>
        <v>0</v>
      </c>
      <c r="F388" s="10" t="n">
        <f aca="false">C388-E388</f>
        <v>1.28693500300869E-010</v>
      </c>
      <c r="G388" s="10" t="n">
        <f aca="false">IF(AND(Inputs!$B$43=1,C388&gt;0.78*Inputs!$B$7,A388&lt;=Inputs!$B$9*6),Inputs!$B$16*Inputs!$B$39/12,0)</f>
        <v>0</v>
      </c>
      <c r="H388" s="10" t="n">
        <f aca="false">IF(B388=1,Inputs!$B$7,INDEX(Annual!$AC$2:$AC$51,B388-1))</f>
        <v>1754029.37342289</v>
      </c>
      <c r="I388" s="10" t="n">
        <f aca="false">Inputs!$B$12*IF(Inputs!$B$35="",H388,MIN(H388,Inputs!$B$7*(1+Inputs!$B$35)^(B388-1)))/12</f>
        <v>1315.52203006717</v>
      </c>
      <c r="J388" s="10" t="n">
        <f aca="false">Inputs!$B$13*Inputs!$B$7*(1+Inputs!$B$22)^(B388-1)/12</f>
        <v>504.125228333342</v>
      </c>
      <c r="K388" s="10" t="n">
        <f aca="false">Inputs!$B$14*Inputs!$B$7*(1+Inputs!$B$22)^(B388-1)/12</f>
        <v>1008.25045666668</v>
      </c>
      <c r="L388" s="10" t="n">
        <f aca="false">Inputs!$B$15*(1+Inputs!$B$22)^(B388-1)</f>
        <v>0</v>
      </c>
      <c r="M388" s="10" t="n">
        <f aca="false">INDEX(Annual!$N$2:$N$51,B388)/12</f>
        <v>0</v>
      </c>
      <c r="N388" s="10" t="n">
        <f aca="false">D388+E388+G388+I388+J388+K388+L388-M388</f>
        <v>2827.8977150672</v>
      </c>
      <c r="O388" s="10" t="n">
        <f aca="false">Inputs!$B$17*(1+Inputs!$B$18)^(B388-1)+Inputs!$B$19*(1+Inputs!$B$22)^(B388-1)</f>
        <v>7553.06598224018</v>
      </c>
      <c r="P388" s="10" t="n">
        <f aca="false">N388-O388</f>
        <v>-4725.16826717298</v>
      </c>
      <c r="Q388" s="10" t="n">
        <f aca="false">Q387*(1+Inputs!$B$42)-U388+MAX(P388,0)</f>
        <v>1768159.6677558</v>
      </c>
      <c r="R388" s="10" t="n">
        <f aca="false">R387+Q387*Inputs!$B$48-U388+MAX(P388,0)</f>
        <v>466943.683677315</v>
      </c>
      <c r="S388" s="10" t="n">
        <f aca="false">S387*(1+Inputs!$B$42)-V388+MAX(-P388,0)</f>
        <v>308446.106798095</v>
      </c>
      <c r="T388" s="10" t="n">
        <f aca="false">T387+S387*Inputs!$B$48-V388+MAX(-P388,0)</f>
        <v>246271.885256707</v>
      </c>
      <c r="U388" s="10" t="n">
        <f aca="false">Q387*Inputs!$B$48*Inputs!$B$29</f>
        <v>241.788095136658</v>
      </c>
      <c r="V388" s="10" t="n">
        <f aca="false">S387*Inputs!$B$48*Inputs!$B$29</f>
        <v>41.5325089242177</v>
      </c>
    </row>
    <row r="389" customFormat="false" ht="15" hidden="false" customHeight="false" outlineLevel="0" collapsed="false">
      <c r="A389" s="16" t="n">
        <v>388</v>
      </c>
      <c r="B389" s="16" t="n">
        <f aca="false">ROUNDUP(A389/12,0)</f>
        <v>33</v>
      </c>
      <c r="C389" s="10" t="n">
        <f aca="false">F388</f>
        <v>1.28693500300869E-010</v>
      </c>
      <c r="D389" s="10" t="n">
        <f aca="false">IF(AND(A389&lt;=Inputs!$B$9*12,C389&gt;0.000001),C389*Inputs!$B$10/12,0)</f>
        <v>0</v>
      </c>
      <c r="E389" s="10" t="n">
        <f aca="false">IF(AND(A389&lt;=Inputs!$B$9*12,C389&gt;0.000001),MIN(C389,Inputs!$B$41-D389),0)</f>
        <v>0</v>
      </c>
      <c r="F389" s="10" t="n">
        <f aca="false">C389-E389</f>
        <v>1.28693500300869E-010</v>
      </c>
      <c r="G389" s="10" t="n">
        <f aca="false">IF(AND(Inputs!$B$43=1,C389&gt;0.78*Inputs!$B$7,A389&lt;=Inputs!$B$9*6),Inputs!$B$16*Inputs!$B$39/12,0)</f>
        <v>0</v>
      </c>
      <c r="H389" s="10" t="n">
        <f aca="false">IF(B389=1,Inputs!$B$7,INDEX(Annual!$AC$2:$AC$51,B389-1))</f>
        <v>1754029.37342289</v>
      </c>
      <c r="I389" s="10" t="n">
        <f aca="false">Inputs!$B$12*IF(Inputs!$B$35="",H389,MIN(H389,Inputs!$B$7*(1+Inputs!$B$35)^(B389-1)))/12</f>
        <v>1315.52203006717</v>
      </c>
      <c r="J389" s="10" t="n">
        <f aca="false">Inputs!$B$13*Inputs!$B$7*(1+Inputs!$B$22)^(B389-1)/12</f>
        <v>504.125228333342</v>
      </c>
      <c r="K389" s="10" t="n">
        <f aca="false">Inputs!$B$14*Inputs!$B$7*(1+Inputs!$B$22)^(B389-1)/12</f>
        <v>1008.25045666668</v>
      </c>
      <c r="L389" s="10" t="n">
        <f aca="false">Inputs!$B$15*(1+Inputs!$B$22)^(B389-1)</f>
        <v>0</v>
      </c>
      <c r="M389" s="10" t="n">
        <f aca="false">INDEX(Annual!$N$2:$N$51,B389)/12</f>
        <v>0</v>
      </c>
      <c r="N389" s="10" t="n">
        <f aca="false">D389+E389+G389+I389+J389+K389+L389-M389</f>
        <v>2827.8977150672</v>
      </c>
      <c r="O389" s="10" t="n">
        <f aca="false">Inputs!$B$17*(1+Inputs!$B$18)^(B389-1)+Inputs!$B$19*(1+Inputs!$B$22)^(B389-1)</f>
        <v>7553.06598224018</v>
      </c>
      <c r="P389" s="10" t="n">
        <f aca="false">N389-O389</f>
        <v>-4725.16826717298</v>
      </c>
      <c r="Q389" s="10" t="n">
        <f aca="false">Q388*(1+Inputs!$B$42)-U389+MAX(P389,0)</f>
        <v>1777913.97763113</v>
      </c>
      <c r="R389" s="10" t="n">
        <f aca="false">R388+Q388*Inputs!$B$48-U389+MAX(P389,0)</f>
        <v>468321.374751775</v>
      </c>
      <c r="S389" s="10" t="n">
        <f aca="false">S388*(1+Inputs!$B$42)-V389+MAX(-P389,0)</f>
        <v>314872.862857599</v>
      </c>
      <c r="T389" s="10" t="n">
        <f aca="false">T388+S388*Inputs!$B$48-V389+MAX(-P389,0)</f>
        <v>251237.38444876</v>
      </c>
      <c r="U389" s="10" t="n">
        <f aca="false">Q388*Inputs!$B$48*Inputs!$B$29</f>
        <v>243.121954316423</v>
      </c>
      <c r="V389" s="10" t="n">
        <f aca="false">S388*Inputs!$B$48*Inputs!$B$29</f>
        <v>42.4113396847381</v>
      </c>
    </row>
    <row r="390" customFormat="false" ht="15" hidden="false" customHeight="false" outlineLevel="0" collapsed="false">
      <c r="A390" s="16" t="n">
        <v>389</v>
      </c>
      <c r="B390" s="16" t="n">
        <f aca="false">ROUNDUP(A390/12,0)</f>
        <v>33</v>
      </c>
      <c r="C390" s="10" t="n">
        <f aca="false">F389</f>
        <v>1.28693500300869E-010</v>
      </c>
      <c r="D390" s="10" t="n">
        <f aca="false">IF(AND(A390&lt;=Inputs!$B$9*12,C390&gt;0.000001),C390*Inputs!$B$10/12,0)</f>
        <v>0</v>
      </c>
      <c r="E390" s="10" t="n">
        <f aca="false">IF(AND(A390&lt;=Inputs!$B$9*12,C390&gt;0.000001),MIN(C390,Inputs!$B$41-D390),0)</f>
        <v>0</v>
      </c>
      <c r="F390" s="10" t="n">
        <f aca="false">C390-E390</f>
        <v>1.28693500300869E-010</v>
      </c>
      <c r="G390" s="10" t="n">
        <f aca="false">IF(AND(Inputs!$B$43=1,C390&gt;0.78*Inputs!$B$7,A390&lt;=Inputs!$B$9*6),Inputs!$B$16*Inputs!$B$39/12,0)</f>
        <v>0</v>
      </c>
      <c r="H390" s="10" t="n">
        <f aca="false">IF(B390=1,Inputs!$B$7,INDEX(Annual!$AC$2:$AC$51,B390-1))</f>
        <v>1754029.37342289</v>
      </c>
      <c r="I390" s="10" t="n">
        <f aca="false">Inputs!$B$12*IF(Inputs!$B$35="",H390,MIN(H390,Inputs!$B$7*(1+Inputs!$B$35)^(B390-1)))/12</f>
        <v>1315.52203006717</v>
      </c>
      <c r="J390" s="10" t="n">
        <f aca="false">Inputs!$B$13*Inputs!$B$7*(1+Inputs!$B$22)^(B390-1)/12</f>
        <v>504.125228333342</v>
      </c>
      <c r="K390" s="10" t="n">
        <f aca="false">Inputs!$B$14*Inputs!$B$7*(1+Inputs!$B$22)^(B390-1)/12</f>
        <v>1008.25045666668</v>
      </c>
      <c r="L390" s="10" t="n">
        <f aca="false">Inputs!$B$15*(1+Inputs!$B$22)^(B390-1)</f>
        <v>0</v>
      </c>
      <c r="M390" s="10" t="n">
        <f aca="false">INDEX(Annual!$N$2:$N$51,B390)/12</f>
        <v>0</v>
      </c>
      <c r="N390" s="10" t="n">
        <f aca="false">D390+E390+G390+I390+J390+K390+L390-M390</f>
        <v>2827.8977150672</v>
      </c>
      <c r="O390" s="10" t="n">
        <f aca="false">Inputs!$B$17*(1+Inputs!$B$18)^(B390-1)+Inputs!$B$19*(1+Inputs!$B$22)^(B390-1)</f>
        <v>7553.06598224018</v>
      </c>
      <c r="P390" s="10" t="n">
        <f aca="false">N390-O390</f>
        <v>-4725.16826717298</v>
      </c>
      <c r="Q390" s="10" t="n">
        <f aca="false">Q389*(1+Inputs!$B$42)-U390+MAX(P390,0)</f>
        <v>1787722.09857503</v>
      </c>
      <c r="R390" s="10" t="n">
        <f aca="false">R389+Q389*Inputs!$B$48-U390+MAX(P390,0)</f>
        <v>469706.666059346</v>
      </c>
      <c r="S390" s="10" t="n">
        <f aca="false">S389*(1+Inputs!$B$42)-V390+MAX(-P390,0)</f>
        <v>321335.073051275</v>
      </c>
      <c r="T390" s="10" t="n">
        <f aca="false">T389+S389*Inputs!$B$48-V390+MAX(-P390,0)</f>
        <v>256207.891154909</v>
      </c>
      <c r="U390" s="10" t="n">
        <f aca="false">Q389*Inputs!$B$48*Inputs!$B$29</f>
        <v>244.46317192428</v>
      </c>
      <c r="V390" s="10" t="n">
        <f aca="false">S389*Inputs!$B$48*Inputs!$B$29</f>
        <v>43.2950186429199</v>
      </c>
    </row>
    <row r="391" customFormat="false" ht="15" hidden="false" customHeight="false" outlineLevel="0" collapsed="false">
      <c r="A391" s="16" t="n">
        <v>390</v>
      </c>
      <c r="B391" s="16" t="n">
        <f aca="false">ROUNDUP(A391/12,0)</f>
        <v>33</v>
      </c>
      <c r="C391" s="10" t="n">
        <f aca="false">F390</f>
        <v>1.28693500300869E-010</v>
      </c>
      <c r="D391" s="10" t="n">
        <f aca="false">IF(AND(A391&lt;=Inputs!$B$9*12,C391&gt;0.000001),C391*Inputs!$B$10/12,0)</f>
        <v>0</v>
      </c>
      <c r="E391" s="10" t="n">
        <f aca="false">IF(AND(A391&lt;=Inputs!$B$9*12,C391&gt;0.000001),MIN(C391,Inputs!$B$41-D391),0)</f>
        <v>0</v>
      </c>
      <c r="F391" s="10" t="n">
        <f aca="false">C391-E391</f>
        <v>1.28693500300869E-010</v>
      </c>
      <c r="G391" s="10" t="n">
        <f aca="false">IF(AND(Inputs!$B$43=1,C391&gt;0.78*Inputs!$B$7,A391&lt;=Inputs!$B$9*6),Inputs!$B$16*Inputs!$B$39/12,0)</f>
        <v>0</v>
      </c>
      <c r="H391" s="10" t="n">
        <f aca="false">IF(B391=1,Inputs!$B$7,INDEX(Annual!$AC$2:$AC$51,B391-1))</f>
        <v>1754029.37342289</v>
      </c>
      <c r="I391" s="10" t="n">
        <f aca="false">Inputs!$B$12*IF(Inputs!$B$35="",H391,MIN(H391,Inputs!$B$7*(1+Inputs!$B$35)^(B391-1)))/12</f>
        <v>1315.52203006717</v>
      </c>
      <c r="J391" s="10" t="n">
        <f aca="false">Inputs!$B$13*Inputs!$B$7*(1+Inputs!$B$22)^(B391-1)/12</f>
        <v>504.125228333342</v>
      </c>
      <c r="K391" s="10" t="n">
        <f aca="false">Inputs!$B$14*Inputs!$B$7*(1+Inputs!$B$22)^(B391-1)/12</f>
        <v>1008.25045666668</v>
      </c>
      <c r="L391" s="10" t="n">
        <f aca="false">Inputs!$B$15*(1+Inputs!$B$22)^(B391-1)</f>
        <v>0</v>
      </c>
      <c r="M391" s="10" t="n">
        <f aca="false">INDEX(Annual!$N$2:$N$51,B391)/12</f>
        <v>0</v>
      </c>
      <c r="N391" s="10" t="n">
        <f aca="false">D391+E391+G391+I391+J391+K391+L391-M391</f>
        <v>2827.8977150672</v>
      </c>
      <c r="O391" s="10" t="n">
        <f aca="false">Inputs!$B$17*(1+Inputs!$B$18)^(B391-1)+Inputs!$B$19*(1+Inputs!$B$22)^(B391-1)</f>
        <v>7553.06598224018</v>
      </c>
      <c r="P391" s="10" t="n">
        <f aca="false">N391-O391</f>
        <v>-4725.16826717298</v>
      </c>
      <c r="Q391" s="10" t="n">
        <f aca="false">Q390*(1+Inputs!$B$42)-U391+MAX(P391,0)</f>
        <v>1797584.32744409</v>
      </c>
      <c r="R391" s="10" t="n">
        <f aca="false">R390+Q390*Inputs!$B$48-U391+MAX(P391,0)</f>
        <v>471099.599527819</v>
      </c>
      <c r="S391" s="10" t="n">
        <f aca="false">S390*(1+Inputs!$B$42)-V391+MAX(-P391,0)</f>
        <v>327832.932967008</v>
      </c>
      <c r="T391" s="10" t="n">
        <f aca="false">T390+S390*Inputs!$B$48-V391+MAX(-P391,0)</f>
        <v>261183.432999835</v>
      </c>
      <c r="U391" s="10" t="n">
        <f aca="false">Q390*Inputs!$B$48*Inputs!$B$29</f>
        <v>245.811788554066</v>
      </c>
      <c r="V391" s="10" t="n">
        <f aca="false">S390*Inputs!$B$48*Inputs!$B$29</f>
        <v>44.1835725445503</v>
      </c>
    </row>
    <row r="392" customFormat="false" ht="15" hidden="false" customHeight="false" outlineLevel="0" collapsed="false">
      <c r="A392" s="16" t="n">
        <v>391</v>
      </c>
      <c r="B392" s="16" t="n">
        <f aca="false">ROUNDUP(A392/12,0)</f>
        <v>33</v>
      </c>
      <c r="C392" s="10" t="n">
        <f aca="false">F391</f>
        <v>1.28693500300869E-010</v>
      </c>
      <c r="D392" s="10" t="n">
        <f aca="false">IF(AND(A392&lt;=Inputs!$B$9*12,C392&gt;0.000001),C392*Inputs!$B$10/12,0)</f>
        <v>0</v>
      </c>
      <c r="E392" s="10" t="n">
        <f aca="false">IF(AND(A392&lt;=Inputs!$B$9*12,C392&gt;0.000001),MIN(C392,Inputs!$B$41-D392),0)</f>
        <v>0</v>
      </c>
      <c r="F392" s="10" t="n">
        <f aca="false">C392-E392</f>
        <v>1.28693500300869E-010</v>
      </c>
      <c r="G392" s="10" t="n">
        <f aca="false">IF(AND(Inputs!$B$43=1,C392&gt;0.78*Inputs!$B$7,A392&lt;=Inputs!$B$9*6),Inputs!$B$16*Inputs!$B$39/12,0)</f>
        <v>0</v>
      </c>
      <c r="H392" s="10" t="n">
        <f aca="false">IF(B392=1,Inputs!$B$7,INDEX(Annual!$AC$2:$AC$51,B392-1))</f>
        <v>1754029.37342289</v>
      </c>
      <c r="I392" s="10" t="n">
        <f aca="false">Inputs!$B$12*IF(Inputs!$B$35="",H392,MIN(H392,Inputs!$B$7*(1+Inputs!$B$35)^(B392-1)))/12</f>
        <v>1315.52203006717</v>
      </c>
      <c r="J392" s="10" t="n">
        <f aca="false">Inputs!$B$13*Inputs!$B$7*(1+Inputs!$B$22)^(B392-1)/12</f>
        <v>504.125228333342</v>
      </c>
      <c r="K392" s="10" t="n">
        <f aca="false">Inputs!$B$14*Inputs!$B$7*(1+Inputs!$B$22)^(B392-1)/12</f>
        <v>1008.25045666668</v>
      </c>
      <c r="L392" s="10" t="n">
        <f aca="false">Inputs!$B$15*(1+Inputs!$B$22)^(B392-1)</f>
        <v>0</v>
      </c>
      <c r="M392" s="10" t="n">
        <f aca="false">INDEX(Annual!$N$2:$N$51,B392)/12</f>
        <v>0</v>
      </c>
      <c r="N392" s="10" t="n">
        <f aca="false">D392+E392+G392+I392+J392+K392+L392-M392</f>
        <v>2827.8977150672</v>
      </c>
      <c r="O392" s="10" t="n">
        <f aca="false">Inputs!$B$17*(1+Inputs!$B$18)^(B392-1)+Inputs!$B$19*(1+Inputs!$B$22)^(B392-1)</f>
        <v>7553.06598224018</v>
      </c>
      <c r="P392" s="10" t="n">
        <f aca="false">N392-O392</f>
        <v>-4725.16826717298</v>
      </c>
      <c r="Q392" s="10" t="n">
        <f aca="false">Q391*(1+Inputs!$B$42)-U392+MAX(P392,0)</f>
        <v>1807500.96273256</v>
      </c>
      <c r="R392" s="10" t="n">
        <f aca="false">R391+Q391*Inputs!$B$48-U392+MAX(P392,0)</f>
        <v>472500.217316286</v>
      </c>
      <c r="S392" s="10" t="n">
        <f aca="false">S391*(1+Inputs!$B$42)-V392+MAX(-P392,0)</f>
        <v>334366.639271672</v>
      </c>
      <c r="T392" s="10" t="n">
        <f aca="false">T391+S391*Inputs!$B$48-V392+MAX(-P392,0)</f>
        <v>266164.037760611</v>
      </c>
      <c r="U392" s="10" t="n">
        <f aca="false">Q391*Inputs!$B$48*Inputs!$B$29</f>
        <v>247.167845023563</v>
      </c>
      <c r="V392" s="10" t="n">
        <f aca="false">S391*Inputs!$B$48*Inputs!$B$29</f>
        <v>45.0770282829635</v>
      </c>
    </row>
    <row r="393" customFormat="false" ht="15" hidden="false" customHeight="false" outlineLevel="0" collapsed="false">
      <c r="A393" s="16" t="n">
        <v>392</v>
      </c>
      <c r="B393" s="16" t="n">
        <f aca="false">ROUNDUP(A393/12,0)</f>
        <v>33</v>
      </c>
      <c r="C393" s="10" t="n">
        <f aca="false">F392</f>
        <v>1.28693500300869E-010</v>
      </c>
      <c r="D393" s="10" t="n">
        <f aca="false">IF(AND(A393&lt;=Inputs!$B$9*12,C393&gt;0.000001),C393*Inputs!$B$10/12,0)</f>
        <v>0</v>
      </c>
      <c r="E393" s="10" t="n">
        <f aca="false">IF(AND(A393&lt;=Inputs!$B$9*12,C393&gt;0.000001),MIN(C393,Inputs!$B$41-D393),0)</f>
        <v>0</v>
      </c>
      <c r="F393" s="10" t="n">
        <f aca="false">C393-E393</f>
        <v>1.28693500300869E-010</v>
      </c>
      <c r="G393" s="10" t="n">
        <f aca="false">IF(AND(Inputs!$B$43=1,C393&gt;0.78*Inputs!$B$7,A393&lt;=Inputs!$B$9*6),Inputs!$B$16*Inputs!$B$39/12,0)</f>
        <v>0</v>
      </c>
      <c r="H393" s="10" t="n">
        <f aca="false">IF(B393=1,Inputs!$B$7,INDEX(Annual!$AC$2:$AC$51,B393-1))</f>
        <v>1754029.37342289</v>
      </c>
      <c r="I393" s="10" t="n">
        <f aca="false">Inputs!$B$12*IF(Inputs!$B$35="",H393,MIN(H393,Inputs!$B$7*(1+Inputs!$B$35)^(B393-1)))/12</f>
        <v>1315.52203006717</v>
      </c>
      <c r="J393" s="10" t="n">
        <f aca="false">Inputs!$B$13*Inputs!$B$7*(1+Inputs!$B$22)^(B393-1)/12</f>
        <v>504.125228333342</v>
      </c>
      <c r="K393" s="10" t="n">
        <f aca="false">Inputs!$B$14*Inputs!$B$7*(1+Inputs!$B$22)^(B393-1)/12</f>
        <v>1008.25045666668</v>
      </c>
      <c r="L393" s="10" t="n">
        <f aca="false">Inputs!$B$15*(1+Inputs!$B$22)^(B393-1)</f>
        <v>0</v>
      </c>
      <c r="M393" s="10" t="n">
        <f aca="false">INDEX(Annual!$N$2:$N$51,B393)/12</f>
        <v>0</v>
      </c>
      <c r="N393" s="10" t="n">
        <f aca="false">D393+E393+G393+I393+J393+K393+L393-M393</f>
        <v>2827.8977150672</v>
      </c>
      <c r="O393" s="10" t="n">
        <f aca="false">Inputs!$B$17*(1+Inputs!$B$18)^(B393-1)+Inputs!$B$19*(1+Inputs!$B$22)^(B393-1)</f>
        <v>7553.06598224018</v>
      </c>
      <c r="P393" s="10" t="n">
        <f aca="false">N393-O393</f>
        <v>-4725.16826717298</v>
      </c>
      <c r="Q393" s="10" t="n">
        <f aca="false">Q392*(1+Inputs!$B$42)-U393+MAX(P393,0)</f>
        <v>1817472.30458135</v>
      </c>
      <c r="R393" s="10" t="n">
        <f aca="false">R392+Q392*Inputs!$B$48-U393+MAX(P393,0)</f>
        <v>473908.561816415</v>
      </c>
      <c r="S393" s="10" t="n">
        <f aca="false">S392*(1+Inputs!$B$42)-V393+MAX(-P393,0)</f>
        <v>340936.389717086</v>
      </c>
      <c r="T393" s="10" t="n">
        <f aca="false">T392+S392*Inputs!$B$48-V393+MAX(-P393,0)</f>
        <v>271149.73336755</v>
      </c>
      <c r="U393" s="10" t="n">
        <f aca="false">Q392*Inputs!$B$48*Inputs!$B$29</f>
        <v>248.531382375727</v>
      </c>
      <c r="V393" s="10" t="n">
        <f aca="false">S392*Inputs!$B$48*Inputs!$B$29</f>
        <v>45.975412899855</v>
      </c>
    </row>
    <row r="394" customFormat="false" ht="15" hidden="false" customHeight="false" outlineLevel="0" collapsed="false">
      <c r="A394" s="16" t="n">
        <v>393</v>
      </c>
      <c r="B394" s="16" t="n">
        <f aca="false">ROUNDUP(A394/12,0)</f>
        <v>33</v>
      </c>
      <c r="C394" s="10" t="n">
        <f aca="false">F393</f>
        <v>1.28693500300869E-010</v>
      </c>
      <c r="D394" s="10" t="n">
        <f aca="false">IF(AND(A394&lt;=Inputs!$B$9*12,C394&gt;0.000001),C394*Inputs!$B$10/12,0)</f>
        <v>0</v>
      </c>
      <c r="E394" s="10" t="n">
        <f aca="false">IF(AND(A394&lt;=Inputs!$B$9*12,C394&gt;0.000001),MIN(C394,Inputs!$B$41-D394),0)</f>
        <v>0</v>
      </c>
      <c r="F394" s="10" t="n">
        <f aca="false">C394-E394</f>
        <v>1.28693500300869E-010</v>
      </c>
      <c r="G394" s="10" t="n">
        <f aca="false">IF(AND(Inputs!$B$43=1,C394&gt;0.78*Inputs!$B$7,A394&lt;=Inputs!$B$9*6),Inputs!$B$16*Inputs!$B$39/12,0)</f>
        <v>0</v>
      </c>
      <c r="H394" s="10" t="n">
        <f aca="false">IF(B394=1,Inputs!$B$7,INDEX(Annual!$AC$2:$AC$51,B394-1))</f>
        <v>1754029.37342289</v>
      </c>
      <c r="I394" s="10" t="n">
        <f aca="false">Inputs!$B$12*IF(Inputs!$B$35="",H394,MIN(H394,Inputs!$B$7*(1+Inputs!$B$35)^(B394-1)))/12</f>
        <v>1315.52203006717</v>
      </c>
      <c r="J394" s="10" t="n">
        <f aca="false">Inputs!$B$13*Inputs!$B$7*(1+Inputs!$B$22)^(B394-1)/12</f>
        <v>504.125228333342</v>
      </c>
      <c r="K394" s="10" t="n">
        <f aca="false">Inputs!$B$14*Inputs!$B$7*(1+Inputs!$B$22)^(B394-1)/12</f>
        <v>1008.25045666668</v>
      </c>
      <c r="L394" s="10" t="n">
        <f aca="false">Inputs!$B$15*(1+Inputs!$B$22)^(B394-1)</f>
        <v>0</v>
      </c>
      <c r="M394" s="10" t="n">
        <f aca="false">INDEX(Annual!$N$2:$N$51,B394)/12</f>
        <v>0</v>
      </c>
      <c r="N394" s="10" t="n">
        <f aca="false">D394+E394+G394+I394+J394+K394+L394-M394</f>
        <v>2827.8977150672</v>
      </c>
      <c r="O394" s="10" t="n">
        <f aca="false">Inputs!$B$17*(1+Inputs!$B$18)^(B394-1)+Inputs!$B$19*(1+Inputs!$B$22)^(B394-1)</f>
        <v>7553.06598224018</v>
      </c>
      <c r="P394" s="10" t="n">
        <f aca="false">N394-O394</f>
        <v>-4725.16826717298</v>
      </c>
      <c r="Q394" s="10" t="n">
        <f aca="false">Q393*(1+Inputs!$B$42)-U394+MAX(P394,0)</f>
        <v>1827498.65478716</v>
      </c>
      <c r="R394" s="10" t="n">
        <f aca="false">R393+Q393*Inputs!$B$48-U394+MAX(P394,0)</f>
        <v>475324.675653735</v>
      </c>
      <c r="S394" s="10" t="n">
        <f aca="false">S393*(1+Inputs!$B$42)-V394+MAX(-P394,0)</f>
        <v>347542.38314599</v>
      </c>
      <c r="T394" s="10" t="n">
        <f aca="false">T393+S393*Inputs!$B$48-V394+MAX(-P394,0)</f>
        <v>276140.547905044</v>
      </c>
      <c r="U394" s="10" t="n">
        <f aca="false">Q393*Inputs!$B$48*Inputs!$B$29</f>
        <v>249.902441879936</v>
      </c>
      <c r="V394" s="10" t="n">
        <f aca="false">S393*Inputs!$B$48*Inputs!$B$29</f>
        <v>46.8787535860993</v>
      </c>
    </row>
    <row r="395" customFormat="false" ht="15" hidden="false" customHeight="false" outlineLevel="0" collapsed="false">
      <c r="A395" s="16" t="n">
        <v>394</v>
      </c>
      <c r="B395" s="16" t="n">
        <f aca="false">ROUNDUP(A395/12,0)</f>
        <v>33</v>
      </c>
      <c r="C395" s="10" t="n">
        <f aca="false">F394</f>
        <v>1.28693500300869E-010</v>
      </c>
      <c r="D395" s="10" t="n">
        <f aca="false">IF(AND(A395&lt;=Inputs!$B$9*12,C395&gt;0.000001),C395*Inputs!$B$10/12,0)</f>
        <v>0</v>
      </c>
      <c r="E395" s="10" t="n">
        <f aca="false">IF(AND(A395&lt;=Inputs!$B$9*12,C395&gt;0.000001),MIN(C395,Inputs!$B$41-D395),0)</f>
        <v>0</v>
      </c>
      <c r="F395" s="10" t="n">
        <f aca="false">C395-E395</f>
        <v>1.28693500300869E-010</v>
      </c>
      <c r="G395" s="10" t="n">
        <f aca="false">IF(AND(Inputs!$B$43=1,C395&gt;0.78*Inputs!$B$7,A395&lt;=Inputs!$B$9*6),Inputs!$B$16*Inputs!$B$39/12,0)</f>
        <v>0</v>
      </c>
      <c r="H395" s="10" t="n">
        <f aca="false">IF(B395=1,Inputs!$B$7,INDEX(Annual!$AC$2:$AC$51,B395-1))</f>
        <v>1754029.37342289</v>
      </c>
      <c r="I395" s="10" t="n">
        <f aca="false">Inputs!$B$12*IF(Inputs!$B$35="",H395,MIN(H395,Inputs!$B$7*(1+Inputs!$B$35)^(B395-1)))/12</f>
        <v>1315.52203006717</v>
      </c>
      <c r="J395" s="10" t="n">
        <f aca="false">Inputs!$B$13*Inputs!$B$7*(1+Inputs!$B$22)^(B395-1)/12</f>
        <v>504.125228333342</v>
      </c>
      <c r="K395" s="10" t="n">
        <f aca="false">Inputs!$B$14*Inputs!$B$7*(1+Inputs!$B$22)^(B395-1)/12</f>
        <v>1008.25045666668</v>
      </c>
      <c r="L395" s="10" t="n">
        <f aca="false">Inputs!$B$15*(1+Inputs!$B$22)^(B395-1)</f>
        <v>0</v>
      </c>
      <c r="M395" s="10" t="n">
        <f aca="false">INDEX(Annual!$N$2:$N$51,B395)/12</f>
        <v>0</v>
      </c>
      <c r="N395" s="10" t="n">
        <f aca="false">D395+E395+G395+I395+J395+K395+L395-M395</f>
        <v>2827.8977150672</v>
      </c>
      <c r="O395" s="10" t="n">
        <f aca="false">Inputs!$B$17*(1+Inputs!$B$18)^(B395-1)+Inputs!$B$19*(1+Inputs!$B$22)^(B395-1)</f>
        <v>7553.06598224018</v>
      </c>
      <c r="P395" s="10" t="n">
        <f aca="false">N395-O395</f>
        <v>-4725.16826717298</v>
      </c>
      <c r="Q395" s="10" t="n">
        <f aca="false">Q394*(1+Inputs!$B$42)-U395+MAX(P395,0)</f>
        <v>1837580.31681158</v>
      </c>
      <c r="R395" s="10" t="n">
        <f aca="false">R394+Q394*Inputs!$B$48-U395+MAX(P395,0)</f>
        <v>476748.601688923</v>
      </c>
      <c r="S395" s="10" t="n">
        <f aca="false">S394*(1+Inputs!$B$42)-V395+MAX(-P395,0)</f>
        <v>354184.819498073</v>
      </c>
      <c r="T395" s="10" t="n">
        <f aca="false">T394+S394*Inputs!$B$48-V395+MAX(-P395,0)</f>
        <v>281136.509612419</v>
      </c>
      <c r="U395" s="10" t="n">
        <f aca="false">Q394*Inputs!$B$48*Inputs!$B$29</f>
        <v>251.281065033234</v>
      </c>
      <c r="V395" s="10" t="n">
        <f aca="false">S394*Inputs!$B$48*Inputs!$B$29</f>
        <v>47.7870776825736</v>
      </c>
    </row>
    <row r="396" customFormat="false" ht="15" hidden="false" customHeight="false" outlineLevel="0" collapsed="false">
      <c r="A396" s="16" t="n">
        <v>395</v>
      </c>
      <c r="B396" s="16" t="n">
        <f aca="false">ROUNDUP(A396/12,0)</f>
        <v>33</v>
      </c>
      <c r="C396" s="10" t="n">
        <f aca="false">F395</f>
        <v>1.28693500300869E-010</v>
      </c>
      <c r="D396" s="10" t="n">
        <f aca="false">IF(AND(A396&lt;=Inputs!$B$9*12,C396&gt;0.000001),C396*Inputs!$B$10/12,0)</f>
        <v>0</v>
      </c>
      <c r="E396" s="10" t="n">
        <f aca="false">IF(AND(A396&lt;=Inputs!$B$9*12,C396&gt;0.000001),MIN(C396,Inputs!$B$41-D396),0)</f>
        <v>0</v>
      </c>
      <c r="F396" s="10" t="n">
        <f aca="false">C396-E396</f>
        <v>1.28693500300869E-010</v>
      </c>
      <c r="G396" s="10" t="n">
        <f aca="false">IF(AND(Inputs!$B$43=1,C396&gt;0.78*Inputs!$B$7,A396&lt;=Inputs!$B$9*6),Inputs!$B$16*Inputs!$B$39/12,0)</f>
        <v>0</v>
      </c>
      <c r="H396" s="10" t="n">
        <f aca="false">IF(B396=1,Inputs!$B$7,INDEX(Annual!$AC$2:$AC$51,B396-1))</f>
        <v>1754029.37342289</v>
      </c>
      <c r="I396" s="10" t="n">
        <f aca="false">Inputs!$B$12*IF(Inputs!$B$35="",H396,MIN(H396,Inputs!$B$7*(1+Inputs!$B$35)^(B396-1)))/12</f>
        <v>1315.52203006717</v>
      </c>
      <c r="J396" s="10" t="n">
        <f aca="false">Inputs!$B$13*Inputs!$B$7*(1+Inputs!$B$22)^(B396-1)/12</f>
        <v>504.125228333342</v>
      </c>
      <c r="K396" s="10" t="n">
        <f aca="false">Inputs!$B$14*Inputs!$B$7*(1+Inputs!$B$22)^(B396-1)/12</f>
        <v>1008.25045666668</v>
      </c>
      <c r="L396" s="10" t="n">
        <f aca="false">Inputs!$B$15*(1+Inputs!$B$22)^(B396-1)</f>
        <v>0</v>
      </c>
      <c r="M396" s="10" t="n">
        <f aca="false">INDEX(Annual!$N$2:$N$51,B396)/12</f>
        <v>0</v>
      </c>
      <c r="N396" s="10" t="n">
        <f aca="false">D396+E396+G396+I396+J396+K396+L396-M396</f>
        <v>2827.8977150672</v>
      </c>
      <c r="O396" s="10" t="n">
        <f aca="false">Inputs!$B$17*(1+Inputs!$B$18)^(B396-1)+Inputs!$B$19*(1+Inputs!$B$22)^(B396-1)</f>
        <v>7553.06598224018</v>
      </c>
      <c r="P396" s="10" t="n">
        <f aca="false">N396-O396</f>
        <v>-4725.16826717298</v>
      </c>
      <c r="Q396" s="10" t="n">
        <f aca="false">Q395*(1+Inputs!$B$42)-U396+MAX(P396,0)</f>
        <v>1847717.5957903</v>
      </c>
      <c r="R396" s="10" t="n">
        <f aca="false">R395+Q395*Inputs!$B$48-U396+MAX(P396,0)</f>
        <v>478180.383019105</v>
      </c>
      <c r="S396" s="10" t="n">
        <f aca="false">S395*(1+Inputs!$B$42)-V396+MAX(-P396,0)</f>
        <v>360863.899816019</v>
      </c>
      <c r="T396" s="10" t="n">
        <f aca="false">T395+S395*Inputs!$B$48-V396+MAX(-P396,0)</f>
        <v>286137.646884784</v>
      </c>
      <c r="U396" s="10" t="n">
        <f aca="false">Q395*Inputs!$B$48*Inputs!$B$29</f>
        <v>252.667293561592</v>
      </c>
      <c r="V396" s="10" t="n">
        <f aca="false">S395*Inputs!$B$48*Inputs!$B$29</f>
        <v>48.7004126809851</v>
      </c>
    </row>
    <row r="397" customFormat="false" ht="15" hidden="false" customHeight="false" outlineLevel="0" collapsed="false">
      <c r="A397" s="16" t="n">
        <v>396</v>
      </c>
      <c r="B397" s="16" t="n">
        <f aca="false">ROUNDUP(A397/12,0)</f>
        <v>33</v>
      </c>
      <c r="C397" s="10" t="n">
        <f aca="false">F396</f>
        <v>1.28693500300869E-010</v>
      </c>
      <c r="D397" s="10" t="n">
        <f aca="false">IF(AND(A397&lt;=Inputs!$B$9*12,C397&gt;0.000001),C397*Inputs!$B$10/12,0)</f>
        <v>0</v>
      </c>
      <c r="E397" s="10" t="n">
        <f aca="false">IF(AND(A397&lt;=Inputs!$B$9*12,C397&gt;0.000001),MIN(C397,Inputs!$B$41-D397),0)</f>
        <v>0</v>
      </c>
      <c r="F397" s="10" t="n">
        <f aca="false">C397-E397</f>
        <v>1.28693500300869E-010</v>
      </c>
      <c r="G397" s="10" t="n">
        <f aca="false">IF(AND(Inputs!$B$43=1,C397&gt;0.78*Inputs!$B$7,A397&lt;=Inputs!$B$9*6),Inputs!$B$16*Inputs!$B$39/12,0)</f>
        <v>0</v>
      </c>
      <c r="H397" s="10" t="n">
        <f aca="false">IF(B397=1,Inputs!$B$7,INDEX(Annual!$AC$2:$AC$51,B397-1))</f>
        <v>1754029.37342289</v>
      </c>
      <c r="I397" s="10" t="n">
        <f aca="false">Inputs!$B$12*IF(Inputs!$B$35="",H397,MIN(H397,Inputs!$B$7*(1+Inputs!$B$35)^(B397-1)))/12</f>
        <v>1315.52203006717</v>
      </c>
      <c r="J397" s="10" t="n">
        <f aca="false">Inputs!$B$13*Inputs!$B$7*(1+Inputs!$B$22)^(B397-1)/12</f>
        <v>504.125228333342</v>
      </c>
      <c r="K397" s="10" t="n">
        <f aca="false">Inputs!$B$14*Inputs!$B$7*(1+Inputs!$B$22)^(B397-1)/12</f>
        <v>1008.25045666668</v>
      </c>
      <c r="L397" s="10" t="n">
        <f aca="false">Inputs!$B$15*(1+Inputs!$B$22)^(B397-1)</f>
        <v>0</v>
      </c>
      <c r="M397" s="10" t="n">
        <f aca="false">INDEX(Annual!$N$2:$N$51,B397)/12</f>
        <v>0</v>
      </c>
      <c r="N397" s="10" t="n">
        <f aca="false">D397+E397+G397+I397+J397+K397+L397-M397</f>
        <v>2827.8977150672</v>
      </c>
      <c r="O397" s="10" t="n">
        <f aca="false">Inputs!$B$17*(1+Inputs!$B$18)^(B397-1)+Inputs!$B$19*(1+Inputs!$B$22)^(B397-1)</f>
        <v>7553.06598224018</v>
      </c>
      <c r="P397" s="10" t="n">
        <f aca="false">N397-O397</f>
        <v>-4725.16826717298</v>
      </c>
      <c r="Q397" s="10" t="n">
        <f aca="false">Q396*(1+Inputs!$B$42)-U397+MAX(P397,0)</f>
        <v>1857910.79854235</v>
      </c>
      <c r="R397" s="10" t="n">
        <f aca="false">R396+Q396*Inputs!$B$48-U397+MAX(P397,0)</f>
        <v>479620.062979159</v>
      </c>
      <c r="S397" s="10" t="n">
        <f aca="false">S396*(1+Inputs!$B$42)-V397+MAX(-P397,0)</f>
        <v>367579.826251594</v>
      </c>
      <c r="T397" s="10" t="n">
        <f aca="false">T396+S396*Inputs!$B$48-V397+MAX(-P397,0)</f>
        <v>291143.988273897</v>
      </c>
      <c r="U397" s="10" t="n">
        <f aca="false">Q396*Inputs!$B$48*Inputs!$B$29</f>
        <v>254.061169421166</v>
      </c>
      <c r="V397" s="10" t="n">
        <f aca="false">S396*Inputs!$B$48*Inputs!$B$29</f>
        <v>49.6187862247027</v>
      </c>
    </row>
    <row r="398" customFormat="false" ht="15" hidden="false" customHeight="false" outlineLevel="0" collapsed="false">
      <c r="A398" s="16" t="n">
        <v>397</v>
      </c>
      <c r="B398" s="16" t="n">
        <f aca="false">ROUNDUP(A398/12,0)</f>
        <v>34</v>
      </c>
      <c r="C398" s="10" t="n">
        <f aca="false">F397</f>
        <v>1.28693500300869E-010</v>
      </c>
      <c r="D398" s="10" t="n">
        <f aca="false">IF(AND(A398&lt;=Inputs!$B$9*12,C398&gt;0.000001),C398*Inputs!$B$10/12,0)</f>
        <v>0</v>
      </c>
      <c r="E398" s="10" t="n">
        <f aca="false">IF(AND(A398&lt;=Inputs!$B$9*12,C398&gt;0.000001),MIN(C398,Inputs!$B$41-D398),0)</f>
        <v>0</v>
      </c>
      <c r="F398" s="10" t="n">
        <f aca="false">C398-E398</f>
        <v>1.28693500300869E-010</v>
      </c>
      <c r="G398" s="10" t="n">
        <f aca="false">IF(AND(Inputs!$B$43=1,C398&gt;0.78*Inputs!$B$7,A398&lt;=Inputs!$B$9*6),Inputs!$B$16*Inputs!$B$39/12,0)</f>
        <v>0</v>
      </c>
      <c r="H398" s="10" t="n">
        <f aca="false">IF(B398=1,Inputs!$B$7,INDEX(Annual!$AC$2:$AC$51,B398-1))</f>
        <v>1824190.54835981</v>
      </c>
      <c r="I398" s="10" t="n">
        <f aca="false">Inputs!$B$12*IF(Inputs!$B$35="",H398,MIN(H398,Inputs!$B$7*(1+Inputs!$B$35)^(B398-1)))/12</f>
        <v>1368.14291126986</v>
      </c>
      <c r="J398" s="10" t="n">
        <f aca="false">Inputs!$B$13*Inputs!$B$7*(1+Inputs!$B$22)^(B398-1)/12</f>
        <v>518.240734726675</v>
      </c>
      <c r="K398" s="10" t="n">
        <f aca="false">Inputs!$B$14*Inputs!$B$7*(1+Inputs!$B$22)^(B398-1)/12</f>
        <v>1036.48146945335</v>
      </c>
      <c r="L398" s="10" t="n">
        <f aca="false">Inputs!$B$15*(1+Inputs!$B$22)^(B398-1)</f>
        <v>0</v>
      </c>
      <c r="M398" s="10" t="n">
        <f aca="false">INDEX(Annual!$N$2:$N$51,B398)/12</f>
        <v>0</v>
      </c>
      <c r="N398" s="10" t="n">
        <f aca="false">D398+E398+G398+I398+J398+K398+L398-M398</f>
        <v>2922.86511544988</v>
      </c>
      <c r="O398" s="10" t="n">
        <f aca="false">Inputs!$B$17*(1+Inputs!$B$18)^(B398-1)+Inputs!$B$19*(1+Inputs!$B$22)^(B398-1)</f>
        <v>7817.1692125035</v>
      </c>
      <c r="P398" s="10" t="n">
        <f aca="false">N398-O398</f>
        <v>-4894.30409705362</v>
      </c>
      <c r="Q398" s="10" t="n">
        <f aca="false">Q397*(1+Inputs!$B$42)-U398+MAX(P398,0)</f>
        <v>1868160.23357933</v>
      </c>
      <c r="R398" s="10" t="n">
        <f aca="false">R397+Q397*Inputs!$B$48-U398+MAX(P398,0)</f>
        <v>481067.685143023</v>
      </c>
      <c r="S398" s="10" t="n">
        <f aca="false">S397*(1+Inputs!$B$42)-V398+MAX(-P398,0)</f>
        <v>374501.937901641</v>
      </c>
      <c r="T398" s="10" t="n">
        <f aca="false">T397+S397*Inputs!$B$48-V398+MAX(-P398,0)</f>
        <v>296324.698318905</v>
      </c>
      <c r="U398" s="10" t="n">
        <f aca="false">Q397*Inputs!$B$48*Inputs!$B$29</f>
        <v>255.462734799573</v>
      </c>
      <c r="V398" s="10" t="n">
        <f aca="false">S397*Inputs!$B$48*Inputs!$B$29</f>
        <v>50.5422261095941</v>
      </c>
    </row>
    <row r="399" customFormat="false" ht="15" hidden="false" customHeight="false" outlineLevel="0" collapsed="false">
      <c r="A399" s="16" t="n">
        <v>398</v>
      </c>
      <c r="B399" s="16" t="n">
        <f aca="false">ROUNDUP(A399/12,0)</f>
        <v>34</v>
      </c>
      <c r="C399" s="10" t="n">
        <f aca="false">F398</f>
        <v>1.28693500300869E-010</v>
      </c>
      <c r="D399" s="10" t="n">
        <f aca="false">IF(AND(A399&lt;=Inputs!$B$9*12,C399&gt;0.000001),C399*Inputs!$B$10/12,0)</f>
        <v>0</v>
      </c>
      <c r="E399" s="10" t="n">
        <f aca="false">IF(AND(A399&lt;=Inputs!$B$9*12,C399&gt;0.000001),MIN(C399,Inputs!$B$41-D399),0)</f>
        <v>0</v>
      </c>
      <c r="F399" s="10" t="n">
        <f aca="false">C399-E399</f>
        <v>1.28693500300869E-010</v>
      </c>
      <c r="G399" s="10" t="n">
        <f aca="false">IF(AND(Inputs!$B$43=1,C399&gt;0.78*Inputs!$B$7,A399&lt;=Inputs!$B$9*6),Inputs!$B$16*Inputs!$B$39/12,0)</f>
        <v>0</v>
      </c>
      <c r="H399" s="10" t="n">
        <f aca="false">IF(B399=1,Inputs!$B$7,INDEX(Annual!$AC$2:$AC$51,B399-1))</f>
        <v>1824190.54835981</v>
      </c>
      <c r="I399" s="10" t="n">
        <f aca="false">Inputs!$B$12*IF(Inputs!$B$35="",H399,MIN(H399,Inputs!$B$7*(1+Inputs!$B$35)^(B399-1)))/12</f>
        <v>1368.14291126986</v>
      </c>
      <c r="J399" s="10" t="n">
        <f aca="false">Inputs!$B$13*Inputs!$B$7*(1+Inputs!$B$22)^(B399-1)/12</f>
        <v>518.240734726675</v>
      </c>
      <c r="K399" s="10" t="n">
        <f aca="false">Inputs!$B$14*Inputs!$B$7*(1+Inputs!$B$22)^(B399-1)/12</f>
        <v>1036.48146945335</v>
      </c>
      <c r="L399" s="10" t="n">
        <f aca="false">Inputs!$B$15*(1+Inputs!$B$22)^(B399-1)</f>
        <v>0</v>
      </c>
      <c r="M399" s="10" t="n">
        <f aca="false">INDEX(Annual!$N$2:$N$51,B399)/12</f>
        <v>0</v>
      </c>
      <c r="N399" s="10" t="n">
        <f aca="false">D399+E399+G399+I399+J399+K399+L399-M399</f>
        <v>2922.86511544988</v>
      </c>
      <c r="O399" s="10" t="n">
        <f aca="false">Inputs!$B$17*(1+Inputs!$B$18)^(B399-1)+Inputs!$B$19*(1+Inputs!$B$22)^(B399-1)</f>
        <v>7817.1692125035</v>
      </c>
      <c r="P399" s="10" t="n">
        <f aca="false">N399-O399</f>
        <v>-4894.30409705362</v>
      </c>
      <c r="Q399" s="10" t="n">
        <f aca="false">Q398*(1+Inputs!$B$42)-U399+MAX(P399,0)</f>
        <v>1878466.21111484</v>
      </c>
      <c r="R399" s="10" t="n">
        <f aca="false">R398+Q398*Inputs!$B$48-U399+MAX(P399,0)</f>
        <v>482523.29332502</v>
      </c>
      <c r="S399" s="10" t="n">
        <f aca="false">S398*(1+Inputs!$B$42)-V399+MAX(-P399,0)</f>
        <v>381462.236386994</v>
      </c>
      <c r="T399" s="10" t="n">
        <f aca="false">T398+S398*Inputs!$B$48-V399+MAX(-P399,0)</f>
        <v>301510.801842573</v>
      </c>
      <c r="U399" s="10" t="n">
        <f aca="false">Q398*Inputs!$B$48*Inputs!$B$29</f>
        <v>256.872032117159</v>
      </c>
      <c r="V399" s="10" t="n">
        <f aca="false">S398*Inputs!$B$48*Inputs!$B$29</f>
        <v>51.4940164614757</v>
      </c>
    </row>
    <row r="400" customFormat="false" ht="15" hidden="false" customHeight="false" outlineLevel="0" collapsed="false">
      <c r="A400" s="16" t="n">
        <v>399</v>
      </c>
      <c r="B400" s="16" t="n">
        <f aca="false">ROUNDUP(A400/12,0)</f>
        <v>34</v>
      </c>
      <c r="C400" s="10" t="n">
        <f aca="false">F399</f>
        <v>1.28693500300869E-010</v>
      </c>
      <c r="D400" s="10" t="n">
        <f aca="false">IF(AND(A400&lt;=Inputs!$B$9*12,C400&gt;0.000001),C400*Inputs!$B$10/12,0)</f>
        <v>0</v>
      </c>
      <c r="E400" s="10" t="n">
        <f aca="false">IF(AND(A400&lt;=Inputs!$B$9*12,C400&gt;0.000001),MIN(C400,Inputs!$B$41-D400),0)</f>
        <v>0</v>
      </c>
      <c r="F400" s="10" t="n">
        <f aca="false">C400-E400</f>
        <v>1.28693500300869E-010</v>
      </c>
      <c r="G400" s="10" t="n">
        <f aca="false">IF(AND(Inputs!$B$43=1,C400&gt;0.78*Inputs!$B$7,A400&lt;=Inputs!$B$9*6),Inputs!$B$16*Inputs!$B$39/12,0)</f>
        <v>0</v>
      </c>
      <c r="H400" s="10" t="n">
        <f aca="false">IF(B400=1,Inputs!$B$7,INDEX(Annual!$AC$2:$AC$51,B400-1))</f>
        <v>1824190.54835981</v>
      </c>
      <c r="I400" s="10" t="n">
        <f aca="false">Inputs!$B$12*IF(Inputs!$B$35="",H400,MIN(H400,Inputs!$B$7*(1+Inputs!$B$35)^(B400-1)))/12</f>
        <v>1368.14291126986</v>
      </c>
      <c r="J400" s="10" t="n">
        <f aca="false">Inputs!$B$13*Inputs!$B$7*(1+Inputs!$B$22)^(B400-1)/12</f>
        <v>518.240734726675</v>
      </c>
      <c r="K400" s="10" t="n">
        <f aca="false">Inputs!$B$14*Inputs!$B$7*(1+Inputs!$B$22)^(B400-1)/12</f>
        <v>1036.48146945335</v>
      </c>
      <c r="L400" s="10" t="n">
        <f aca="false">Inputs!$B$15*(1+Inputs!$B$22)^(B400-1)</f>
        <v>0</v>
      </c>
      <c r="M400" s="10" t="n">
        <f aca="false">INDEX(Annual!$N$2:$N$51,B400)/12</f>
        <v>0</v>
      </c>
      <c r="N400" s="10" t="n">
        <f aca="false">D400+E400+G400+I400+J400+K400+L400-M400</f>
        <v>2922.86511544988</v>
      </c>
      <c r="O400" s="10" t="n">
        <f aca="false">Inputs!$B$17*(1+Inputs!$B$18)^(B400-1)+Inputs!$B$19*(1+Inputs!$B$22)^(B400-1)</f>
        <v>7817.1692125035</v>
      </c>
      <c r="P400" s="10" t="n">
        <f aca="false">N400-O400</f>
        <v>-4894.30409705362</v>
      </c>
      <c r="Q400" s="10" t="n">
        <f aca="false">Q399*(1+Inputs!$B$42)-U400+MAX(P400,0)</f>
        <v>1888829.04307379</v>
      </c>
      <c r="R400" s="10" t="n">
        <f aca="false">R399+Q399*Inputs!$B$48-U400+MAX(P400,0)</f>
        <v>483986.93158118</v>
      </c>
      <c r="S400" s="10" t="n">
        <f aca="false">S399*(1+Inputs!$B$42)-V400+MAX(-P400,0)</f>
        <v>388460.932370881</v>
      </c>
      <c r="T400" s="10" t="n">
        <f aca="false">T399+S399*Inputs!$B$48-V400+MAX(-P400,0)</f>
        <v>306702.328598812</v>
      </c>
      <c r="U400" s="10" t="n">
        <f aca="false">Q399*Inputs!$B$48*Inputs!$B$29</f>
        <v>258.289104028291</v>
      </c>
      <c r="V400" s="10" t="n">
        <f aca="false">S399*Inputs!$B$48*Inputs!$B$29</f>
        <v>52.4510575032117</v>
      </c>
    </row>
    <row r="401" customFormat="false" ht="15" hidden="false" customHeight="false" outlineLevel="0" collapsed="false">
      <c r="A401" s="16" t="n">
        <v>400</v>
      </c>
      <c r="B401" s="16" t="n">
        <f aca="false">ROUNDUP(A401/12,0)</f>
        <v>34</v>
      </c>
      <c r="C401" s="10" t="n">
        <f aca="false">F400</f>
        <v>1.28693500300869E-010</v>
      </c>
      <c r="D401" s="10" t="n">
        <f aca="false">IF(AND(A401&lt;=Inputs!$B$9*12,C401&gt;0.000001),C401*Inputs!$B$10/12,0)</f>
        <v>0</v>
      </c>
      <c r="E401" s="10" t="n">
        <f aca="false">IF(AND(A401&lt;=Inputs!$B$9*12,C401&gt;0.000001),MIN(C401,Inputs!$B$41-D401),0)</f>
        <v>0</v>
      </c>
      <c r="F401" s="10" t="n">
        <f aca="false">C401-E401</f>
        <v>1.28693500300869E-010</v>
      </c>
      <c r="G401" s="10" t="n">
        <f aca="false">IF(AND(Inputs!$B$43=1,C401&gt;0.78*Inputs!$B$7,A401&lt;=Inputs!$B$9*6),Inputs!$B$16*Inputs!$B$39/12,0)</f>
        <v>0</v>
      </c>
      <c r="H401" s="10" t="n">
        <f aca="false">IF(B401=1,Inputs!$B$7,INDEX(Annual!$AC$2:$AC$51,B401-1))</f>
        <v>1824190.54835981</v>
      </c>
      <c r="I401" s="10" t="n">
        <f aca="false">Inputs!$B$12*IF(Inputs!$B$35="",H401,MIN(H401,Inputs!$B$7*(1+Inputs!$B$35)^(B401-1)))/12</f>
        <v>1368.14291126986</v>
      </c>
      <c r="J401" s="10" t="n">
        <f aca="false">Inputs!$B$13*Inputs!$B$7*(1+Inputs!$B$22)^(B401-1)/12</f>
        <v>518.240734726675</v>
      </c>
      <c r="K401" s="10" t="n">
        <f aca="false">Inputs!$B$14*Inputs!$B$7*(1+Inputs!$B$22)^(B401-1)/12</f>
        <v>1036.48146945335</v>
      </c>
      <c r="L401" s="10" t="n">
        <f aca="false">Inputs!$B$15*(1+Inputs!$B$22)^(B401-1)</f>
        <v>0</v>
      </c>
      <c r="M401" s="10" t="n">
        <f aca="false">INDEX(Annual!$N$2:$N$51,B401)/12</f>
        <v>0</v>
      </c>
      <c r="N401" s="10" t="n">
        <f aca="false">D401+E401+G401+I401+J401+K401+L401-M401</f>
        <v>2922.86511544988</v>
      </c>
      <c r="O401" s="10" t="n">
        <f aca="false">Inputs!$B$17*(1+Inputs!$B$18)^(B401-1)+Inputs!$B$19*(1+Inputs!$B$22)^(B401-1)</f>
        <v>7817.1692125035</v>
      </c>
      <c r="P401" s="10" t="n">
        <f aca="false">N401-O401</f>
        <v>-4894.30409705362</v>
      </c>
      <c r="Q401" s="10" t="n">
        <f aca="false">Q400*(1+Inputs!$B$42)-U401+MAX(P401,0)</f>
        <v>1899249.04310186</v>
      </c>
      <c r="R401" s="10" t="n">
        <f aca="false">R400+Q400*Inputs!$B$48-U401+MAX(P401,0)</f>
        <v>485458.644210575</v>
      </c>
      <c r="S401" s="10" t="n">
        <f aca="false">S400*(1+Inputs!$B$42)-V401+MAX(-P401,0)</f>
        <v>395498.237678686</v>
      </c>
      <c r="T401" s="10" t="n">
        <f aca="false">T400+S400*Inputs!$B$48-V401+MAX(-P401,0)</f>
        <v>311899.308505671</v>
      </c>
      <c r="U401" s="10" t="n">
        <f aca="false">Q400*Inputs!$B$48*Inputs!$B$29</f>
        <v>259.713993422646</v>
      </c>
      <c r="V401" s="10" t="n">
        <f aca="false">S400*Inputs!$B$48*Inputs!$B$29</f>
        <v>53.4133782009962</v>
      </c>
    </row>
    <row r="402" customFormat="false" ht="15" hidden="false" customHeight="false" outlineLevel="0" collapsed="false">
      <c r="A402" s="16" t="n">
        <v>401</v>
      </c>
      <c r="B402" s="16" t="n">
        <f aca="false">ROUNDUP(A402/12,0)</f>
        <v>34</v>
      </c>
      <c r="C402" s="10" t="n">
        <f aca="false">F401</f>
        <v>1.28693500300869E-010</v>
      </c>
      <c r="D402" s="10" t="n">
        <f aca="false">IF(AND(A402&lt;=Inputs!$B$9*12,C402&gt;0.000001),C402*Inputs!$B$10/12,0)</f>
        <v>0</v>
      </c>
      <c r="E402" s="10" t="n">
        <f aca="false">IF(AND(A402&lt;=Inputs!$B$9*12,C402&gt;0.000001),MIN(C402,Inputs!$B$41-D402),0)</f>
        <v>0</v>
      </c>
      <c r="F402" s="10" t="n">
        <f aca="false">C402-E402</f>
        <v>1.28693500300869E-010</v>
      </c>
      <c r="G402" s="10" t="n">
        <f aca="false">IF(AND(Inputs!$B$43=1,C402&gt;0.78*Inputs!$B$7,A402&lt;=Inputs!$B$9*6),Inputs!$B$16*Inputs!$B$39/12,0)</f>
        <v>0</v>
      </c>
      <c r="H402" s="10" t="n">
        <f aca="false">IF(B402=1,Inputs!$B$7,INDEX(Annual!$AC$2:$AC$51,B402-1))</f>
        <v>1824190.54835981</v>
      </c>
      <c r="I402" s="10" t="n">
        <f aca="false">Inputs!$B$12*IF(Inputs!$B$35="",H402,MIN(H402,Inputs!$B$7*(1+Inputs!$B$35)^(B402-1)))/12</f>
        <v>1368.14291126986</v>
      </c>
      <c r="J402" s="10" t="n">
        <f aca="false">Inputs!$B$13*Inputs!$B$7*(1+Inputs!$B$22)^(B402-1)/12</f>
        <v>518.240734726675</v>
      </c>
      <c r="K402" s="10" t="n">
        <f aca="false">Inputs!$B$14*Inputs!$B$7*(1+Inputs!$B$22)^(B402-1)/12</f>
        <v>1036.48146945335</v>
      </c>
      <c r="L402" s="10" t="n">
        <f aca="false">Inputs!$B$15*(1+Inputs!$B$22)^(B402-1)</f>
        <v>0</v>
      </c>
      <c r="M402" s="10" t="n">
        <f aca="false">INDEX(Annual!$N$2:$N$51,B402)/12</f>
        <v>0</v>
      </c>
      <c r="N402" s="10" t="n">
        <f aca="false">D402+E402+G402+I402+J402+K402+L402-M402</f>
        <v>2922.86511544988</v>
      </c>
      <c r="O402" s="10" t="n">
        <f aca="false">Inputs!$B$17*(1+Inputs!$B$18)^(B402-1)+Inputs!$B$19*(1+Inputs!$B$22)^(B402-1)</f>
        <v>7817.1692125035</v>
      </c>
      <c r="P402" s="10" t="n">
        <f aca="false">N402-O402</f>
        <v>-4894.30409705362</v>
      </c>
      <c r="Q402" s="10" t="n">
        <f aca="false">Q401*(1+Inputs!$B$42)-U402+MAX(P402,0)</f>
        <v>1909726.52657502</v>
      </c>
      <c r="R402" s="10" t="n">
        <f aca="false">R401+Q401*Inputs!$B$48-U402+MAX(P402,0)</f>
        <v>486938.475756659</v>
      </c>
      <c r="S402" s="10" t="n">
        <f aca="false">S401*(1+Inputs!$B$42)-V402+MAX(-P402,0)</f>
        <v>402574.365304357</v>
      </c>
      <c r="T402" s="10" t="n">
        <f aca="false">T401+S401*Inputs!$B$48-V402+MAX(-P402,0)</f>
        <v>317101.771646249</v>
      </c>
      <c r="U402" s="10" t="n">
        <f aca="false">Q401*Inputs!$B$48*Inputs!$B$29</f>
        <v>261.146743426505</v>
      </c>
      <c r="V402" s="10" t="n">
        <f aca="false">S401*Inputs!$B$48*Inputs!$B$29</f>
        <v>54.3810076808193</v>
      </c>
    </row>
    <row r="403" customFormat="false" ht="15" hidden="false" customHeight="false" outlineLevel="0" collapsed="false">
      <c r="A403" s="16" t="n">
        <v>402</v>
      </c>
      <c r="B403" s="16" t="n">
        <f aca="false">ROUNDUP(A403/12,0)</f>
        <v>34</v>
      </c>
      <c r="C403" s="10" t="n">
        <f aca="false">F402</f>
        <v>1.28693500300869E-010</v>
      </c>
      <c r="D403" s="10" t="n">
        <f aca="false">IF(AND(A403&lt;=Inputs!$B$9*12,C403&gt;0.000001),C403*Inputs!$B$10/12,0)</f>
        <v>0</v>
      </c>
      <c r="E403" s="10" t="n">
        <f aca="false">IF(AND(A403&lt;=Inputs!$B$9*12,C403&gt;0.000001),MIN(C403,Inputs!$B$41-D403),0)</f>
        <v>0</v>
      </c>
      <c r="F403" s="10" t="n">
        <f aca="false">C403-E403</f>
        <v>1.28693500300869E-010</v>
      </c>
      <c r="G403" s="10" t="n">
        <f aca="false">IF(AND(Inputs!$B$43=1,C403&gt;0.78*Inputs!$B$7,A403&lt;=Inputs!$B$9*6),Inputs!$B$16*Inputs!$B$39/12,0)</f>
        <v>0</v>
      </c>
      <c r="H403" s="10" t="n">
        <f aca="false">IF(B403=1,Inputs!$B$7,INDEX(Annual!$AC$2:$AC$51,B403-1))</f>
        <v>1824190.54835981</v>
      </c>
      <c r="I403" s="10" t="n">
        <f aca="false">Inputs!$B$12*IF(Inputs!$B$35="",H403,MIN(H403,Inputs!$B$7*(1+Inputs!$B$35)^(B403-1)))/12</f>
        <v>1368.14291126986</v>
      </c>
      <c r="J403" s="10" t="n">
        <f aca="false">Inputs!$B$13*Inputs!$B$7*(1+Inputs!$B$22)^(B403-1)/12</f>
        <v>518.240734726675</v>
      </c>
      <c r="K403" s="10" t="n">
        <f aca="false">Inputs!$B$14*Inputs!$B$7*(1+Inputs!$B$22)^(B403-1)/12</f>
        <v>1036.48146945335</v>
      </c>
      <c r="L403" s="10" t="n">
        <f aca="false">Inputs!$B$15*(1+Inputs!$B$22)^(B403-1)</f>
        <v>0</v>
      </c>
      <c r="M403" s="10" t="n">
        <f aca="false">INDEX(Annual!$N$2:$N$51,B403)/12</f>
        <v>0</v>
      </c>
      <c r="N403" s="10" t="n">
        <f aca="false">D403+E403+G403+I403+J403+K403+L403-M403</f>
        <v>2922.86511544988</v>
      </c>
      <c r="O403" s="10" t="n">
        <f aca="false">Inputs!$B$17*(1+Inputs!$B$18)^(B403-1)+Inputs!$B$19*(1+Inputs!$B$22)^(B403-1)</f>
        <v>7817.1692125035</v>
      </c>
      <c r="P403" s="10" t="n">
        <f aca="false">N403-O403</f>
        <v>-4894.30409705362</v>
      </c>
      <c r="Q403" s="10" t="n">
        <f aca="false">Q402*(1+Inputs!$B$42)-U403+MAX(P403,0)</f>
        <v>1920261.81060906</v>
      </c>
      <c r="R403" s="10" t="n">
        <f aca="false">R402+Q402*Inputs!$B$48-U403+MAX(P403,0)</f>
        <v>488426.471008615</v>
      </c>
      <c r="S403" s="10" t="n">
        <f aca="false">S402*(1+Inputs!$B$42)-V403+MAX(-P403,0)</f>
        <v>409689.529416854</v>
      </c>
      <c r="T403" s="10" t="n">
        <f aca="false">T402+S402*Inputs!$B$48-V403+MAX(-P403,0)</f>
        <v>322309.748269602</v>
      </c>
      <c r="U403" s="10" t="n">
        <f aca="false">Q402*Inputs!$B$48*Inputs!$B$29</f>
        <v>262.587397404065</v>
      </c>
      <c r="V403" s="10" t="n">
        <f aca="false">S402*Inputs!$B$48*Inputs!$B$29</f>
        <v>55.353975229349</v>
      </c>
    </row>
    <row r="404" customFormat="false" ht="15" hidden="false" customHeight="false" outlineLevel="0" collapsed="false">
      <c r="A404" s="16" t="n">
        <v>403</v>
      </c>
      <c r="B404" s="16" t="n">
        <f aca="false">ROUNDUP(A404/12,0)</f>
        <v>34</v>
      </c>
      <c r="C404" s="10" t="n">
        <f aca="false">F403</f>
        <v>1.28693500300869E-010</v>
      </c>
      <c r="D404" s="10" t="n">
        <f aca="false">IF(AND(A404&lt;=Inputs!$B$9*12,C404&gt;0.000001),C404*Inputs!$B$10/12,0)</f>
        <v>0</v>
      </c>
      <c r="E404" s="10" t="n">
        <f aca="false">IF(AND(A404&lt;=Inputs!$B$9*12,C404&gt;0.000001),MIN(C404,Inputs!$B$41-D404),0)</f>
        <v>0</v>
      </c>
      <c r="F404" s="10" t="n">
        <f aca="false">C404-E404</f>
        <v>1.28693500300869E-010</v>
      </c>
      <c r="G404" s="10" t="n">
        <f aca="false">IF(AND(Inputs!$B$43=1,C404&gt;0.78*Inputs!$B$7,A404&lt;=Inputs!$B$9*6),Inputs!$B$16*Inputs!$B$39/12,0)</f>
        <v>0</v>
      </c>
      <c r="H404" s="10" t="n">
        <f aca="false">IF(B404=1,Inputs!$B$7,INDEX(Annual!$AC$2:$AC$51,B404-1))</f>
        <v>1824190.54835981</v>
      </c>
      <c r="I404" s="10" t="n">
        <f aca="false">Inputs!$B$12*IF(Inputs!$B$35="",H404,MIN(H404,Inputs!$B$7*(1+Inputs!$B$35)^(B404-1)))/12</f>
        <v>1368.14291126986</v>
      </c>
      <c r="J404" s="10" t="n">
        <f aca="false">Inputs!$B$13*Inputs!$B$7*(1+Inputs!$B$22)^(B404-1)/12</f>
        <v>518.240734726675</v>
      </c>
      <c r="K404" s="10" t="n">
        <f aca="false">Inputs!$B$14*Inputs!$B$7*(1+Inputs!$B$22)^(B404-1)/12</f>
        <v>1036.48146945335</v>
      </c>
      <c r="L404" s="10" t="n">
        <f aca="false">Inputs!$B$15*(1+Inputs!$B$22)^(B404-1)</f>
        <v>0</v>
      </c>
      <c r="M404" s="10" t="n">
        <f aca="false">INDEX(Annual!$N$2:$N$51,B404)/12</f>
        <v>0</v>
      </c>
      <c r="N404" s="10" t="n">
        <f aca="false">D404+E404+G404+I404+J404+K404+L404-M404</f>
        <v>2922.86511544988</v>
      </c>
      <c r="O404" s="10" t="n">
        <f aca="false">Inputs!$B$17*(1+Inputs!$B$18)^(B404-1)+Inputs!$B$19*(1+Inputs!$B$22)^(B404-1)</f>
        <v>7817.1692125035</v>
      </c>
      <c r="P404" s="10" t="n">
        <f aca="false">N404-O404</f>
        <v>-4894.30409705362</v>
      </c>
      <c r="Q404" s="10" t="n">
        <f aca="false">Q403*(1+Inputs!$B$42)-U404+MAX(P404,0)</f>
        <v>1930855.21406916</v>
      </c>
      <c r="R404" s="10" t="n">
        <f aca="false">R403+Q403*Inputs!$B$48-U404+MAX(P404,0)</f>
        <v>489922.675002715</v>
      </c>
      <c r="S404" s="10" t="n">
        <f aca="false">S403*(1+Inputs!$B$42)-V404+MAX(-P404,0)</f>
        <v>416843.945366633</v>
      </c>
      <c r="T404" s="10" t="n">
        <f aca="false">T403+S403*Inputs!$B$48-V404+MAX(-P404,0)</f>
        <v>327523.26879166</v>
      </c>
      <c r="U404" s="10" t="n">
        <f aca="false">Q403*Inputs!$B$48*Inputs!$B$29</f>
        <v>264.035998958745</v>
      </c>
      <c r="V404" s="10" t="n">
        <f aca="false">S403*Inputs!$B$48*Inputs!$B$29</f>
        <v>56.3323102948174</v>
      </c>
    </row>
    <row r="405" customFormat="false" ht="15" hidden="false" customHeight="false" outlineLevel="0" collapsed="false">
      <c r="A405" s="16" t="n">
        <v>404</v>
      </c>
      <c r="B405" s="16" t="n">
        <f aca="false">ROUNDUP(A405/12,0)</f>
        <v>34</v>
      </c>
      <c r="C405" s="10" t="n">
        <f aca="false">F404</f>
        <v>1.28693500300869E-010</v>
      </c>
      <c r="D405" s="10" t="n">
        <f aca="false">IF(AND(A405&lt;=Inputs!$B$9*12,C405&gt;0.000001),C405*Inputs!$B$10/12,0)</f>
        <v>0</v>
      </c>
      <c r="E405" s="10" t="n">
        <f aca="false">IF(AND(A405&lt;=Inputs!$B$9*12,C405&gt;0.000001),MIN(C405,Inputs!$B$41-D405),0)</f>
        <v>0</v>
      </c>
      <c r="F405" s="10" t="n">
        <f aca="false">C405-E405</f>
        <v>1.28693500300869E-010</v>
      </c>
      <c r="G405" s="10" t="n">
        <f aca="false">IF(AND(Inputs!$B$43=1,C405&gt;0.78*Inputs!$B$7,A405&lt;=Inputs!$B$9*6),Inputs!$B$16*Inputs!$B$39/12,0)</f>
        <v>0</v>
      </c>
      <c r="H405" s="10" t="n">
        <f aca="false">IF(B405=1,Inputs!$B$7,INDEX(Annual!$AC$2:$AC$51,B405-1))</f>
        <v>1824190.54835981</v>
      </c>
      <c r="I405" s="10" t="n">
        <f aca="false">Inputs!$B$12*IF(Inputs!$B$35="",H405,MIN(H405,Inputs!$B$7*(1+Inputs!$B$35)^(B405-1)))/12</f>
        <v>1368.14291126986</v>
      </c>
      <c r="J405" s="10" t="n">
        <f aca="false">Inputs!$B$13*Inputs!$B$7*(1+Inputs!$B$22)^(B405-1)/12</f>
        <v>518.240734726675</v>
      </c>
      <c r="K405" s="10" t="n">
        <f aca="false">Inputs!$B$14*Inputs!$B$7*(1+Inputs!$B$22)^(B405-1)/12</f>
        <v>1036.48146945335</v>
      </c>
      <c r="L405" s="10" t="n">
        <f aca="false">Inputs!$B$15*(1+Inputs!$B$22)^(B405-1)</f>
        <v>0</v>
      </c>
      <c r="M405" s="10" t="n">
        <f aca="false">INDEX(Annual!$N$2:$N$51,B405)/12</f>
        <v>0</v>
      </c>
      <c r="N405" s="10" t="n">
        <f aca="false">D405+E405+G405+I405+J405+K405+L405-M405</f>
        <v>2922.86511544988</v>
      </c>
      <c r="O405" s="10" t="n">
        <f aca="false">Inputs!$B$17*(1+Inputs!$B$18)^(B405-1)+Inputs!$B$19*(1+Inputs!$B$22)^(B405-1)</f>
        <v>7817.1692125035</v>
      </c>
      <c r="P405" s="10" t="n">
        <f aca="false">N405-O405</f>
        <v>-4894.30409705362</v>
      </c>
      <c r="Q405" s="10" t="n">
        <f aca="false">Q404*(1+Inputs!$B$42)-U405+MAX(P405,0)</f>
        <v>1941507.0575796</v>
      </c>
      <c r="R405" s="10" t="n">
        <f aca="false">R404+Q404*Inputs!$B$48-U405+MAX(P405,0)</f>
        <v>491427.133023677</v>
      </c>
      <c r="S405" s="10" t="n">
        <f aca="false">S404*(1+Inputs!$B$42)-V405+MAX(-P405,0)</f>
        <v>424037.829692162</v>
      </c>
      <c r="T405" s="10" t="n">
        <f aca="false">T404+S404*Inputs!$B$48-V405+MAX(-P405,0)</f>
        <v>332742.363796145</v>
      </c>
      <c r="U405" s="10" t="n">
        <f aca="false">Q404*Inputs!$B$48*Inputs!$B$29</f>
        <v>265.49259193451</v>
      </c>
      <c r="V405" s="10" t="n">
        <f aca="false">S404*Inputs!$B$48*Inputs!$B$29</f>
        <v>57.3160424879121</v>
      </c>
    </row>
    <row r="406" customFormat="false" ht="15" hidden="false" customHeight="false" outlineLevel="0" collapsed="false">
      <c r="A406" s="16" t="n">
        <v>405</v>
      </c>
      <c r="B406" s="16" t="n">
        <f aca="false">ROUNDUP(A406/12,0)</f>
        <v>34</v>
      </c>
      <c r="C406" s="10" t="n">
        <f aca="false">F405</f>
        <v>1.28693500300869E-010</v>
      </c>
      <c r="D406" s="10" t="n">
        <f aca="false">IF(AND(A406&lt;=Inputs!$B$9*12,C406&gt;0.000001),C406*Inputs!$B$10/12,0)</f>
        <v>0</v>
      </c>
      <c r="E406" s="10" t="n">
        <f aca="false">IF(AND(A406&lt;=Inputs!$B$9*12,C406&gt;0.000001),MIN(C406,Inputs!$B$41-D406),0)</f>
        <v>0</v>
      </c>
      <c r="F406" s="10" t="n">
        <f aca="false">C406-E406</f>
        <v>1.28693500300869E-010</v>
      </c>
      <c r="G406" s="10" t="n">
        <f aca="false">IF(AND(Inputs!$B$43=1,C406&gt;0.78*Inputs!$B$7,A406&lt;=Inputs!$B$9*6),Inputs!$B$16*Inputs!$B$39/12,0)</f>
        <v>0</v>
      </c>
      <c r="H406" s="10" t="n">
        <f aca="false">IF(B406=1,Inputs!$B$7,INDEX(Annual!$AC$2:$AC$51,B406-1))</f>
        <v>1824190.54835981</v>
      </c>
      <c r="I406" s="10" t="n">
        <f aca="false">Inputs!$B$12*IF(Inputs!$B$35="",H406,MIN(H406,Inputs!$B$7*(1+Inputs!$B$35)^(B406-1)))/12</f>
        <v>1368.14291126986</v>
      </c>
      <c r="J406" s="10" t="n">
        <f aca="false">Inputs!$B$13*Inputs!$B$7*(1+Inputs!$B$22)^(B406-1)/12</f>
        <v>518.240734726675</v>
      </c>
      <c r="K406" s="10" t="n">
        <f aca="false">Inputs!$B$14*Inputs!$B$7*(1+Inputs!$B$22)^(B406-1)/12</f>
        <v>1036.48146945335</v>
      </c>
      <c r="L406" s="10" t="n">
        <f aca="false">Inputs!$B$15*(1+Inputs!$B$22)^(B406-1)</f>
        <v>0</v>
      </c>
      <c r="M406" s="10" t="n">
        <f aca="false">INDEX(Annual!$N$2:$N$51,B406)/12</f>
        <v>0</v>
      </c>
      <c r="N406" s="10" t="n">
        <f aca="false">D406+E406+G406+I406+J406+K406+L406-M406</f>
        <v>2922.86511544988</v>
      </c>
      <c r="O406" s="10" t="n">
        <f aca="false">Inputs!$B$17*(1+Inputs!$B$18)^(B406-1)+Inputs!$B$19*(1+Inputs!$B$22)^(B406-1)</f>
        <v>7817.1692125035</v>
      </c>
      <c r="P406" s="10" t="n">
        <f aca="false">N406-O406</f>
        <v>-4894.30409705362</v>
      </c>
      <c r="Q406" s="10" t="n">
        <f aca="false">Q405*(1+Inputs!$B$42)-U406+MAX(P406,0)</f>
        <v>1952217.66353342</v>
      </c>
      <c r="R406" s="10" t="n">
        <f aca="false">R405+Q405*Inputs!$B$48-U406+MAX(P406,0)</f>
        <v>492939.890606041</v>
      </c>
      <c r="S406" s="10" t="n">
        <f aca="false">S405*(1+Inputs!$B$42)-V406+MAX(-P406,0)</f>
        <v>431271.400126472</v>
      </c>
      <c r="T406" s="10" t="n">
        <f aca="false">T405+S405*Inputs!$B$48-V406+MAX(-P406,0)</f>
        <v>337967.0640355</v>
      </c>
      <c r="U406" s="10" t="n">
        <f aca="false">Q405*Inputs!$B$48*Inputs!$B$29</f>
        <v>266.957220417196</v>
      </c>
      <c r="V406" s="10" t="n">
        <f aca="false">S405*Inputs!$B$48*Inputs!$B$29</f>
        <v>58.3052015826722</v>
      </c>
    </row>
    <row r="407" customFormat="false" ht="15" hidden="false" customHeight="false" outlineLevel="0" collapsed="false">
      <c r="A407" s="16" t="n">
        <v>406</v>
      </c>
      <c r="B407" s="16" t="n">
        <f aca="false">ROUNDUP(A407/12,0)</f>
        <v>34</v>
      </c>
      <c r="C407" s="10" t="n">
        <f aca="false">F406</f>
        <v>1.28693500300869E-010</v>
      </c>
      <c r="D407" s="10" t="n">
        <f aca="false">IF(AND(A407&lt;=Inputs!$B$9*12,C407&gt;0.000001),C407*Inputs!$B$10/12,0)</f>
        <v>0</v>
      </c>
      <c r="E407" s="10" t="n">
        <f aca="false">IF(AND(A407&lt;=Inputs!$B$9*12,C407&gt;0.000001),MIN(C407,Inputs!$B$41-D407),0)</f>
        <v>0</v>
      </c>
      <c r="F407" s="10" t="n">
        <f aca="false">C407-E407</f>
        <v>1.28693500300869E-010</v>
      </c>
      <c r="G407" s="10" t="n">
        <f aca="false">IF(AND(Inputs!$B$43=1,C407&gt;0.78*Inputs!$B$7,A407&lt;=Inputs!$B$9*6),Inputs!$B$16*Inputs!$B$39/12,0)</f>
        <v>0</v>
      </c>
      <c r="H407" s="10" t="n">
        <f aca="false">IF(B407=1,Inputs!$B$7,INDEX(Annual!$AC$2:$AC$51,B407-1))</f>
        <v>1824190.54835981</v>
      </c>
      <c r="I407" s="10" t="n">
        <f aca="false">Inputs!$B$12*IF(Inputs!$B$35="",H407,MIN(H407,Inputs!$B$7*(1+Inputs!$B$35)^(B407-1)))/12</f>
        <v>1368.14291126986</v>
      </c>
      <c r="J407" s="10" t="n">
        <f aca="false">Inputs!$B$13*Inputs!$B$7*(1+Inputs!$B$22)^(B407-1)/12</f>
        <v>518.240734726675</v>
      </c>
      <c r="K407" s="10" t="n">
        <f aca="false">Inputs!$B$14*Inputs!$B$7*(1+Inputs!$B$22)^(B407-1)/12</f>
        <v>1036.48146945335</v>
      </c>
      <c r="L407" s="10" t="n">
        <f aca="false">Inputs!$B$15*(1+Inputs!$B$22)^(B407-1)</f>
        <v>0</v>
      </c>
      <c r="M407" s="10" t="n">
        <f aca="false">INDEX(Annual!$N$2:$N$51,B407)/12</f>
        <v>0</v>
      </c>
      <c r="N407" s="10" t="n">
        <f aca="false">D407+E407+G407+I407+J407+K407+L407-M407</f>
        <v>2922.86511544988</v>
      </c>
      <c r="O407" s="10" t="n">
        <f aca="false">Inputs!$B$17*(1+Inputs!$B$18)^(B407-1)+Inputs!$B$19*(1+Inputs!$B$22)^(B407-1)</f>
        <v>7817.1692125035</v>
      </c>
      <c r="P407" s="10" t="n">
        <f aca="false">N407-O407</f>
        <v>-4894.30409705362</v>
      </c>
      <c r="Q407" s="10" t="n">
        <f aca="false">Q406*(1+Inputs!$B$42)-U407+MAX(P407,0)</f>
        <v>1962987.35610216</v>
      </c>
      <c r="R407" s="10" t="n">
        <f aca="false">R406+Q406*Inputs!$B$48-U407+MAX(P407,0)</f>
        <v>494460.993535544</v>
      </c>
      <c r="S407" s="10" t="n">
        <f aca="false">S406*(1+Inputs!$B$42)-V407+MAX(-P407,0)</f>
        <v>438544.875603753</v>
      </c>
      <c r="T407" s="10" t="n">
        <f aca="false">T406+S406*Inputs!$B$48-V407+MAX(-P407,0)</f>
        <v>343197.400431819</v>
      </c>
      <c r="U407" s="10" t="n">
        <f aca="false">Q406*Inputs!$B$48*Inputs!$B$29</f>
        <v>268.429928735845</v>
      </c>
      <c r="V407" s="10" t="n">
        <f aca="false">S406*Inputs!$B$48*Inputs!$B$29</f>
        <v>59.2998175173899</v>
      </c>
    </row>
    <row r="408" customFormat="false" ht="15" hidden="false" customHeight="false" outlineLevel="0" collapsed="false">
      <c r="A408" s="16" t="n">
        <v>407</v>
      </c>
      <c r="B408" s="16" t="n">
        <f aca="false">ROUNDUP(A408/12,0)</f>
        <v>34</v>
      </c>
      <c r="C408" s="10" t="n">
        <f aca="false">F407</f>
        <v>1.28693500300869E-010</v>
      </c>
      <c r="D408" s="10" t="n">
        <f aca="false">IF(AND(A408&lt;=Inputs!$B$9*12,C408&gt;0.000001),C408*Inputs!$B$10/12,0)</f>
        <v>0</v>
      </c>
      <c r="E408" s="10" t="n">
        <f aca="false">IF(AND(A408&lt;=Inputs!$B$9*12,C408&gt;0.000001),MIN(C408,Inputs!$B$41-D408),0)</f>
        <v>0</v>
      </c>
      <c r="F408" s="10" t="n">
        <f aca="false">C408-E408</f>
        <v>1.28693500300869E-010</v>
      </c>
      <c r="G408" s="10" t="n">
        <f aca="false">IF(AND(Inputs!$B$43=1,C408&gt;0.78*Inputs!$B$7,A408&lt;=Inputs!$B$9*6),Inputs!$B$16*Inputs!$B$39/12,0)</f>
        <v>0</v>
      </c>
      <c r="H408" s="10" t="n">
        <f aca="false">IF(B408=1,Inputs!$B$7,INDEX(Annual!$AC$2:$AC$51,B408-1))</f>
        <v>1824190.54835981</v>
      </c>
      <c r="I408" s="10" t="n">
        <f aca="false">Inputs!$B$12*IF(Inputs!$B$35="",H408,MIN(H408,Inputs!$B$7*(1+Inputs!$B$35)^(B408-1)))/12</f>
        <v>1368.14291126986</v>
      </c>
      <c r="J408" s="10" t="n">
        <f aca="false">Inputs!$B$13*Inputs!$B$7*(1+Inputs!$B$22)^(B408-1)/12</f>
        <v>518.240734726675</v>
      </c>
      <c r="K408" s="10" t="n">
        <f aca="false">Inputs!$B$14*Inputs!$B$7*(1+Inputs!$B$22)^(B408-1)/12</f>
        <v>1036.48146945335</v>
      </c>
      <c r="L408" s="10" t="n">
        <f aca="false">Inputs!$B$15*(1+Inputs!$B$22)^(B408-1)</f>
        <v>0</v>
      </c>
      <c r="M408" s="10" t="n">
        <f aca="false">INDEX(Annual!$N$2:$N$51,B408)/12</f>
        <v>0</v>
      </c>
      <c r="N408" s="10" t="n">
        <f aca="false">D408+E408+G408+I408+J408+K408+L408-M408</f>
        <v>2922.86511544988</v>
      </c>
      <c r="O408" s="10" t="n">
        <f aca="false">Inputs!$B$17*(1+Inputs!$B$18)^(B408-1)+Inputs!$B$19*(1+Inputs!$B$22)^(B408-1)</f>
        <v>7817.1692125035</v>
      </c>
      <c r="P408" s="10" t="n">
        <f aca="false">N408-O408</f>
        <v>-4894.30409705362</v>
      </c>
      <c r="Q408" s="10" t="n">
        <f aca="false">Q407*(1+Inputs!$B$42)-U408+MAX(P408,0)</f>
        <v>1973816.46124573</v>
      </c>
      <c r="R408" s="10" t="n">
        <f aca="false">R407+Q407*Inputs!$B$48-U408+MAX(P408,0)</f>
        <v>495990.487850507</v>
      </c>
      <c r="S408" s="10" t="n">
        <f aca="false">S407*(1+Inputs!$B$42)-V408+MAX(-P408,0)</f>
        <v>445858.476265976</v>
      </c>
      <c r="T408" s="10" t="n">
        <f aca="false">T407+S407*Inputs!$B$48-V408+MAX(-P408,0)</f>
        <v>348433.404077781</v>
      </c>
      <c r="U408" s="10" t="n">
        <f aca="false">Q407*Inputs!$B$48*Inputs!$B$29</f>
        <v>269.910761464047</v>
      </c>
      <c r="V408" s="10" t="n">
        <f aca="false">S407*Inputs!$B$48*Inputs!$B$29</f>
        <v>60.299920395516</v>
      </c>
    </row>
    <row r="409" customFormat="false" ht="15" hidden="false" customHeight="false" outlineLevel="0" collapsed="false">
      <c r="A409" s="16" t="n">
        <v>408</v>
      </c>
      <c r="B409" s="16" t="n">
        <f aca="false">ROUNDUP(A409/12,0)</f>
        <v>34</v>
      </c>
      <c r="C409" s="10" t="n">
        <f aca="false">F408</f>
        <v>1.28693500300869E-010</v>
      </c>
      <c r="D409" s="10" t="n">
        <f aca="false">IF(AND(A409&lt;=Inputs!$B$9*12,C409&gt;0.000001),C409*Inputs!$B$10/12,0)</f>
        <v>0</v>
      </c>
      <c r="E409" s="10" t="n">
        <f aca="false">IF(AND(A409&lt;=Inputs!$B$9*12,C409&gt;0.000001),MIN(C409,Inputs!$B$41-D409),0)</f>
        <v>0</v>
      </c>
      <c r="F409" s="10" t="n">
        <f aca="false">C409-E409</f>
        <v>1.28693500300869E-010</v>
      </c>
      <c r="G409" s="10" t="n">
        <f aca="false">IF(AND(Inputs!$B$43=1,C409&gt;0.78*Inputs!$B$7,A409&lt;=Inputs!$B$9*6),Inputs!$B$16*Inputs!$B$39/12,0)</f>
        <v>0</v>
      </c>
      <c r="H409" s="10" t="n">
        <f aca="false">IF(B409=1,Inputs!$B$7,INDEX(Annual!$AC$2:$AC$51,B409-1))</f>
        <v>1824190.54835981</v>
      </c>
      <c r="I409" s="10" t="n">
        <f aca="false">Inputs!$B$12*IF(Inputs!$B$35="",H409,MIN(H409,Inputs!$B$7*(1+Inputs!$B$35)^(B409-1)))/12</f>
        <v>1368.14291126986</v>
      </c>
      <c r="J409" s="10" t="n">
        <f aca="false">Inputs!$B$13*Inputs!$B$7*(1+Inputs!$B$22)^(B409-1)/12</f>
        <v>518.240734726675</v>
      </c>
      <c r="K409" s="10" t="n">
        <f aca="false">Inputs!$B$14*Inputs!$B$7*(1+Inputs!$B$22)^(B409-1)/12</f>
        <v>1036.48146945335</v>
      </c>
      <c r="L409" s="10" t="n">
        <f aca="false">Inputs!$B$15*(1+Inputs!$B$22)^(B409-1)</f>
        <v>0</v>
      </c>
      <c r="M409" s="10" t="n">
        <f aca="false">INDEX(Annual!$N$2:$N$51,B409)/12</f>
        <v>0</v>
      </c>
      <c r="N409" s="10" t="n">
        <f aca="false">D409+E409+G409+I409+J409+K409+L409-M409</f>
        <v>2922.86511544988</v>
      </c>
      <c r="O409" s="10" t="n">
        <f aca="false">Inputs!$B$17*(1+Inputs!$B$18)^(B409-1)+Inputs!$B$19*(1+Inputs!$B$22)^(B409-1)</f>
        <v>7817.1692125035</v>
      </c>
      <c r="P409" s="10" t="n">
        <f aca="false">N409-O409</f>
        <v>-4894.30409705362</v>
      </c>
      <c r="Q409" s="10" t="n">
        <f aca="false">Q408*(1+Inputs!$B$42)-U409+MAX(P409,0)</f>
        <v>1984705.30672225</v>
      </c>
      <c r="R409" s="10" t="n">
        <f aca="false">R408+Q408*Inputs!$B$48-U409+MAX(P409,0)</f>
        <v>497528.419843228</v>
      </c>
      <c r="S409" s="10" t="n">
        <f aca="false">S408*(1+Inputs!$B$42)-V409+MAX(-P409,0)</f>
        <v>453212.423469558</v>
      </c>
      <c r="T409" s="10" t="n">
        <f aca="false">T408+S408*Inputs!$B$48-V409+MAX(-P409,0)</f>
        <v>353675.106237592</v>
      </c>
      <c r="U409" s="10" t="n">
        <f aca="false">Q408*Inputs!$B$48*Inputs!$B$29</f>
        <v>271.399763421288</v>
      </c>
      <c r="V409" s="10" t="n">
        <f aca="false">S408*Inputs!$B$48*Inputs!$B$29</f>
        <v>61.3055404865717</v>
      </c>
    </row>
    <row r="410" customFormat="false" ht="15" hidden="false" customHeight="false" outlineLevel="0" collapsed="false">
      <c r="A410" s="16" t="n">
        <v>409</v>
      </c>
      <c r="B410" s="16" t="n">
        <f aca="false">ROUNDUP(A410/12,0)</f>
        <v>35</v>
      </c>
      <c r="C410" s="10" t="n">
        <f aca="false">F409</f>
        <v>1.28693500300869E-010</v>
      </c>
      <c r="D410" s="10" t="n">
        <f aca="false">IF(AND(A410&lt;=Inputs!$B$9*12,C410&gt;0.000001),C410*Inputs!$B$10/12,0)</f>
        <v>0</v>
      </c>
      <c r="E410" s="10" t="n">
        <f aca="false">IF(AND(A410&lt;=Inputs!$B$9*12,C410&gt;0.000001),MIN(C410,Inputs!$B$41-D410),0)</f>
        <v>0</v>
      </c>
      <c r="F410" s="10" t="n">
        <f aca="false">C410-E410</f>
        <v>1.28693500300869E-010</v>
      </c>
      <c r="G410" s="10" t="n">
        <f aca="false">IF(AND(Inputs!$B$43=1,C410&gt;0.78*Inputs!$B$7,A410&lt;=Inputs!$B$9*6),Inputs!$B$16*Inputs!$B$39/12,0)</f>
        <v>0</v>
      </c>
      <c r="H410" s="10" t="n">
        <f aca="false">IF(B410=1,Inputs!$B$7,INDEX(Annual!$AC$2:$AC$51,B410-1))</f>
        <v>1897158.1702942</v>
      </c>
      <c r="I410" s="10" t="n">
        <f aca="false">Inputs!$B$12*IF(Inputs!$B$35="",H410,MIN(H410,Inputs!$B$7*(1+Inputs!$B$35)^(B410-1)))/12</f>
        <v>1422.86862772065</v>
      </c>
      <c r="J410" s="10" t="n">
        <f aca="false">Inputs!$B$13*Inputs!$B$7*(1+Inputs!$B$22)^(B410-1)/12</f>
        <v>532.751475299022</v>
      </c>
      <c r="K410" s="10" t="n">
        <f aca="false">Inputs!$B$14*Inputs!$B$7*(1+Inputs!$B$22)^(B410-1)/12</f>
        <v>1065.50295059804</v>
      </c>
      <c r="L410" s="10" t="n">
        <f aca="false">Inputs!$B$15*(1+Inputs!$B$22)^(B410-1)</f>
        <v>0</v>
      </c>
      <c r="M410" s="10" t="n">
        <f aca="false">INDEX(Annual!$N$2:$N$51,B410)/12</f>
        <v>0</v>
      </c>
      <c r="N410" s="10" t="n">
        <f aca="false">D410+E410+G410+I410+J410+K410+L410-M410</f>
        <v>3021.12305361772</v>
      </c>
      <c r="O410" s="10" t="n">
        <f aca="false">Inputs!$B$17*(1+Inputs!$B$18)^(B410-1)+Inputs!$B$19*(1+Inputs!$B$22)^(B410-1)</f>
        <v>8090.50894161082</v>
      </c>
      <c r="P410" s="10" t="n">
        <f aca="false">N410-O410</f>
        <v>-5069.38588799311</v>
      </c>
      <c r="Q410" s="10" t="n">
        <f aca="false">Q409*(1+Inputs!$B$42)-U410+MAX(P410,0)</f>
        <v>1995654.22209794</v>
      </c>
      <c r="R410" s="10" t="n">
        <f aca="false">R409+Q409*Inputs!$B$48-U410+MAX(P410,0)</f>
        <v>499074.836061382</v>
      </c>
      <c r="S410" s="10" t="n">
        <f aca="false">S409*(1+Inputs!$B$42)-V410+MAX(-P410,0)</f>
        <v>460782.021582999</v>
      </c>
      <c r="T410" s="10" t="n">
        <f aca="false">T409+S409*Inputs!$B$48-V410+MAX(-P410,0)</f>
        <v>359097.620138871</v>
      </c>
      <c r="U410" s="10" t="n">
        <f aca="false">Q409*Inputs!$B$48*Inputs!$B$29</f>
        <v>272.896979674309</v>
      </c>
      <c r="V410" s="10" t="n">
        <f aca="false">S409*Inputs!$B$48*Inputs!$B$29</f>
        <v>62.3167082270642</v>
      </c>
    </row>
    <row r="411" customFormat="false" ht="15" hidden="false" customHeight="false" outlineLevel="0" collapsed="false">
      <c r="A411" s="16" t="n">
        <v>410</v>
      </c>
      <c r="B411" s="16" t="n">
        <f aca="false">ROUNDUP(A411/12,0)</f>
        <v>35</v>
      </c>
      <c r="C411" s="10" t="n">
        <f aca="false">F410</f>
        <v>1.28693500300869E-010</v>
      </c>
      <c r="D411" s="10" t="n">
        <f aca="false">IF(AND(A411&lt;=Inputs!$B$9*12,C411&gt;0.000001),C411*Inputs!$B$10/12,0)</f>
        <v>0</v>
      </c>
      <c r="E411" s="10" t="n">
        <f aca="false">IF(AND(A411&lt;=Inputs!$B$9*12,C411&gt;0.000001),MIN(C411,Inputs!$B$41-D411),0)</f>
        <v>0</v>
      </c>
      <c r="F411" s="10" t="n">
        <f aca="false">C411-E411</f>
        <v>1.28693500300869E-010</v>
      </c>
      <c r="G411" s="10" t="n">
        <f aca="false">IF(AND(Inputs!$B$43=1,C411&gt;0.78*Inputs!$B$7,A411&lt;=Inputs!$B$9*6),Inputs!$B$16*Inputs!$B$39/12,0)</f>
        <v>0</v>
      </c>
      <c r="H411" s="10" t="n">
        <f aca="false">IF(B411=1,Inputs!$B$7,INDEX(Annual!$AC$2:$AC$51,B411-1))</f>
        <v>1897158.1702942</v>
      </c>
      <c r="I411" s="10" t="n">
        <f aca="false">Inputs!$B$12*IF(Inputs!$B$35="",H411,MIN(H411,Inputs!$B$7*(1+Inputs!$B$35)^(B411-1)))/12</f>
        <v>1422.86862772065</v>
      </c>
      <c r="J411" s="10" t="n">
        <f aca="false">Inputs!$B$13*Inputs!$B$7*(1+Inputs!$B$22)^(B411-1)/12</f>
        <v>532.751475299022</v>
      </c>
      <c r="K411" s="10" t="n">
        <f aca="false">Inputs!$B$14*Inputs!$B$7*(1+Inputs!$B$22)^(B411-1)/12</f>
        <v>1065.50295059804</v>
      </c>
      <c r="L411" s="10" t="n">
        <f aca="false">Inputs!$B$15*(1+Inputs!$B$22)^(B411-1)</f>
        <v>0</v>
      </c>
      <c r="M411" s="10" t="n">
        <f aca="false">INDEX(Annual!$N$2:$N$51,B411)/12</f>
        <v>0</v>
      </c>
      <c r="N411" s="10" t="n">
        <f aca="false">D411+E411+G411+I411+J411+K411+L411-M411</f>
        <v>3021.12305361772</v>
      </c>
      <c r="O411" s="10" t="n">
        <f aca="false">Inputs!$B$17*(1+Inputs!$B$18)^(B411-1)+Inputs!$B$19*(1+Inputs!$B$22)^(B411-1)</f>
        <v>8090.50894161082</v>
      </c>
      <c r="P411" s="10" t="n">
        <f aca="false">N411-O411</f>
        <v>-5069.38588799311</v>
      </c>
      <c r="Q411" s="10" t="n">
        <f aca="false">Q410*(1+Inputs!$B$42)-U411+MAX(P411,0)</f>
        <v>2006663.53875713</v>
      </c>
      <c r="R411" s="10" t="n">
        <f aca="false">R410+Q410*Inputs!$B$48-U411+MAX(P411,0)</f>
        <v>500629.783309433</v>
      </c>
      <c r="S411" s="10" t="n">
        <f aca="false">S410*(1+Inputs!$B$42)-V411+MAX(-P411,0)</f>
        <v>468393.378484957</v>
      </c>
      <c r="T411" s="10" t="n">
        <f aca="false">T410+S410*Inputs!$B$48-V411+MAX(-P411,0)</f>
        <v>364526.032018681</v>
      </c>
      <c r="U411" s="10" t="n">
        <f aca="false">Q410*Inputs!$B$48*Inputs!$B$29</f>
        <v>274.402455538466</v>
      </c>
      <c r="V411" s="10" t="n">
        <f aca="false">S410*Inputs!$B$48*Inputs!$B$29</f>
        <v>63.3575279676624</v>
      </c>
    </row>
    <row r="412" customFormat="false" ht="15" hidden="false" customHeight="false" outlineLevel="0" collapsed="false">
      <c r="A412" s="16" t="n">
        <v>411</v>
      </c>
      <c r="B412" s="16" t="n">
        <f aca="false">ROUNDUP(A412/12,0)</f>
        <v>35</v>
      </c>
      <c r="C412" s="10" t="n">
        <f aca="false">F411</f>
        <v>1.28693500300869E-010</v>
      </c>
      <c r="D412" s="10" t="n">
        <f aca="false">IF(AND(A412&lt;=Inputs!$B$9*12,C412&gt;0.000001),C412*Inputs!$B$10/12,0)</f>
        <v>0</v>
      </c>
      <c r="E412" s="10" t="n">
        <f aca="false">IF(AND(A412&lt;=Inputs!$B$9*12,C412&gt;0.000001),MIN(C412,Inputs!$B$41-D412),0)</f>
        <v>0</v>
      </c>
      <c r="F412" s="10" t="n">
        <f aca="false">C412-E412</f>
        <v>1.28693500300869E-010</v>
      </c>
      <c r="G412" s="10" t="n">
        <f aca="false">IF(AND(Inputs!$B$43=1,C412&gt;0.78*Inputs!$B$7,A412&lt;=Inputs!$B$9*6),Inputs!$B$16*Inputs!$B$39/12,0)</f>
        <v>0</v>
      </c>
      <c r="H412" s="10" t="n">
        <f aca="false">IF(B412=1,Inputs!$B$7,INDEX(Annual!$AC$2:$AC$51,B412-1))</f>
        <v>1897158.1702942</v>
      </c>
      <c r="I412" s="10" t="n">
        <f aca="false">Inputs!$B$12*IF(Inputs!$B$35="",H412,MIN(H412,Inputs!$B$7*(1+Inputs!$B$35)^(B412-1)))/12</f>
        <v>1422.86862772065</v>
      </c>
      <c r="J412" s="10" t="n">
        <f aca="false">Inputs!$B$13*Inputs!$B$7*(1+Inputs!$B$22)^(B412-1)/12</f>
        <v>532.751475299022</v>
      </c>
      <c r="K412" s="10" t="n">
        <f aca="false">Inputs!$B$14*Inputs!$B$7*(1+Inputs!$B$22)^(B412-1)/12</f>
        <v>1065.50295059804</v>
      </c>
      <c r="L412" s="10" t="n">
        <f aca="false">Inputs!$B$15*(1+Inputs!$B$22)^(B412-1)</f>
        <v>0</v>
      </c>
      <c r="M412" s="10" t="n">
        <f aca="false">INDEX(Annual!$N$2:$N$51,B412)/12</f>
        <v>0</v>
      </c>
      <c r="N412" s="10" t="n">
        <f aca="false">D412+E412+G412+I412+J412+K412+L412-M412</f>
        <v>3021.12305361772</v>
      </c>
      <c r="O412" s="10" t="n">
        <f aca="false">Inputs!$B$17*(1+Inputs!$B$18)^(B412-1)+Inputs!$B$19*(1+Inputs!$B$22)^(B412-1)</f>
        <v>8090.50894161082</v>
      </c>
      <c r="P412" s="10" t="n">
        <f aca="false">N412-O412</f>
        <v>-5069.38588799311</v>
      </c>
      <c r="Q412" s="10" t="n">
        <f aca="false">Q411*(1+Inputs!$B$42)-U412+MAX(P412,0)</f>
        <v>2017733.58991229</v>
      </c>
      <c r="R412" s="10" t="n">
        <f aca="false">R411+Q411*Inputs!$B$48-U412+MAX(P412,0)</f>
        <v>502193.308650048</v>
      </c>
      <c r="S412" s="10" t="n">
        <f aca="false">S411*(1+Inputs!$B$42)-V412+MAX(-P412,0)</f>
        <v>476046.724543861</v>
      </c>
      <c r="T412" s="10" t="n">
        <f aca="false">T411+S411*Inputs!$B$48-V412+MAX(-P412,0)</f>
        <v>369960.374414077</v>
      </c>
      <c r="U412" s="10" t="n">
        <f aca="false">Q411*Inputs!$B$48*Inputs!$B$29</f>
        <v>275.916236579105</v>
      </c>
      <c r="V412" s="10" t="n">
        <f aca="false">S411*Inputs!$B$48*Inputs!$B$29</f>
        <v>64.4040895416816</v>
      </c>
    </row>
    <row r="413" customFormat="false" ht="15" hidden="false" customHeight="false" outlineLevel="0" collapsed="false">
      <c r="A413" s="16" t="n">
        <v>412</v>
      </c>
      <c r="B413" s="16" t="n">
        <f aca="false">ROUNDUP(A413/12,0)</f>
        <v>35</v>
      </c>
      <c r="C413" s="10" t="n">
        <f aca="false">F412</f>
        <v>1.28693500300869E-010</v>
      </c>
      <c r="D413" s="10" t="n">
        <f aca="false">IF(AND(A413&lt;=Inputs!$B$9*12,C413&gt;0.000001),C413*Inputs!$B$10/12,0)</f>
        <v>0</v>
      </c>
      <c r="E413" s="10" t="n">
        <f aca="false">IF(AND(A413&lt;=Inputs!$B$9*12,C413&gt;0.000001),MIN(C413,Inputs!$B$41-D413),0)</f>
        <v>0</v>
      </c>
      <c r="F413" s="10" t="n">
        <f aca="false">C413-E413</f>
        <v>1.28693500300869E-010</v>
      </c>
      <c r="G413" s="10" t="n">
        <f aca="false">IF(AND(Inputs!$B$43=1,C413&gt;0.78*Inputs!$B$7,A413&lt;=Inputs!$B$9*6),Inputs!$B$16*Inputs!$B$39/12,0)</f>
        <v>0</v>
      </c>
      <c r="H413" s="10" t="n">
        <f aca="false">IF(B413=1,Inputs!$B$7,INDEX(Annual!$AC$2:$AC$51,B413-1))</f>
        <v>1897158.1702942</v>
      </c>
      <c r="I413" s="10" t="n">
        <f aca="false">Inputs!$B$12*IF(Inputs!$B$35="",H413,MIN(H413,Inputs!$B$7*(1+Inputs!$B$35)^(B413-1)))/12</f>
        <v>1422.86862772065</v>
      </c>
      <c r="J413" s="10" t="n">
        <f aca="false">Inputs!$B$13*Inputs!$B$7*(1+Inputs!$B$22)^(B413-1)/12</f>
        <v>532.751475299022</v>
      </c>
      <c r="K413" s="10" t="n">
        <f aca="false">Inputs!$B$14*Inputs!$B$7*(1+Inputs!$B$22)^(B413-1)/12</f>
        <v>1065.50295059804</v>
      </c>
      <c r="L413" s="10" t="n">
        <f aca="false">Inputs!$B$15*(1+Inputs!$B$22)^(B413-1)</f>
        <v>0</v>
      </c>
      <c r="M413" s="10" t="n">
        <f aca="false">INDEX(Annual!$N$2:$N$51,B413)/12</f>
        <v>0</v>
      </c>
      <c r="N413" s="10" t="n">
        <f aca="false">D413+E413+G413+I413+J413+K413+L413-M413</f>
        <v>3021.12305361772</v>
      </c>
      <c r="O413" s="10" t="n">
        <f aca="false">Inputs!$B$17*(1+Inputs!$B$18)^(B413-1)+Inputs!$B$19*(1+Inputs!$B$22)^(B413-1)</f>
        <v>8090.50894161082</v>
      </c>
      <c r="P413" s="10" t="n">
        <f aca="false">N413-O413</f>
        <v>-5069.38588799311</v>
      </c>
      <c r="Q413" s="10" t="n">
        <f aca="false">Q412*(1+Inputs!$B$42)-U413+MAX(P413,0)</f>
        <v>2028864.71061409</v>
      </c>
      <c r="R413" s="10" t="n">
        <f aca="false">R412+Q412*Inputs!$B$48-U413+MAX(P413,0)</f>
        <v>503765.459405522</v>
      </c>
      <c r="S413" s="10" t="n">
        <f aca="false">S412*(1+Inputs!$B$42)-V413+MAX(-P413,0)</f>
        <v>483742.291398998</v>
      </c>
      <c r="T413" s="10" t="n">
        <f aca="false">T412+S412*Inputs!$B$48-V413+MAX(-P413,0)</f>
        <v>375400.680041611</v>
      </c>
      <c r="U413" s="10" t="n">
        <f aca="false">Q412*Inputs!$B$48*Inputs!$B$29</f>
        <v>277.43836861294</v>
      </c>
      <c r="V413" s="10" t="n">
        <f aca="false">S412*Inputs!$B$48*Inputs!$B$29</f>
        <v>65.4564246247808</v>
      </c>
    </row>
    <row r="414" customFormat="false" ht="15" hidden="false" customHeight="false" outlineLevel="0" collapsed="false">
      <c r="A414" s="16" t="n">
        <v>413</v>
      </c>
      <c r="B414" s="16" t="n">
        <f aca="false">ROUNDUP(A414/12,0)</f>
        <v>35</v>
      </c>
      <c r="C414" s="10" t="n">
        <f aca="false">F413</f>
        <v>1.28693500300869E-010</v>
      </c>
      <c r="D414" s="10" t="n">
        <f aca="false">IF(AND(A414&lt;=Inputs!$B$9*12,C414&gt;0.000001),C414*Inputs!$B$10/12,0)</f>
        <v>0</v>
      </c>
      <c r="E414" s="10" t="n">
        <f aca="false">IF(AND(A414&lt;=Inputs!$B$9*12,C414&gt;0.000001),MIN(C414,Inputs!$B$41-D414),0)</f>
        <v>0</v>
      </c>
      <c r="F414" s="10" t="n">
        <f aca="false">C414-E414</f>
        <v>1.28693500300869E-010</v>
      </c>
      <c r="G414" s="10" t="n">
        <f aca="false">IF(AND(Inputs!$B$43=1,C414&gt;0.78*Inputs!$B$7,A414&lt;=Inputs!$B$9*6),Inputs!$B$16*Inputs!$B$39/12,0)</f>
        <v>0</v>
      </c>
      <c r="H414" s="10" t="n">
        <f aca="false">IF(B414=1,Inputs!$B$7,INDEX(Annual!$AC$2:$AC$51,B414-1))</f>
        <v>1897158.1702942</v>
      </c>
      <c r="I414" s="10" t="n">
        <f aca="false">Inputs!$B$12*IF(Inputs!$B$35="",H414,MIN(H414,Inputs!$B$7*(1+Inputs!$B$35)^(B414-1)))/12</f>
        <v>1422.86862772065</v>
      </c>
      <c r="J414" s="10" t="n">
        <f aca="false">Inputs!$B$13*Inputs!$B$7*(1+Inputs!$B$22)^(B414-1)/12</f>
        <v>532.751475299022</v>
      </c>
      <c r="K414" s="10" t="n">
        <f aca="false">Inputs!$B$14*Inputs!$B$7*(1+Inputs!$B$22)^(B414-1)/12</f>
        <v>1065.50295059804</v>
      </c>
      <c r="L414" s="10" t="n">
        <f aca="false">Inputs!$B$15*(1+Inputs!$B$22)^(B414-1)</f>
        <v>0</v>
      </c>
      <c r="M414" s="10" t="n">
        <f aca="false">INDEX(Annual!$N$2:$N$51,B414)/12</f>
        <v>0</v>
      </c>
      <c r="N414" s="10" t="n">
        <f aca="false">D414+E414+G414+I414+J414+K414+L414-M414</f>
        <v>3021.12305361772</v>
      </c>
      <c r="O414" s="10" t="n">
        <f aca="false">Inputs!$B$17*(1+Inputs!$B$18)^(B414-1)+Inputs!$B$19*(1+Inputs!$B$22)^(B414-1)</f>
        <v>8090.50894161082</v>
      </c>
      <c r="P414" s="10" t="n">
        <f aca="false">N414-O414</f>
        <v>-5069.38588799311</v>
      </c>
      <c r="Q414" s="10" t="n">
        <f aca="false">Q413*(1+Inputs!$B$42)-U414+MAX(P414,0)</f>
        <v>2040057.23776157</v>
      </c>
      <c r="R414" s="10" t="n">
        <f aca="false">R413+Q413*Inputs!$B$48-U414+MAX(P414,0)</f>
        <v>505346.283159208</v>
      </c>
      <c r="S414" s="10" t="n">
        <f aca="false">S413*(1+Inputs!$B$42)-V414+MAX(-P414,0)</f>
        <v>491480.31196753</v>
      </c>
      <c r="T414" s="10" t="n">
        <f aca="false">T413+S413*Inputs!$B$48-V414+MAX(-P414,0)</f>
        <v>380846.981798319</v>
      </c>
      <c r="U414" s="10" t="n">
        <f aca="false">Q413*Inputs!$B$48*Inputs!$B$29</f>
        <v>278.968897709438</v>
      </c>
      <c r="V414" s="10" t="n">
        <f aca="false">S413*Inputs!$B$48*Inputs!$B$29</f>
        <v>66.5145650673622</v>
      </c>
    </row>
    <row r="415" customFormat="false" ht="15" hidden="false" customHeight="false" outlineLevel="0" collapsed="false">
      <c r="A415" s="16" t="n">
        <v>414</v>
      </c>
      <c r="B415" s="16" t="n">
        <f aca="false">ROUNDUP(A415/12,0)</f>
        <v>35</v>
      </c>
      <c r="C415" s="10" t="n">
        <f aca="false">F414</f>
        <v>1.28693500300869E-010</v>
      </c>
      <c r="D415" s="10" t="n">
        <f aca="false">IF(AND(A415&lt;=Inputs!$B$9*12,C415&gt;0.000001),C415*Inputs!$B$10/12,0)</f>
        <v>0</v>
      </c>
      <c r="E415" s="10" t="n">
        <f aca="false">IF(AND(A415&lt;=Inputs!$B$9*12,C415&gt;0.000001),MIN(C415,Inputs!$B$41-D415),0)</f>
        <v>0</v>
      </c>
      <c r="F415" s="10" t="n">
        <f aca="false">C415-E415</f>
        <v>1.28693500300869E-010</v>
      </c>
      <c r="G415" s="10" t="n">
        <f aca="false">IF(AND(Inputs!$B$43=1,C415&gt;0.78*Inputs!$B$7,A415&lt;=Inputs!$B$9*6),Inputs!$B$16*Inputs!$B$39/12,0)</f>
        <v>0</v>
      </c>
      <c r="H415" s="10" t="n">
        <f aca="false">IF(B415=1,Inputs!$B$7,INDEX(Annual!$AC$2:$AC$51,B415-1))</f>
        <v>1897158.1702942</v>
      </c>
      <c r="I415" s="10" t="n">
        <f aca="false">Inputs!$B$12*IF(Inputs!$B$35="",H415,MIN(H415,Inputs!$B$7*(1+Inputs!$B$35)^(B415-1)))/12</f>
        <v>1422.86862772065</v>
      </c>
      <c r="J415" s="10" t="n">
        <f aca="false">Inputs!$B$13*Inputs!$B$7*(1+Inputs!$B$22)^(B415-1)/12</f>
        <v>532.751475299022</v>
      </c>
      <c r="K415" s="10" t="n">
        <f aca="false">Inputs!$B$14*Inputs!$B$7*(1+Inputs!$B$22)^(B415-1)/12</f>
        <v>1065.50295059804</v>
      </c>
      <c r="L415" s="10" t="n">
        <f aca="false">Inputs!$B$15*(1+Inputs!$B$22)^(B415-1)</f>
        <v>0</v>
      </c>
      <c r="M415" s="10" t="n">
        <f aca="false">INDEX(Annual!$N$2:$N$51,B415)/12</f>
        <v>0</v>
      </c>
      <c r="N415" s="10" t="n">
        <f aca="false">D415+E415+G415+I415+J415+K415+L415-M415</f>
        <v>3021.12305361772</v>
      </c>
      <c r="O415" s="10" t="n">
        <f aca="false">Inputs!$B$17*(1+Inputs!$B$18)^(B415-1)+Inputs!$B$19*(1+Inputs!$B$22)^(B415-1)</f>
        <v>8090.50894161082</v>
      </c>
      <c r="P415" s="10" t="n">
        <f aca="false">N415-O415</f>
        <v>-5069.38588799311</v>
      </c>
      <c r="Q415" s="10" t="n">
        <f aca="false">Q414*(1+Inputs!$B$42)-U415+MAX(P415,0)</f>
        <v>2051311.51011231</v>
      </c>
      <c r="R415" s="10" t="n">
        <f aca="false">R414+Q414*Inputs!$B$48-U415+MAX(P415,0)</f>
        <v>506935.827756964</v>
      </c>
      <c r="S415" s="10" t="n">
        <f aca="false">S414*(1+Inputs!$B$42)-V415+MAX(-P415,0)</f>
        <v>499261.020451539</v>
      </c>
      <c r="T415" s="10" t="n">
        <f aca="false">T414+S414*Inputs!$B$48-V415+MAX(-P415,0)</f>
        <v>386299.31276272</v>
      </c>
      <c r="U415" s="10" t="n">
        <f aca="false">Q414*Inputs!$B$48*Inputs!$B$29</f>
        <v>280.507870192216</v>
      </c>
      <c r="V415" s="10" t="n">
        <f aca="false">S414*Inputs!$B$48*Inputs!$B$29</f>
        <v>67.5785428955354</v>
      </c>
    </row>
    <row r="416" customFormat="false" ht="15" hidden="false" customHeight="false" outlineLevel="0" collapsed="false">
      <c r="A416" s="16" t="n">
        <v>415</v>
      </c>
      <c r="B416" s="16" t="n">
        <f aca="false">ROUNDUP(A416/12,0)</f>
        <v>35</v>
      </c>
      <c r="C416" s="10" t="n">
        <f aca="false">F415</f>
        <v>1.28693500300869E-010</v>
      </c>
      <c r="D416" s="10" t="n">
        <f aca="false">IF(AND(A416&lt;=Inputs!$B$9*12,C416&gt;0.000001),C416*Inputs!$B$10/12,0)</f>
        <v>0</v>
      </c>
      <c r="E416" s="10" t="n">
        <f aca="false">IF(AND(A416&lt;=Inputs!$B$9*12,C416&gt;0.000001),MIN(C416,Inputs!$B$41-D416),0)</f>
        <v>0</v>
      </c>
      <c r="F416" s="10" t="n">
        <f aca="false">C416-E416</f>
        <v>1.28693500300869E-010</v>
      </c>
      <c r="G416" s="10" t="n">
        <f aca="false">IF(AND(Inputs!$B$43=1,C416&gt;0.78*Inputs!$B$7,A416&lt;=Inputs!$B$9*6),Inputs!$B$16*Inputs!$B$39/12,0)</f>
        <v>0</v>
      </c>
      <c r="H416" s="10" t="n">
        <f aca="false">IF(B416=1,Inputs!$B$7,INDEX(Annual!$AC$2:$AC$51,B416-1))</f>
        <v>1897158.1702942</v>
      </c>
      <c r="I416" s="10" t="n">
        <f aca="false">Inputs!$B$12*IF(Inputs!$B$35="",H416,MIN(H416,Inputs!$B$7*(1+Inputs!$B$35)^(B416-1)))/12</f>
        <v>1422.86862772065</v>
      </c>
      <c r="J416" s="10" t="n">
        <f aca="false">Inputs!$B$13*Inputs!$B$7*(1+Inputs!$B$22)^(B416-1)/12</f>
        <v>532.751475299022</v>
      </c>
      <c r="K416" s="10" t="n">
        <f aca="false">Inputs!$B$14*Inputs!$B$7*(1+Inputs!$B$22)^(B416-1)/12</f>
        <v>1065.50295059804</v>
      </c>
      <c r="L416" s="10" t="n">
        <f aca="false">Inputs!$B$15*(1+Inputs!$B$22)^(B416-1)</f>
        <v>0</v>
      </c>
      <c r="M416" s="10" t="n">
        <f aca="false">INDEX(Annual!$N$2:$N$51,B416)/12</f>
        <v>0</v>
      </c>
      <c r="N416" s="10" t="n">
        <f aca="false">D416+E416+G416+I416+J416+K416+L416-M416</f>
        <v>3021.12305361772</v>
      </c>
      <c r="O416" s="10" t="n">
        <f aca="false">Inputs!$B$17*(1+Inputs!$B$18)^(B416-1)+Inputs!$B$19*(1+Inputs!$B$22)^(B416-1)</f>
        <v>8090.50894161082</v>
      </c>
      <c r="P416" s="10" t="n">
        <f aca="false">N416-O416</f>
        <v>-5069.38588799311</v>
      </c>
      <c r="Q416" s="10" t="n">
        <f aca="false">Q415*(1+Inputs!$B$42)-U416+MAX(P416,0)</f>
        <v>2062627.8682927</v>
      </c>
      <c r="R416" s="10" t="n">
        <f aca="false">R415+Q415*Inputs!$B$48-U416+MAX(P416,0)</f>
        <v>508534.141308594</v>
      </c>
      <c r="S416" s="10" t="n">
        <f aca="false">S415*(1+Inputs!$B$42)-V416+MAX(-P416,0)</f>
        <v>507084.652345118</v>
      </c>
      <c r="T416" s="10" t="n">
        <f aca="false">T415+S415*Inputs!$B$48-V416+MAX(-P416,0)</f>
        <v>391757.706195815</v>
      </c>
      <c r="U416" s="10" t="n">
        <f aca="false">Q415*Inputs!$B$48*Inputs!$B$29</f>
        <v>282.055332640443</v>
      </c>
      <c r="V416" s="10" t="n">
        <f aca="false">S415*Inputs!$B$48*Inputs!$B$29</f>
        <v>68.6483903120867</v>
      </c>
    </row>
    <row r="417" customFormat="false" ht="15" hidden="false" customHeight="false" outlineLevel="0" collapsed="false">
      <c r="A417" s="16" t="n">
        <v>416</v>
      </c>
      <c r="B417" s="16" t="n">
        <f aca="false">ROUNDUP(A417/12,0)</f>
        <v>35</v>
      </c>
      <c r="C417" s="10" t="n">
        <f aca="false">F416</f>
        <v>1.28693500300869E-010</v>
      </c>
      <c r="D417" s="10" t="n">
        <f aca="false">IF(AND(A417&lt;=Inputs!$B$9*12,C417&gt;0.000001),C417*Inputs!$B$10/12,0)</f>
        <v>0</v>
      </c>
      <c r="E417" s="10" t="n">
        <f aca="false">IF(AND(A417&lt;=Inputs!$B$9*12,C417&gt;0.000001),MIN(C417,Inputs!$B$41-D417),0)</f>
        <v>0</v>
      </c>
      <c r="F417" s="10" t="n">
        <f aca="false">C417-E417</f>
        <v>1.28693500300869E-010</v>
      </c>
      <c r="G417" s="10" t="n">
        <f aca="false">IF(AND(Inputs!$B$43=1,C417&gt;0.78*Inputs!$B$7,A417&lt;=Inputs!$B$9*6),Inputs!$B$16*Inputs!$B$39/12,0)</f>
        <v>0</v>
      </c>
      <c r="H417" s="10" t="n">
        <f aca="false">IF(B417=1,Inputs!$B$7,INDEX(Annual!$AC$2:$AC$51,B417-1))</f>
        <v>1897158.1702942</v>
      </c>
      <c r="I417" s="10" t="n">
        <f aca="false">Inputs!$B$12*IF(Inputs!$B$35="",H417,MIN(H417,Inputs!$B$7*(1+Inputs!$B$35)^(B417-1)))/12</f>
        <v>1422.86862772065</v>
      </c>
      <c r="J417" s="10" t="n">
        <f aca="false">Inputs!$B$13*Inputs!$B$7*(1+Inputs!$B$22)^(B417-1)/12</f>
        <v>532.751475299022</v>
      </c>
      <c r="K417" s="10" t="n">
        <f aca="false">Inputs!$B$14*Inputs!$B$7*(1+Inputs!$B$22)^(B417-1)/12</f>
        <v>1065.50295059804</v>
      </c>
      <c r="L417" s="10" t="n">
        <f aca="false">Inputs!$B$15*(1+Inputs!$B$22)^(B417-1)</f>
        <v>0</v>
      </c>
      <c r="M417" s="10" t="n">
        <f aca="false">INDEX(Annual!$N$2:$N$51,B417)/12</f>
        <v>0</v>
      </c>
      <c r="N417" s="10" t="n">
        <f aca="false">D417+E417+G417+I417+J417+K417+L417-M417</f>
        <v>3021.12305361772</v>
      </c>
      <c r="O417" s="10" t="n">
        <f aca="false">Inputs!$B$17*(1+Inputs!$B$18)^(B417-1)+Inputs!$B$19*(1+Inputs!$B$22)^(B417-1)</f>
        <v>8090.50894161082</v>
      </c>
      <c r="P417" s="10" t="n">
        <f aca="false">N417-O417</f>
        <v>-5069.38588799311</v>
      </c>
      <c r="Q417" s="10" t="n">
        <f aca="false">Q416*(1+Inputs!$B$42)-U417+MAX(P417,0)</f>
        <v>2074006.65480825</v>
      </c>
      <c r="R417" s="10" t="n">
        <f aca="false">R416+Q416*Inputs!$B$48-U417+MAX(P417,0)</f>
        <v>510141.272189305</v>
      </c>
      <c r="S417" s="10" t="n">
        <f aca="false">S416*(1+Inputs!$B$42)-V417+MAX(-P417,0)</f>
        <v>514951.444441495</v>
      </c>
      <c r="T417" s="10" t="n">
        <f aca="false">T416+S416*Inputs!$B$48-V417+MAX(-P417,0)</f>
        <v>397222.195542094</v>
      </c>
      <c r="U417" s="10" t="n">
        <f aca="false">Q416*Inputs!$B$48*Inputs!$B$29</f>
        <v>283.611331890247</v>
      </c>
      <c r="V417" s="10" t="n">
        <f aca="false">S416*Inputs!$B$48*Inputs!$B$29</f>
        <v>69.7241396974537</v>
      </c>
    </row>
    <row r="418" customFormat="false" ht="15" hidden="false" customHeight="false" outlineLevel="0" collapsed="false">
      <c r="A418" s="16" t="n">
        <v>417</v>
      </c>
      <c r="B418" s="16" t="n">
        <f aca="false">ROUNDUP(A418/12,0)</f>
        <v>35</v>
      </c>
      <c r="C418" s="10" t="n">
        <f aca="false">F417</f>
        <v>1.28693500300869E-010</v>
      </c>
      <c r="D418" s="10" t="n">
        <f aca="false">IF(AND(A418&lt;=Inputs!$B$9*12,C418&gt;0.000001),C418*Inputs!$B$10/12,0)</f>
        <v>0</v>
      </c>
      <c r="E418" s="10" t="n">
        <f aca="false">IF(AND(A418&lt;=Inputs!$B$9*12,C418&gt;0.000001),MIN(C418,Inputs!$B$41-D418),0)</f>
        <v>0</v>
      </c>
      <c r="F418" s="10" t="n">
        <f aca="false">C418-E418</f>
        <v>1.28693500300869E-010</v>
      </c>
      <c r="G418" s="10" t="n">
        <f aca="false">IF(AND(Inputs!$B$43=1,C418&gt;0.78*Inputs!$B$7,A418&lt;=Inputs!$B$9*6),Inputs!$B$16*Inputs!$B$39/12,0)</f>
        <v>0</v>
      </c>
      <c r="H418" s="10" t="n">
        <f aca="false">IF(B418=1,Inputs!$B$7,INDEX(Annual!$AC$2:$AC$51,B418-1))</f>
        <v>1897158.1702942</v>
      </c>
      <c r="I418" s="10" t="n">
        <f aca="false">Inputs!$B$12*IF(Inputs!$B$35="",H418,MIN(H418,Inputs!$B$7*(1+Inputs!$B$35)^(B418-1)))/12</f>
        <v>1422.86862772065</v>
      </c>
      <c r="J418" s="10" t="n">
        <f aca="false">Inputs!$B$13*Inputs!$B$7*(1+Inputs!$B$22)^(B418-1)/12</f>
        <v>532.751475299022</v>
      </c>
      <c r="K418" s="10" t="n">
        <f aca="false">Inputs!$B$14*Inputs!$B$7*(1+Inputs!$B$22)^(B418-1)/12</f>
        <v>1065.50295059804</v>
      </c>
      <c r="L418" s="10" t="n">
        <f aca="false">Inputs!$B$15*(1+Inputs!$B$22)^(B418-1)</f>
        <v>0</v>
      </c>
      <c r="M418" s="10" t="n">
        <f aca="false">INDEX(Annual!$N$2:$N$51,B418)/12</f>
        <v>0</v>
      </c>
      <c r="N418" s="10" t="n">
        <f aca="false">D418+E418+G418+I418+J418+K418+L418-M418</f>
        <v>3021.12305361772</v>
      </c>
      <c r="O418" s="10" t="n">
        <f aca="false">Inputs!$B$17*(1+Inputs!$B$18)^(B418-1)+Inputs!$B$19*(1+Inputs!$B$22)^(B418-1)</f>
        <v>8090.50894161082</v>
      </c>
      <c r="P418" s="10" t="n">
        <f aca="false">N418-O418</f>
        <v>-5069.38588799311</v>
      </c>
      <c r="Q418" s="10" t="n">
        <f aca="false">Q417*(1+Inputs!$B$42)-U418+MAX(P418,0)</f>
        <v>2085448.21405395</v>
      </c>
      <c r="R418" s="10" t="n">
        <f aca="false">R417+Q417*Inputs!$B$48-U418+MAX(P418,0)</f>
        <v>511757.269041176</v>
      </c>
      <c r="S418" s="10" t="n">
        <f aca="false">S417*(1+Inputs!$B$42)-V418+MAX(-P418,0)</f>
        <v>522861.634840204</v>
      </c>
      <c r="T418" s="10" t="n">
        <f aca="false">T417+S417*Inputs!$B$48-V418+MAX(-P418,0)</f>
        <v>402692.814430547</v>
      </c>
      <c r="U418" s="10" t="n">
        <f aca="false">Q417*Inputs!$B$48*Inputs!$B$29</f>
        <v>285.175915036135</v>
      </c>
      <c r="V418" s="10" t="n">
        <f aca="false">S417*Inputs!$B$48*Inputs!$B$29</f>
        <v>70.8058236107055</v>
      </c>
    </row>
    <row r="419" customFormat="false" ht="15" hidden="false" customHeight="false" outlineLevel="0" collapsed="false">
      <c r="A419" s="16" t="n">
        <v>418</v>
      </c>
      <c r="B419" s="16" t="n">
        <f aca="false">ROUNDUP(A419/12,0)</f>
        <v>35</v>
      </c>
      <c r="C419" s="10" t="n">
        <f aca="false">F418</f>
        <v>1.28693500300869E-010</v>
      </c>
      <c r="D419" s="10" t="n">
        <f aca="false">IF(AND(A419&lt;=Inputs!$B$9*12,C419&gt;0.000001),C419*Inputs!$B$10/12,0)</f>
        <v>0</v>
      </c>
      <c r="E419" s="10" t="n">
        <f aca="false">IF(AND(A419&lt;=Inputs!$B$9*12,C419&gt;0.000001),MIN(C419,Inputs!$B$41-D419),0)</f>
        <v>0</v>
      </c>
      <c r="F419" s="10" t="n">
        <f aca="false">C419-E419</f>
        <v>1.28693500300869E-010</v>
      </c>
      <c r="G419" s="10" t="n">
        <f aca="false">IF(AND(Inputs!$B$43=1,C419&gt;0.78*Inputs!$B$7,A419&lt;=Inputs!$B$9*6),Inputs!$B$16*Inputs!$B$39/12,0)</f>
        <v>0</v>
      </c>
      <c r="H419" s="10" t="n">
        <f aca="false">IF(B419=1,Inputs!$B$7,INDEX(Annual!$AC$2:$AC$51,B419-1))</f>
        <v>1897158.1702942</v>
      </c>
      <c r="I419" s="10" t="n">
        <f aca="false">Inputs!$B$12*IF(Inputs!$B$35="",H419,MIN(H419,Inputs!$B$7*(1+Inputs!$B$35)^(B419-1)))/12</f>
        <v>1422.86862772065</v>
      </c>
      <c r="J419" s="10" t="n">
        <f aca="false">Inputs!$B$13*Inputs!$B$7*(1+Inputs!$B$22)^(B419-1)/12</f>
        <v>532.751475299022</v>
      </c>
      <c r="K419" s="10" t="n">
        <f aca="false">Inputs!$B$14*Inputs!$B$7*(1+Inputs!$B$22)^(B419-1)/12</f>
        <v>1065.50295059804</v>
      </c>
      <c r="L419" s="10" t="n">
        <f aca="false">Inputs!$B$15*(1+Inputs!$B$22)^(B419-1)</f>
        <v>0</v>
      </c>
      <c r="M419" s="10" t="n">
        <f aca="false">INDEX(Annual!$N$2:$N$51,B419)/12</f>
        <v>0</v>
      </c>
      <c r="N419" s="10" t="n">
        <f aca="false">D419+E419+G419+I419+J419+K419+L419-M419</f>
        <v>3021.12305361772</v>
      </c>
      <c r="O419" s="10" t="n">
        <f aca="false">Inputs!$B$17*(1+Inputs!$B$18)^(B419-1)+Inputs!$B$19*(1+Inputs!$B$22)^(B419-1)</f>
        <v>8090.50894161082</v>
      </c>
      <c r="P419" s="10" t="n">
        <f aca="false">N419-O419</f>
        <v>-5069.38588799311</v>
      </c>
      <c r="Q419" s="10" t="n">
        <f aca="false">Q418*(1+Inputs!$B$42)-U419+MAX(P419,0)</f>
        <v>2096952.89232468</v>
      </c>
      <c r="R419" s="10" t="n">
        <f aca="false">R418+Q418*Inputs!$B$48-U419+MAX(P419,0)</f>
        <v>513382.180774627</v>
      </c>
      <c r="S419" s="10" t="n">
        <f aca="false">S418*(1+Inputs!$B$42)-V419+MAX(-P419,0)</f>
        <v>530815.462954289</v>
      </c>
      <c r="T419" s="10" t="n">
        <f aca="false">T418+S418*Inputs!$B$48-V419+MAX(-P419,0)</f>
        <v>408169.596675687</v>
      </c>
      <c r="U419" s="10" t="n">
        <f aca="false">Q418*Inputs!$B$48*Inputs!$B$29</f>
        <v>286.749129432418</v>
      </c>
      <c r="V419" s="10" t="n">
        <f aca="false">S418*Inputs!$B$48*Inputs!$B$29</f>
        <v>71.893474790528</v>
      </c>
    </row>
    <row r="420" customFormat="false" ht="15" hidden="false" customHeight="false" outlineLevel="0" collapsed="false">
      <c r="A420" s="16" t="n">
        <v>419</v>
      </c>
      <c r="B420" s="16" t="n">
        <f aca="false">ROUNDUP(A420/12,0)</f>
        <v>35</v>
      </c>
      <c r="C420" s="10" t="n">
        <f aca="false">F419</f>
        <v>1.28693500300869E-010</v>
      </c>
      <c r="D420" s="10" t="n">
        <f aca="false">IF(AND(A420&lt;=Inputs!$B$9*12,C420&gt;0.000001),C420*Inputs!$B$10/12,0)</f>
        <v>0</v>
      </c>
      <c r="E420" s="10" t="n">
        <f aca="false">IF(AND(A420&lt;=Inputs!$B$9*12,C420&gt;0.000001),MIN(C420,Inputs!$B$41-D420),0)</f>
        <v>0</v>
      </c>
      <c r="F420" s="10" t="n">
        <f aca="false">C420-E420</f>
        <v>1.28693500300869E-010</v>
      </c>
      <c r="G420" s="10" t="n">
        <f aca="false">IF(AND(Inputs!$B$43=1,C420&gt;0.78*Inputs!$B$7,A420&lt;=Inputs!$B$9*6),Inputs!$B$16*Inputs!$B$39/12,0)</f>
        <v>0</v>
      </c>
      <c r="H420" s="10" t="n">
        <f aca="false">IF(B420=1,Inputs!$B$7,INDEX(Annual!$AC$2:$AC$51,B420-1))</f>
        <v>1897158.1702942</v>
      </c>
      <c r="I420" s="10" t="n">
        <f aca="false">Inputs!$B$12*IF(Inputs!$B$35="",H420,MIN(H420,Inputs!$B$7*(1+Inputs!$B$35)^(B420-1)))/12</f>
        <v>1422.86862772065</v>
      </c>
      <c r="J420" s="10" t="n">
        <f aca="false">Inputs!$B$13*Inputs!$B$7*(1+Inputs!$B$22)^(B420-1)/12</f>
        <v>532.751475299022</v>
      </c>
      <c r="K420" s="10" t="n">
        <f aca="false">Inputs!$B$14*Inputs!$B$7*(1+Inputs!$B$22)^(B420-1)/12</f>
        <v>1065.50295059804</v>
      </c>
      <c r="L420" s="10" t="n">
        <f aca="false">Inputs!$B$15*(1+Inputs!$B$22)^(B420-1)</f>
        <v>0</v>
      </c>
      <c r="M420" s="10" t="n">
        <f aca="false">INDEX(Annual!$N$2:$N$51,B420)/12</f>
        <v>0</v>
      </c>
      <c r="N420" s="10" t="n">
        <f aca="false">D420+E420+G420+I420+J420+K420+L420-M420</f>
        <v>3021.12305361772</v>
      </c>
      <c r="O420" s="10" t="n">
        <f aca="false">Inputs!$B$17*(1+Inputs!$B$18)^(B420-1)+Inputs!$B$19*(1+Inputs!$B$22)^(B420-1)</f>
        <v>8090.50894161082</v>
      </c>
      <c r="P420" s="10" t="n">
        <f aca="false">N420-O420</f>
        <v>-5069.38588799311</v>
      </c>
      <c r="Q420" s="10" t="n">
        <f aca="false">Q419*(1+Inputs!$B$42)-U420+MAX(P420,0)</f>
        <v>2108521.03782573</v>
      </c>
      <c r="R420" s="10" t="n">
        <f aca="false">R419+Q419*Inputs!$B$48-U420+MAX(P420,0)</f>
        <v>515016.056569896</v>
      </c>
      <c r="S420" s="10" t="n">
        <f aca="false">S419*(1+Inputs!$B$42)-V420+MAX(-P420,0)</f>
        <v>538813.169517553</v>
      </c>
      <c r="T420" s="10" t="n">
        <f aca="false">T419+S419*Inputs!$B$48-V420+MAX(-P420,0)</f>
        <v>413652.576278565</v>
      </c>
      <c r="U420" s="10" t="n">
        <f aca="false">Q419*Inputs!$B$48*Inputs!$B$29</f>
        <v>288.331022694644</v>
      </c>
      <c r="V420" s="10" t="n">
        <f aca="false">S419*Inputs!$B$48*Inputs!$B$29</f>
        <v>72.9871261562148</v>
      </c>
    </row>
    <row r="421" customFormat="false" ht="15" hidden="false" customHeight="false" outlineLevel="0" collapsed="false">
      <c r="A421" s="16" t="n">
        <v>420</v>
      </c>
      <c r="B421" s="16" t="n">
        <f aca="false">ROUNDUP(A421/12,0)</f>
        <v>35</v>
      </c>
      <c r="C421" s="10" t="n">
        <f aca="false">F420</f>
        <v>1.28693500300869E-010</v>
      </c>
      <c r="D421" s="10" t="n">
        <f aca="false">IF(AND(A421&lt;=Inputs!$B$9*12,C421&gt;0.000001),C421*Inputs!$B$10/12,0)</f>
        <v>0</v>
      </c>
      <c r="E421" s="10" t="n">
        <f aca="false">IF(AND(A421&lt;=Inputs!$B$9*12,C421&gt;0.000001),MIN(C421,Inputs!$B$41-D421),0)</f>
        <v>0</v>
      </c>
      <c r="F421" s="10" t="n">
        <f aca="false">C421-E421</f>
        <v>1.28693500300869E-010</v>
      </c>
      <c r="G421" s="10" t="n">
        <f aca="false">IF(AND(Inputs!$B$43=1,C421&gt;0.78*Inputs!$B$7,A421&lt;=Inputs!$B$9*6),Inputs!$B$16*Inputs!$B$39/12,0)</f>
        <v>0</v>
      </c>
      <c r="H421" s="10" t="n">
        <f aca="false">IF(B421=1,Inputs!$B$7,INDEX(Annual!$AC$2:$AC$51,B421-1))</f>
        <v>1897158.1702942</v>
      </c>
      <c r="I421" s="10" t="n">
        <f aca="false">Inputs!$B$12*IF(Inputs!$B$35="",H421,MIN(H421,Inputs!$B$7*(1+Inputs!$B$35)^(B421-1)))/12</f>
        <v>1422.86862772065</v>
      </c>
      <c r="J421" s="10" t="n">
        <f aca="false">Inputs!$B$13*Inputs!$B$7*(1+Inputs!$B$22)^(B421-1)/12</f>
        <v>532.751475299022</v>
      </c>
      <c r="K421" s="10" t="n">
        <f aca="false">Inputs!$B$14*Inputs!$B$7*(1+Inputs!$B$22)^(B421-1)/12</f>
        <v>1065.50295059804</v>
      </c>
      <c r="L421" s="10" t="n">
        <f aca="false">Inputs!$B$15*(1+Inputs!$B$22)^(B421-1)</f>
        <v>0</v>
      </c>
      <c r="M421" s="10" t="n">
        <f aca="false">INDEX(Annual!$N$2:$N$51,B421)/12</f>
        <v>0</v>
      </c>
      <c r="N421" s="10" t="n">
        <f aca="false">D421+E421+G421+I421+J421+K421+L421-M421</f>
        <v>3021.12305361772</v>
      </c>
      <c r="O421" s="10" t="n">
        <f aca="false">Inputs!$B$17*(1+Inputs!$B$18)^(B421-1)+Inputs!$B$19*(1+Inputs!$B$22)^(B421-1)</f>
        <v>8090.50894161082</v>
      </c>
      <c r="P421" s="10" t="n">
        <f aca="false">N421-O421</f>
        <v>-5069.38588799311</v>
      </c>
      <c r="Q421" s="10" t="n">
        <f aca="false">Q420*(1+Inputs!$B$42)-U421+MAX(P421,0)</f>
        <v>2120153.0006833</v>
      </c>
      <c r="R421" s="10" t="n">
        <f aca="false">R420+Q420*Inputs!$B$48-U421+MAX(P421,0)</f>
        <v>516658.945878536</v>
      </c>
      <c r="S421" s="10" t="n">
        <f aca="false">S420*(1+Inputs!$B$42)-V421+MAX(-P421,0)</f>
        <v>546854.996591838</v>
      </c>
      <c r="T421" s="10" t="n">
        <f aca="false">T420+S420*Inputs!$B$48-V421+MAX(-P421,0)</f>
        <v>419141.787427807</v>
      </c>
      <c r="U421" s="10" t="n">
        <f aca="false">Q420*Inputs!$B$48*Inputs!$B$29</f>
        <v>289.921642701038</v>
      </c>
      <c r="V421" s="10" t="n">
        <f aca="false">S420*Inputs!$B$48*Inputs!$B$29</f>
        <v>74.0868108086635</v>
      </c>
    </row>
    <row r="422" customFormat="false" ht="15" hidden="false" customHeight="false" outlineLevel="0" collapsed="false">
      <c r="A422" s="16" t="n">
        <v>421</v>
      </c>
      <c r="B422" s="16" t="n">
        <f aca="false">ROUNDUP(A422/12,0)</f>
        <v>36</v>
      </c>
      <c r="C422" s="10" t="n">
        <f aca="false">F421</f>
        <v>1.28693500300869E-010</v>
      </c>
      <c r="D422" s="10" t="n">
        <f aca="false">IF(AND(A422&lt;=Inputs!$B$9*12,C422&gt;0.000001),C422*Inputs!$B$10/12,0)</f>
        <v>0</v>
      </c>
      <c r="E422" s="10" t="n">
        <f aca="false">IF(AND(A422&lt;=Inputs!$B$9*12,C422&gt;0.000001),MIN(C422,Inputs!$B$41-D422),0)</f>
        <v>0</v>
      </c>
      <c r="F422" s="10" t="n">
        <f aca="false">C422-E422</f>
        <v>1.28693500300869E-010</v>
      </c>
      <c r="G422" s="10" t="n">
        <f aca="false">IF(AND(Inputs!$B$43=1,C422&gt;0.78*Inputs!$B$7,A422&lt;=Inputs!$B$9*6),Inputs!$B$16*Inputs!$B$39/12,0)</f>
        <v>0</v>
      </c>
      <c r="H422" s="10" t="n">
        <f aca="false">IF(B422=1,Inputs!$B$7,INDEX(Annual!$AC$2:$AC$51,B422-1))</f>
        <v>1973044.49710597</v>
      </c>
      <c r="I422" s="10" t="n">
        <f aca="false">Inputs!$B$12*IF(Inputs!$B$35="",H422,MIN(H422,Inputs!$B$7*(1+Inputs!$B$35)^(B422-1)))/12</f>
        <v>1479.78337282948</v>
      </c>
      <c r="J422" s="10" t="n">
        <f aca="false">Inputs!$B$13*Inputs!$B$7*(1+Inputs!$B$22)^(B422-1)/12</f>
        <v>547.668516607395</v>
      </c>
      <c r="K422" s="10" t="n">
        <f aca="false">Inputs!$B$14*Inputs!$B$7*(1+Inputs!$B$22)^(B422-1)/12</f>
        <v>1095.33703321479</v>
      </c>
      <c r="L422" s="10" t="n">
        <f aca="false">Inputs!$B$15*(1+Inputs!$B$22)^(B422-1)</f>
        <v>0</v>
      </c>
      <c r="M422" s="10" t="n">
        <f aca="false">INDEX(Annual!$N$2:$N$51,B422)/12</f>
        <v>0</v>
      </c>
      <c r="N422" s="10" t="n">
        <f aca="false">D422+E422+G422+I422+J422+K422+L422-M422</f>
        <v>3122.78892265166</v>
      </c>
      <c r="O422" s="10" t="n">
        <f aca="false">Inputs!$B$17*(1+Inputs!$B$18)^(B422-1)+Inputs!$B$19*(1+Inputs!$B$22)^(B422-1)</f>
        <v>8373.40824782365</v>
      </c>
      <c r="P422" s="10" t="n">
        <f aca="false">N422-O422</f>
        <v>-5250.61932517199</v>
      </c>
      <c r="Q422" s="10" t="n">
        <f aca="false">Q421*(1+Inputs!$B$42)-U422+MAX(P422,0)</f>
        <v>2131849.13295511</v>
      </c>
      <c r="R422" s="10" t="n">
        <f aca="false">R421+Q421*Inputs!$B$48-U422+MAX(P422,0)</f>
        <v>518310.898424901</v>
      </c>
      <c r="S422" s="10" t="n">
        <f aca="false">S421*(1+Inputs!$B$42)-V422+MAX(-P422,0)</f>
        <v>555122.421011538</v>
      </c>
      <c r="T422" s="10" t="n">
        <f aca="false">T421+S421*Inputs!$B$48-V422+MAX(-P422,0)</f>
        <v>424818.497937824</v>
      </c>
      <c r="U422" s="10" t="n">
        <f aca="false">Q421*Inputs!$B$48*Inputs!$B$29</f>
        <v>291.521037593954</v>
      </c>
      <c r="V422" s="10" t="n">
        <f aca="false">S421*Inputs!$B$48*Inputs!$B$29</f>
        <v>75.1925620313777</v>
      </c>
    </row>
    <row r="423" customFormat="false" ht="15" hidden="false" customHeight="false" outlineLevel="0" collapsed="false">
      <c r="A423" s="16" t="n">
        <v>422</v>
      </c>
      <c r="B423" s="16" t="n">
        <f aca="false">ROUNDUP(A423/12,0)</f>
        <v>36</v>
      </c>
      <c r="C423" s="10" t="n">
        <f aca="false">F422</f>
        <v>1.28693500300869E-010</v>
      </c>
      <c r="D423" s="10" t="n">
        <f aca="false">IF(AND(A423&lt;=Inputs!$B$9*12,C423&gt;0.000001),C423*Inputs!$B$10/12,0)</f>
        <v>0</v>
      </c>
      <c r="E423" s="10" t="n">
        <f aca="false">IF(AND(A423&lt;=Inputs!$B$9*12,C423&gt;0.000001),MIN(C423,Inputs!$B$41-D423),0)</f>
        <v>0</v>
      </c>
      <c r="F423" s="10" t="n">
        <f aca="false">C423-E423</f>
        <v>1.28693500300869E-010</v>
      </c>
      <c r="G423" s="10" t="n">
        <f aca="false">IF(AND(Inputs!$B$43=1,C423&gt;0.78*Inputs!$B$7,A423&lt;=Inputs!$B$9*6),Inputs!$B$16*Inputs!$B$39/12,0)</f>
        <v>0</v>
      </c>
      <c r="H423" s="10" t="n">
        <f aca="false">IF(B423=1,Inputs!$B$7,INDEX(Annual!$AC$2:$AC$51,B423-1))</f>
        <v>1973044.49710597</v>
      </c>
      <c r="I423" s="10" t="n">
        <f aca="false">Inputs!$B$12*IF(Inputs!$B$35="",H423,MIN(H423,Inputs!$B$7*(1+Inputs!$B$35)^(B423-1)))/12</f>
        <v>1479.78337282948</v>
      </c>
      <c r="J423" s="10" t="n">
        <f aca="false">Inputs!$B$13*Inputs!$B$7*(1+Inputs!$B$22)^(B423-1)/12</f>
        <v>547.668516607395</v>
      </c>
      <c r="K423" s="10" t="n">
        <f aca="false">Inputs!$B$14*Inputs!$B$7*(1+Inputs!$B$22)^(B423-1)/12</f>
        <v>1095.33703321479</v>
      </c>
      <c r="L423" s="10" t="n">
        <f aca="false">Inputs!$B$15*(1+Inputs!$B$22)^(B423-1)</f>
        <v>0</v>
      </c>
      <c r="M423" s="10" t="n">
        <f aca="false">INDEX(Annual!$N$2:$N$51,B423)/12</f>
        <v>0</v>
      </c>
      <c r="N423" s="10" t="n">
        <f aca="false">D423+E423+G423+I423+J423+K423+L423-M423</f>
        <v>3122.78892265166</v>
      </c>
      <c r="O423" s="10" t="n">
        <f aca="false">Inputs!$B$17*(1+Inputs!$B$18)^(B423-1)+Inputs!$B$19*(1+Inputs!$B$22)^(B423-1)</f>
        <v>8373.40824782365</v>
      </c>
      <c r="P423" s="10" t="n">
        <f aca="false">N423-O423</f>
        <v>-5250.61932517199</v>
      </c>
      <c r="Q423" s="10" t="n">
        <f aca="false">Q422*(1+Inputs!$B$42)-U423+MAX(P423,0)</f>
        <v>2143609.78864107</v>
      </c>
      <c r="R423" s="10" t="n">
        <f aca="false">R422+Q422*Inputs!$B$48-U423+MAX(P423,0)</f>
        <v>519971.964207662</v>
      </c>
      <c r="S423" s="10" t="n">
        <f aca="false">S422*(1+Inputs!$B$42)-V423+MAX(-P423,0)</f>
        <v>563435.453880028</v>
      </c>
      <c r="T423" s="10" t="n">
        <f aca="false">T422+S422*Inputs!$B$48-V423+MAX(-P423,0)</f>
        <v>430501.650149367</v>
      </c>
      <c r="U423" s="10" t="n">
        <f aca="false">Q422*Inputs!$B$48*Inputs!$B$29</f>
        <v>293.129255781328</v>
      </c>
      <c r="V423" s="10" t="n">
        <f aca="false">S422*Inputs!$B$48*Inputs!$B$29</f>
        <v>76.3293328890864</v>
      </c>
    </row>
    <row r="424" customFormat="false" ht="15" hidden="false" customHeight="false" outlineLevel="0" collapsed="false">
      <c r="A424" s="16" t="n">
        <v>423</v>
      </c>
      <c r="B424" s="16" t="n">
        <f aca="false">ROUNDUP(A424/12,0)</f>
        <v>36</v>
      </c>
      <c r="C424" s="10" t="n">
        <f aca="false">F423</f>
        <v>1.28693500300869E-010</v>
      </c>
      <c r="D424" s="10" t="n">
        <f aca="false">IF(AND(A424&lt;=Inputs!$B$9*12,C424&gt;0.000001),C424*Inputs!$B$10/12,0)</f>
        <v>0</v>
      </c>
      <c r="E424" s="10" t="n">
        <f aca="false">IF(AND(A424&lt;=Inputs!$B$9*12,C424&gt;0.000001),MIN(C424,Inputs!$B$41-D424),0)</f>
        <v>0</v>
      </c>
      <c r="F424" s="10" t="n">
        <f aca="false">C424-E424</f>
        <v>1.28693500300869E-010</v>
      </c>
      <c r="G424" s="10" t="n">
        <f aca="false">IF(AND(Inputs!$B$43=1,C424&gt;0.78*Inputs!$B$7,A424&lt;=Inputs!$B$9*6),Inputs!$B$16*Inputs!$B$39/12,0)</f>
        <v>0</v>
      </c>
      <c r="H424" s="10" t="n">
        <f aca="false">IF(B424=1,Inputs!$B$7,INDEX(Annual!$AC$2:$AC$51,B424-1))</f>
        <v>1973044.49710597</v>
      </c>
      <c r="I424" s="10" t="n">
        <f aca="false">Inputs!$B$12*IF(Inputs!$B$35="",H424,MIN(H424,Inputs!$B$7*(1+Inputs!$B$35)^(B424-1)))/12</f>
        <v>1479.78337282948</v>
      </c>
      <c r="J424" s="10" t="n">
        <f aca="false">Inputs!$B$13*Inputs!$B$7*(1+Inputs!$B$22)^(B424-1)/12</f>
        <v>547.668516607395</v>
      </c>
      <c r="K424" s="10" t="n">
        <f aca="false">Inputs!$B$14*Inputs!$B$7*(1+Inputs!$B$22)^(B424-1)/12</f>
        <v>1095.33703321479</v>
      </c>
      <c r="L424" s="10" t="n">
        <f aca="false">Inputs!$B$15*(1+Inputs!$B$22)^(B424-1)</f>
        <v>0</v>
      </c>
      <c r="M424" s="10" t="n">
        <f aca="false">INDEX(Annual!$N$2:$N$51,B424)/12</f>
        <v>0</v>
      </c>
      <c r="N424" s="10" t="n">
        <f aca="false">D424+E424+G424+I424+J424+K424+L424-M424</f>
        <v>3122.78892265166</v>
      </c>
      <c r="O424" s="10" t="n">
        <f aca="false">Inputs!$B$17*(1+Inputs!$B$18)^(B424-1)+Inputs!$B$19*(1+Inputs!$B$22)^(B424-1)</f>
        <v>8373.40824782365</v>
      </c>
      <c r="P424" s="10" t="n">
        <f aca="false">N424-O424</f>
        <v>-5250.61932517199</v>
      </c>
      <c r="Q424" s="10" t="n">
        <f aca="false">Q423*(1+Inputs!$B$42)-U424+MAX(P424,0)</f>
        <v>2155435.32369398</v>
      </c>
      <c r="R424" s="10" t="n">
        <f aca="false">R423+Q423*Inputs!$B$48-U424+MAX(P424,0)</f>
        <v>521642.193501312</v>
      </c>
      <c r="S424" s="10" t="n">
        <f aca="false">S423*(1+Inputs!$B$42)-V424+MAX(-P424,0)</f>
        <v>571794.346802948</v>
      </c>
      <c r="T424" s="10" t="n">
        <f aca="false">T423+S423*Inputs!$B$48-V424+MAX(-P424,0)</f>
        <v>436191.279599021</v>
      </c>
      <c r="U424" s="10" t="n">
        <f aca="false">Q423*Inputs!$B$48*Inputs!$B$29</f>
        <v>294.746345938147</v>
      </c>
      <c r="V424" s="10" t="n">
        <f aca="false">S423*Inputs!$B$48*Inputs!$B$29</f>
        <v>77.4723749085039</v>
      </c>
    </row>
    <row r="425" customFormat="false" ht="15" hidden="false" customHeight="false" outlineLevel="0" collapsed="false">
      <c r="A425" s="16" t="n">
        <v>424</v>
      </c>
      <c r="B425" s="16" t="n">
        <f aca="false">ROUNDUP(A425/12,0)</f>
        <v>36</v>
      </c>
      <c r="C425" s="10" t="n">
        <f aca="false">F424</f>
        <v>1.28693500300869E-010</v>
      </c>
      <c r="D425" s="10" t="n">
        <f aca="false">IF(AND(A425&lt;=Inputs!$B$9*12,C425&gt;0.000001),C425*Inputs!$B$10/12,0)</f>
        <v>0</v>
      </c>
      <c r="E425" s="10" t="n">
        <f aca="false">IF(AND(A425&lt;=Inputs!$B$9*12,C425&gt;0.000001),MIN(C425,Inputs!$B$41-D425),0)</f>
        <v>0</v>
      </c>
      <c r="F425" s="10" t="n">
        <f aca="false">C425-E425</f>
        <v>1.28693500300869E-010</v>
      </c>
      <c r="G425" s="10" t="n">
        <f aca="false">IF(AND(Inputs!$B$43=1,C425&gt;0.78*Inputs!$B$7,A425&lt;=Inputs!$B$9*6),Inputs!$B$16*Inputs!$B$39/12,0)</f>
        <v>0</v>
      </c>
      <c r="H425" s="10" t="n">
        <f aca="false">IF(B425=1,Inputs!$B$7,INDEX(Annual!$AC$2:$AC$51,B425-1))</f>
        <v>1973044.49710597</v>
      </c>
      <c r="I425" s="10" t="n">
        <f aca="false">Inputs!$B$12*IF(Inputs!$B$35="",H425,MIN(H425,Inputs!$B$7*(1+Inputs!$B$35)^(B425-1)))/12</f>
        <v>1479.78337282948</v>
      </c>
      <c r="J425" s="10" t="n">
        <f aca="false">Inputs!$B$13*Inputs!$B$7*(1+Inputs!$B$22)^(B425-1)/12</f>
        <v>547.668516607395</v>
      </c>
      <c r="K425" s="10" t="n">
        <f aca="false">Inputs!$B$14*Inputs!$B$7*(1+Inputs!$B$22)^(B425-1)/12</f>
        <v>1095.33703321479</v>
      </c>
      <c r="L425" s="10" t="n">
        <f aca="false">Inputs!$B$15*(1+Inputs!$B$22)^(B425-1)</f>
        <v>0</v>
      </c>
      <c r="M425" s="10" t="n">
        <f aca="false">INDEX(Annual!$N$2:$N$51,B425)/12</f>
        <v>0</v>
      </c>
      <c r="N425" s="10" t="n">
        <f aca="false">D425+E425+G425+I425+J425+K425+L425-M425</f>
        <v>3122.78892265166</v>
      </c>
      <c r="O425" s="10" t="n">
        <f aca="false">Inputs!$B$17*(1+Inputs!$B$18)^(B425-1)+Inputs!$B$19*(1+Inputs!$B$22)^(B425-1)</f>
        <v>8373.40824782365</v>
      </c>
      <c r="P425" s="10" t="n">
        <f aca="false">N425-O425</f>
        <v>-5250.61932517199</v>
      </c>
      <c r="Q425" s="10" t="n">
        <f aca="false">Q424*(1+Inputs!$B$42)-U425+MAX(P425,0)</f>
        <v>2167326.09603028</v>
      </c>
      <c r="R425" s="10" t="n">
        <f aca="false">R424+Q424*Inputs!$B$48-U425+MAX(P425,0)</f>
        <v>523321.63685769</v>
      </c>
      <c r="S425" s="10" t="n">
        <f aca="false">S424*(1+Inputs!$B$42)-V425+MAX(-P425,0)</f>
        <v>580199.352773955</v>
      </c>
      <c r="T425" s="10" t="n">
        <f aca="false">T424+S424*Inputs!$B$48-V425+MAX(-P425,0)</f>
        <v>441887.42201941</v>
      </c>
      <c r="U425" s="10" t="n">
        <f aca="false">Q424*Inputs!$B$48*Inputs!$B$29</f>
        <v>296.372357007922</v>
      </c>
      <c r="V425" s="10" t="n">
        <f aca="false">S424*Inputs!$B$48*Inputs!$B$29</f>
        <v>78.6217226854054</v>
      </c>
    </row>
    <row r="426" customFormat="false" ht="15" hidden="false" customHeight="false" outlineLevel="0" collapsed="false">
      <c r="A426" s="16" t="n">
        <v>425</v>
      </c>
      <c r="B426" s="16" t="n">
        <f aca="false">ROUNDUP(A426/12,0)</f>
        <v>36</v>
      </c>
      <c r="C426" s="10" t="n">
        <f aca="false">F425</f>
        <v>1.28693500300869E-010</v>
      </c>
      <c r="D426" s="10" t="n">
        <f aca="false">IF(AND(A426&lt;=Inputs!$B$9*12,C426&gt;0.000001),C426*Inputs!$B$10/12,0)</f>
        <v>0</v>
      </c>
      <c r="E426" s="10" t="n">
        <f aca="false">IF(AND(A426&lt;=Inputs!$B$9*12,C426&gt;0.000001),MIN(C426,Inputs!$B$41-D426),0)</f>
        <v>0</v>
      </c>
      <c r="F426" s="10" t="n">
        <f aca="false">C426-E426</f>
        <v>1.28693500300869E-010</v>
      </c>
      <c r="G426" s="10" t="n">
        <f aca="false">IF(AND(Inputs!$B$43=1,C426&gt;0.78*Inputs!$B$7,A426&lt;=Inputs!$B$9*6),Inputs!$B$16*Inputs!$B$39/12,0)</f>
        <v>0</v>
      </c>
      <c r="H426" s="10" t="n">
        <f aca="false">IF(B426=1,Inputs!$B$7,INDEX(Annual!$AC$2:$AC$51,B426-1))</f>
        <v>1973044.49710597</v>
      </c>
      <c r="I426" s="10" t="n">
        <f aca="false">Inputs!$B$12*IF(Inputs!$B$35="",H426,MIN(H426,Inputs!$B$7*(1+Inputs!$B$35)^(B426-1)))/12</f>
        <v>1479.78337282948</v>
      </c>
      <c r="J426" s="10" t="n">
        <f aca="false">Inputs!$B$13*Inputs!$B$7*(1+Inputs!$B$22)^(B426-1)/12</f>
        <v>547.668516607395</v>
      </c>
      <c r="K426" s="10" t="n">
        <f aca="false">Inputs!$B$14*Inputs!$B$7*(1+Inputs!$B$22)^(B426-1)/12</f>
        <v>1095.33703321479</v>
      </c>
      <c r="L426" s="10" t="n">
        <f aca="false">Inputs!$B$15*(1+Inputs!$B$22)^(B426-1)</f>
        <v>0</v>
      </c>
      <c r="M426" s="10" t="n">
        <f aca="false">INDEX(Annual!$N$2:$N$51,B426)/12</f>
        <v>0</v>
      </c>
      <c r="N426" s="10" t="n">
        <f aca="false">D426+E426+G426+I426+J426+K426+L426-M426</f>
        <v>3122.78892265166</v>
      </c>
      <c r="O426" s="10" t="n">
        <f aca="false">Inputs!$B$17*(1+Inputs!$B$18)^(B426-1)+Inputs!$B$19*(1+Inputs!$B$22)^(B426-1)</f>
        <v>8373.40824782365</v>
      </c>
      <c r="P426" s="10" t="n">
        <f aca="false">N426-O426</f>
        <v>-5250.61932517199</v>
      </c>
      <c r="Q426" s="10" t="n">
        <f aca="false">Q425*(1+Inputs!$B$42)-U426+MAX(P426,0)</f>
        <v>2179282.46554095</v>
      </c>
      <c r="R426" s="10" t="n">
        <f aca="false">R425+Q425*Inputs!$B$48-U426+MAX(P426,0)</f>
        <v>525010.345107514</v>
      </c>
      <c r="S426" s="10" t="n">
        <f aca="false">S425*(1+Inputs!$B$42)-V426+MAX(-P426,0)</f>
        <v>588650.726182383</v>
      </c>
      <c r="T426" s="10" t="n">
        <f aca="false">T425+S425*Inputs!$B$48-V426+MAX(-P426,0)</f>
        <v>447590.113340285</v>
      </c>
      <c r="U426" s="10" t="n">
        <f aca="false">Q425*Inputs!$B$48*Inputs!$B$29</f>
        <v>298.007338204164</v>
      </c>
      <c r="V426" s="10" t="n">
        <f aca="false">S425*Inputs!$B$48*Inputs!$B$29</f>
        <v>79.7774110064188</v>
      </c>
    </row>
    <row r="427" customFormat="false" ht="15" hidden="false" customHeight="false" outlineLevel="0" collapsed="false">
      <c r="A427" s="16" t="n">
        <v>426</v>
      </c>
      <c r="B427" s="16" t="n">
        <f aca="false">ROUNDUP(A427/12,0)</f>
        <v>36</v>
      </c>
      <c r="C427" s="10" t="n">
        <f aca="false">F426</f>
        <v>1.28693500300869E-010</v>
      </c>
      <c r="D427" s="10" t="n">
        <f aca="false">IF(AND(A427&lt;=Inputs!$B$9*12,C427&gt;0.000001),C427*Inputs!$B$10/12,0)</f>
        <v>0</v>
      </c>
      <c r="E427" s="10" t="n">
        <f aca="false">IF(AND(A427&lt;=Inputs!$B$9*12,C427&gt;0.000001),MIN(C427,Inputs!$B$41-D427),0)</f>
        <v>0</v>
      </c>
      <c r="F427" s="10" t="n">
        <f aca="false">C427-E427</f>
        <v>1.28693500300869E-010</v>
      </c>
      <c r="G427" s="10" t="n">
        <f aca="false">IF(AND(Inputs!$B$43=1,C427&gt;0.78*Inputs!$B$7,A427&lt;=Inputs!$B$9*6),Inputs!$B$16*Inputs!$B$39/12,0)</f>
        <v>0</v>
      </c>
      <c r="H427" s="10" t="n">
        <f aca="false">IF(B427=1,Inputs!$B$7,INDEX(Annual!$AC$2:$AC$51,B427-1))</f>
        <v>1973044.49710597</v>
      </c>
      <c r="I427" s="10" t="n">
        <f aca="false">Inputs!$B$12*IF(Inputs!$B$35="",H427,MIN(H427,Inputs!$B$7*(1+Inputs!$B$35)^(B427-1)))/12</f>
        <v>1479.78337282948</v>
      </c>
      <c r="J427" s="10" t="n">
        <f aca="false">Inputs!$B$13*Inputs!$B$7*(1+Inputs!$B$22)^(B427-1)/12</f>
        <v>547.668516607395</v>
      </c>
      <c r="K427" s="10" t="n">
        <f aca="false">Inputs!$B$14*Inputs!$B$7*(1+Inputs!$B$22)^(B427-1)/12</f>
        <v>1095.33703321479</v>
      </c>
      <c r="L427" s="10" t="n">
        <f aca="false">Inputs!$B$15*(1+Inputs!$B$22)^(B427-1)</f>
        <v>0</v>
      </c>
      <c r="M427" s="10" t="n">
        <f aca="false">INDEX(Annual!$N$2:$N$51,B427)/12</f>
        <v>0</v>
      </c>
      <c r="N427" s="10" t="n">
        <f aca="false">D427+E427+G427+I427+J427+K427+L427-M427</f>
        <v>3122.78892265166</v>
      </c>
      <c r="O427" s="10" t="n">
        <f aca="false">Inputs!$B$17*(1+Inputs!$B$18)^(B427-1)+Inputs!$B$19*(1+Inputs!$B$22)^(B427-1)</f>
        <v>8373.40824782365</v>
      </c>
      <c r="P427" s="10" t="n">
        <f aca="false">N427-O427</f>
        <v>-5250.61932517199</v>
      </c>
      <c r="Q427" s="10" t="n">
        <f aca="false">Q426*(1+Inputs!$B$42)-U427+MAX(P427,0)</f>
        <v>2191304.79410233</v>
      </c>
      <c r="R427" s="10" t="n">
        <f aca="false">R426+Q426*Inputs!$B$48-U427+MAX(P427,0)</f>
        <v>526708.369361914</v>
      </c>
      <c r="S427" s="10" t="n">
        <f aca="false">S426*(1+Inputs!$B$42)-V427+MAX(-P427,0)</f>
        <v>597148.722820942</v>
      </c>
      <c r="T427" s="10" t="n">
        <f aca="false">T426+S426*Inputs!$B$48-V427+MAX(-P427,0)</f>
        <v>453299.389689607</v>
      </c>
      <c r="U427" s="10" t="n">
        <f aca="false">Q426*Inputs!$B$48*Inputs!$B$29</f>
        <v>299.651339011881</v>
      </c>
      <c r="V427" s="10" t="n">
        <f aca="false">S426*Inputs!$B$48*Inputs!$B$29</f>
        <v>80.9394748500777</v>
      </c>
    </row>
    <row r="428" customFormat="false" ht="15" hidden="false" customHeight="false" outlineLevel="0" collapsed="false">
      <c r="A428" s="16" t="n">
        <v>427</v>
      </c>
      <c r="B428" s="16" t="n">
        <f aca="false">ROUNDUP(A428/12,0)</f>
        <v>36</v>
      </c>
      <c r="C428" s="10" t="n">
        <f aca="false">F427</f>
        <v>1.28693500300869E-010</v>
      </c>
      <c r="D428" s="10" t="n">
        <f aca="false">IF(AND(A428&lt;=Inputs!$B$9*12,C428&gt;0.000001),C428*Inputs!$B$10/12,0)</f>
        <v>0</v>
      </c>
      <c r="E428" s="10" t="n">
        <f aca="false">IF(AND(A428&lt;=Inputs!$B$9*12,C428&gt;0.000001),MIN(C428,Inputs!$B$41-D428),0)</f>
        <v>0</v>
      </c>
      <c r="F428" s="10" t="n">
        <f aca="false">C428-E428</f>
        <v>1.28693500300869E-010</v>
      </c>
      <c r="G428" s="10" t="n">
        <f aca="false">IF(AND(Inputs!$B$43=1,C428&gt;0.78*Inputs!$B$7,A428&lt;=Inputs!$B$9*6),Inputs!$B$16*Inputs!$B$39/12,0)</f>
        <v>0</v>
      </c>
      <c r="H428" s="10" t="n">
        <f aca="false">IF(B428=1,Inputs!$B$7,INDEX(Annual!$AC$2:$AC$51,B428-1))</f>
        <v>1973044.49710597</v>
      </c>
      <c r="I428" s="10" t="n">
        <f aca="false">Inputs!$B$12*IF(Inputs!$B$35="",H428,MIN(H428,Inputs!$B$7*(1+Inputs!$B$35)^(B428-1)))/12</f>
        <v>1479.78337282948</v>
      </c>
      <c r="J428" s="10" t="n">
        <f aca="false">Inputs!$B$13*Inputs!$B$7*(1+Inputs!$B$22)^(B428-1)/12</f>
        <v>547.668516607395</v>
      </c>
      <c r="K428" s="10" t="n">
        <f aca="false">Inputs!$B$14*Inputs!$B$7*(1+Inputs!$B$22)^(B428-1)/12</f>
        <v>1095.33703321479</v>
      </c>
      <c r="L428" s="10" t="n">
        <f aca="false">Inputs!$B$15*(1+Inputs!$B$22)^(B428-1)</f>
        <v>0</v>
      </c>
      <c r="M428" s="10" t="n">
        <f aca="false">INDEX(Annual!$N$2:$N$51,B428)/12</f>
        <v>0</v>
      </c>
      <c r="N428" s="10" t="n">
        <f aca="false">D428+E428+G428+I428+J428+K428+L428-M428</f>
        <v>3122.78892265166</v>
      </c>
      <c r="O428" s="10" t="n">
        <f aca="false">Inputs!$B$17*(1+Inputs!$B$18)^(B428-1)+Inputs!$B$19*(1+Inputs!$B$22)^(B428-1)</f>
        <v>8373.40824782365</v>
      </c>
      <c r="P428" s="10" t="n">
        <f aca="false">N428-O428</f>
        <v>-5250.61932517199</v>
      </c>
      <c r="Q428" s="10" t="n">
        <f aca="false">Q427*(1+Inputs!$B$42)-U428+MAX(P428,0)</f>
        <v>2203393.44558712</v>
      </c>
      <c r="R428" s="10" t="n">
        <f aca="false">R427+Q427*Inputs!$B$48-U428+MAX(P428,0)</f>
        <v>528415.761013986</v>
      </c>
      <c r="S428" s="10" t="n">
        <f aca="false">S427*(1+Inputs!$B$42)-V428+MAX(-P428,0)</f>
        <v>605693.599893459</v>
      </c>
      <c r="T428" s="10" t="n">
        <f aca="false">T427+S427*Inputs!$B$48-V428+MAX(-P428,0)</f>
        <v>459015.287394644</v>
      </c>
      <c r="U428" s="10" t="n">
        <f aca="false">Q427*Inputs!$B$48*Inputs!$B$29</f>
        <v>301.304409189071</v>
      </c>
      <c r="V428" s="10" t="n">
        <f aca="false">S427*Inputs!$B$48*Inputs!$B$29</f>
        <v>82.1079493878795</v>
      </c>
    </row>
    <row r="429" customFormat="false" ht="15" hidden="false" customHeight="false" outlineLevel="0" collapsed="false">
      <c r="A429" s="16" t="n">
        <v>428</v>
      </c>
      <c r="B429" s="16" t="n">
        <f aca="false">ROUNDUP(A429/12,0)</f>
        <v>36</v>
      </c>
      <c r="C429" s="10" t="n">
        <f aca="false">F428</f>
        <v>1.28693500300869E-010</v>
      </c>
      <c r="D429" s="10" t="n">
        <f aca="false">IF(AND(A429&lt;=Inputs!$B$9*12,C429&gt;0.000001),C429*Inputs!$B$10/12,0)</f>
        <v>0</v>
      </c>
      <c r="E429" s="10" t="n">
        <f aca="false">IF(AND(A429&lt;=Inputs!$B$9*12,C429&gt;0.000001),MIN(C429,Inputs!$B$41-D429),0)</f>
        <v>0</v>
      </c>
      <c r="F429" s="10" t="n">
        <f aca="false">C429-E429</f>
        <v>1.28693500300869E-010</v>
      </c>
      <c r="G429" s="10" t="n">
        <f aca="false">IF(AND(Inputs!$B$43=1,C429&gt;0.78*Inputs!$B$7,A429&lt;=Inputs!$B$9*6),Inputs!$B$16*Inputs!$B$39/12,0)</f>
        <v>0</v>
      </c>
      <c r="H429" s="10" t="n">
        <f aca="false">IF(B429=1,Inputs!$B$7,INDEX(Annual!$AC$2:$AC$51,B429-1))</f>
        <v>1973044.49710597</v>
      </c>
      <c r="I429" s="10" t="n">
        <f aca="false">Inputs!$B$12*IF(Inputs!$B$35="",H429,MIN(H429,Inputs!$B$7*(1+Inputs!$B$35)^(B429-1)))/12</f>
        <v>1479.78337282948</v>
      </c>
      <c r="J429" s="10" t="n">
        <f aca="false">Inputs!$B$13*Inputs!$B$7*(1+Inputs!$B$22)^(B429-1)/12</f>
        <v>547.668516607395</v>
      </c>
      <c r="K429" s="10" t="n">
        <f aca="false">Inputs!$B$14*Inputs!$B$7*(1+Inputs!$B$22)^(B429-1)/12</f>
        <v>1095.33703321479</v>
      </c>
      <c r="L429" s="10" t="n">
        <f aca="false">Inputs!$B$15*(1+Inputs!$B$22)^(B429-1)</f>
        <v>0</v>
      </c>
      <c r="M429" s="10" t="n">
        <f aca="false">INDEX(Annual!$N$2:$N$51,B429)/12</f>
        <v>0</v>
      </c>
      <c r="N429" s="10" t="n">
        <f aca="false">D429+E429+G429+I429+J429+K429+L429-M429</f>
        <v>3122.78892265166</v>
      </c>
      <c r="O429" s="10" t="n">
        <f aca="false">Inputs!$B$17*(1+Inputs!$B$18)^(B429-1)+Inputs!$B$19*(1+Inputs!$B$22)^(B429-1)</f>
        <v>8373.40824782365</v>
      </c>
      <c r="P429" s="10" t="n">
        <f aca="false">N429-O429</f>
        <v>-5250.61932517199</v>
      </c>
      <c r="Q429" s="10" t="n">
        <f aca="false">Q428*(1+Inputs!$B$42)-U429+MAX(P429,0)</f>
        <v>2215548.78587535</v>
      </c>
      <c r="R429" s="10" t="n">
        <f aca="false">R428+Q428*Inputs!$B$48-U429+MAX(P429,0)</f>
        <v>530132.571740339</v>
      </c>
      <c r="S429" s="10" t="n">
        <f aca="false">S428*(1+Inputs!$B$42)-V429+MAX(-P429,0)</f>
        <v>614285.616022665</v>
      </c>
      <c r="T429" s="10" t="n">
        <f aca="false">T428+S428*Inputs!$B$48-V429+MAX(-P429,0)</f>
        <v>464737.842983066</v>
      </c>
      <c r="U429" s="10" t="n">
        <f aca="false">Q428*Inputs!$B$48*Inputs!$B$29</f>
        <v>302.966598768228</v>
      </c>
      <c r="V429" s="10" t="n">
        <f aca="false">S428*Inputs!$B$48*Inputs!$B$29</f>
        <v>83.2828699853507</v>
      </c>
    </row>
    <row r="430" customFormat="false" ht="15" hidden="false" customHeight="false" outlineLevel="0" collapsed="false">
      <c r="A430" s="16" t="n">
        <v>429</v>
      </c>
      <c r="B430" s="16" t="n">
        <f aca="false">ROUNDUP(A430/12,0)</f>
        <v>36</v>
      </c>
      <c r="C430" s="10" t="n">
        <f aca="false">F429</f>
        <v>1.28693500300869E-010</v>
      </c>
      <c r="D430" s="10" t="n">
        <f aca="false">IF(AND(A430&lt;=Inputs!$B$9*12,C430&gt;0.000001),C430*Inputs!$B$10/12,0)</f>
        <v>0</v>
      </c>
      <c r="E430" s="10" t="n">
        <f aca="false">IF(AND(A430&lt;=Inputs!$B$9*12,C430&gt;0.000001),MIN(C430,Inputs!$B$41-D430),0)</f>
        <v>0</v>
      </c>
      <c r="F430" s="10" t="n">
        <f aca="false">C430-E430</f>
        <v>1.28693500300869E-010</v>
      </c>
      <c r="G430" s="10" t="n">
        <f aca="false">IF(AND(Inputs!$B$43=1,C430&gt;0.78*Inputs!$B$7,A430&lt;=Inputs!$B$9*6),Inputs!$B$16*Inputs!$B$39/12,0)</f>
        <v>0</v>
      </c>
      <c r="H430" s="10" t="n">
        <f aca="false">IF(B430=1,Inputs!$B$7,INDEX(Annual!$AC$2:$AC$51,B430-1))</f>
        <v>1973044.49710597</v>
      </c>
      <c r="I430" s="10" t="n">
        <f aca="false">Inputs!$B$12*IF(Inputs!$B$35="",H430,MIN(H430,Inputs!$B$7*(1+Inputs!$B$35)^(B430-1)))/12</f>
        <v>1479.78337282948</v>
      </c>
      <c r="J430" s="10" t="n">
        <f aca="false">Inputs!$B$13*Inputs!$B$7*(1+Inputs!$B$22)^(B430-1)/12</f>
        <v>547.668516607395</v>
      </c>
      <c r="K430" s="10" t="n">
        <f aca="false">Inputs!$B$14*Inputs!$B$7*(1+Inputs!$B$22)^(B430-1)/12</f>
        <v>1095.33703321479</v>
      </c>
      <c r="L430" s="10" t="n">
        <f aca="false">Inputs!$B$15*(1+Inputs!$B$22)^(B430-1)</f>
        <v>0</v>
      </c>
      <c r="M430" s="10" t="n">
        <f aca="false">INDEX(Annual!$N$2:$N$51,B430)/12</f>
        <v>0</v>
      </c>
      <c r="N430" s="10" t="n">
        <f aca="false">D430+E430+G430+I430+J430+K430+L430-M430</f>
        <v>3122.78892265166</v>
      </c>
      <c r="O430" s="10" t="n">
        <f aca="false">Inputs!$B$17*(1+Inputs!$B$18)^(B430-1)+Inputs!$B$19*(1+Inputs!$B$22)^(B430-1)</f>
        <v>8373.40824782365</v>
      </c>
      <c r="P430" s="10" t="n">
        <f aca="false">N430-O430</f>
        <v>-5250.61932517199</v>
      </c>
      <c r="Q430" s="10" t="n">
        <f aca="false">Q429*(1+Inputs!$B$42)-U430+MAX(P430,0)</f>
        <v>2227771.18286552</v>
      </c>
      <c r="R430" s="10" t="n">
        <f aca="false">R429+Q429*Inputs!$B$48-U430+MAX(P430,0)</f>
        <v>531858.853502667</v>
      </c>
      <c r="S430" s="10" t="n">
        <f aca="false">S429*(1+Inputs!$B$42)-V430+MAX(-P430,0)</f>
        <v>622925.031258017</v>
      </c>
      <c r="T430" s="10" t="n">
        <f aca="false">T429+S429*Inputs!$B$48-V430+MAX(-P430,0)</f>
        <v>470467.093184056</v>
      </c>
      <c r="U430" s="10" t="n">
        <f aca="false">Q429*Inputs!$B$48*Inputs!$B$29</f>
        <v>304.637958057861</v>
      </c>
      <c r="V430" s="10" t="n">
        <f aca="false">S429*Inputs!$B$48*Inputs!$B$29</f>
        <v>84.4642722031164</v>
      </c>
    </row>
    <row r="431" customFormat="false" ht="15" hidden="false" customHeight="false" outlineLevel="0" collapsed="false">
      <c r="A431" s="16" t="n">
        <v>430</v>
      </c>
      <c r="B431" s="16" t="n">
        <f aca="false">ROUNDUP(A431/12,0)</f>
        <v>36</v>
      </c>
      <c r="C431" s="10" t="n">
        <f aca="false">F430</f>
        <v>1.28693500300869E-010</v>
      </c>
      <c r="D431" s="10" t="n">
        <f aca="false">IF(AND(A431&lt;=Inputs!$B$9*12,C431&gt;0.000001),C431*Inputs!$B$10/12,0)</f>
        <v>0</v>
      </c>
      <c r="E431" s="10" t="n">
        <f aca="false">IF(AND(A431&lt;=Inputs!$B$9*12,C431&gt;0.000001),MIN(C431,Inputs!$B$41-D431),0)</f>
        <v>0</v>
      </c>
      <c r="F431" s="10" t="n">
        <f aca="false">C431-E431</f>
        <v>1.28693500300869E-010</v>
      </c>
      <c r="G431" s="10" t="n">
        <f aca="false">IF(AND(Inputs!$B$43=1,C431&gt;0.78*Inputs!$B$7,A431&lt;=Inputs!$B$9*6),Inputs!$B$16*Inputs!$B$39/12,0)</f>
        <v>0</v>
      </c>
      <c r="H431" s="10" t="n">
        <f aca="false">IF(B431=1,Inputs!$B$7,INDEX(Annual!$AC$2:$AC$51,B431-1))</f>
        <v>1973044.49710597</v>
      </c>
      <c r="I431" s="10" t="n">
        <f aca="false">Inputs!$B$12*IF(Inputs!$B$35="",H431,MIN(H431,Inputs!$B$7*(1+Inputs!$B$35)^(B431-1)))/12</f>
        <v>1479.78337282948</v>
      </c>
      <c r="J431" s="10" t="n">
        <f aca="false">Inputs!$B$13*Inputs!$B$7*(1+Inputs!$B$22)^(B431-1)/12</f>
        <v>547.668516607395</v>
      </c>
      <c r="K431" s="10" t="n">
        <f aca="false">Inputs!$B$14*Inputs!$B$7*(1+Inputs!$B$22)^(B431-1)/12</f>
        <v>1095.33703321479</v>
      </c>
      <c r="L431" s="10" t="n">
        <f aca="false">Inputs!$B$15*(1+Inputs!$B$22)^(B431-1)</f>
        <v>0</v>
      </c>
      <c r="M431" s="10" t="n">
        <f aca="false">INDEX(Annual!$N$2:$N$51,B431)/12</f>
        <v>0</v>
      </c>
      <c r="N431" s="10" t="n">
        <f aca="false">D431+E431+G431+I431+J431+K431+L431-M431</f>
        <v>3122.78892265166</v>
      </c>
      <c r="O431" s="10" t="n">
        <f aca="false">Inputs!$B$17*(1+Inputs!$B$18)^(B431-1)+Inputs!$B$19*(1+Inputs!$B$22)^(B431-1)</f>
        <v>8373.40824782365</v>
      </c>
      <c r="P431" s="10" t="n">
        <f aca="false">N431-O431</f>
        <v>-5250.61932517199</v>
      </c>
      <c r="Q431" s="10" t="n">
        <f aca="false">Q430*(1+Inputs!$B$42)-U431+MAX(P431,0)</f>
        <v>2240061.00648567</v>
      </c>
      <c r="R431" s="10" t="n">
        <f aca="false">R430+Q430*Inputs!$B$48-U431+MAX(P431,0)</f>
        <v>533594.658549316</v>
      </c>
      <c r="S431" s="10" t="n">
        <f aca="false">S430*(1+Inputs!$B$42)-V431+MAX(-P431,0)</f>
        <v>631612.107083578</v>
      </c>
      <c r="T431" s="10" t="n">
        <f aca="false">T430+S430*Inputs!$B$48-V431+MAX(-P431,0)</f>
        <v>476203.074929417</v>
      </c>
      <c r="U431" s="10" t="n">
        <f aca="false">Q430*Inputs!$B$48*Inputs!$B$29</f>
        <v>306.318537644009</v>
      </c>
      <c r="V431" s="10" t="n">
        <f aca="false">S430*Inputs!$B$48*Inputs!$B$29</f>
        <v>85.6521917979774</v>
      </c>
    </row>
    <row r="432" customFormat="false" ht="15" hidden="false" customHeight="false" outlineLevel="0" collapsed="false">
      <c r="A432" s="16" t="n">
        <v>431</v>
      </c>
      <c r="B432" s="16" t="n">
        <f aca="false">ROUNDUP(A432/12,0)</f>
        <v>36</v>
      </c>
      <c r="C432" s="10" t="n">
        <f aca="false">F431</f>
        <v>1.28693500300869E-010</v>
      </c>
      <c r="D432" s="10" t="n">
        <f aca="false">IF(AND(A432&lt;=Inputs!$B$9*12,C432&gt;0.000001),C432*Inputs!$B$10/12,0)</f>
        <v>0</v>
      </c>
      <c r="E432" s="10" t="n">
        <f aca="false">IF(AND(A432&lt;=Inputs!$B$9*12,C432&gt;0.000001),MIN(C432,Inputs!$B$41-D432),0)</f>
        <v>0</v>
      </c>
      <c r="F432" s="10" t="n">
        <f aca="false">C432-E432</f>
        <v>1.28693500300869E-010</v>
      </c>
      <c r="G432" s="10" t="n">
        <f aca="false">IF(AND(Inputs!$B$43=1,C432&gt;0.78*Inputs!$B$7,A432&lt;=Inputs!$B$9*6),Inputs!$B$16*Inputs!$B$39/12,0)</f>
        <v>0</v>
      </c>
      <c r="H432" s="10" t="n">
        <f aca="false">IF(B432=1,Inputs!$B$7,INDEX(Annual!$AC$2:$AC$51,B432-1))</f>
        <v>1973044.49710597</v>
      </c>
      <c r="I432" s="10" t="n">
        <f aca="false">Inputs!$B$12*IF(Inputs!$B$35="",H432,MIN(H432,Inputs!$B$7*(1+Inputs!$B$35)^(B432-1)))/12</f>
        <v>1479.78337282948</v>
      </c>
      <c r="J432" s="10" t="n">
        <f aca="false">Inputs!$B$13*Inputs!$B$7*(1+Inputs!$B$22)^(B432-1)/12</f>
        <v>547.668516607395</v>
      </c>
      <c r="K432" s="10" t="n">
        <f aca="false">Inputs!$B$14*Inputs!$B$7*(1+Inputs!$B$22)^(B432-1)/12</f>
        <v>1095.33703321479</v>
      </c>
      <c r="L432" s="10" t="n">
        <f aca="false">Inputs!$B$15*(1+Inputs!$B$22)^(B432-1)</f>
        <v>0</v>
      </c>
      <c r="M432" s="10" t="n">
        <f aca="false">INDEX(Annual!$N$2:$N$51,B432)/12</f>
        <v>0</v>
      </c>
      <c r="N432" s="10" t="n">
        <f aca="false">D432+E432+G432+I432+J432+K432+L432-M432</f>
        <v>3122.78892265166</v>
      </c>
      <c r="O432" s="10" t="n">
        <f aca="false">Inputs!$B$17*(1+Inputs!$B$18)^(B432-1)+Inputs!$B$19*(1+Inputs!$B$22)^(B432-1)</f>
        <v>8373.40824782365</v>
      </c>
      <c r="P432" s="10" t="n">
        <f aca="false">N432-O432</f>
        <v>-5250.61932517199</v>
      </c>
      <c r="Q432" s="10" t="n">
        <f aca="false">Q431*(1+Inputs!$B$42)-U432+MAX(P432,0)</f>
        <v>2252418.62870461</v>
      </c>
      <c r="R432" s="10" t="n">
        <f aca="false">R431+Q431*Inputs!$B$48-U432+MAX(P432,0)</f>
        <v>535340.03941687</v>
      </c>
      <c r="S432" s="10" t="n">
        <f aca="false">S431*(1+Inputs!$B$42)-V432+MAX(-P432,0)</f>
        <v>640347.106425922</v>
      </c>
      <c r="T432" s="10" t="n">
        <f aca="false">T431+S431*Inputs!$B$48-V432+MAX(-P432,0)</f>
        <v>481945.825354691</v>
      </c>
      <c r="U432" s="10" t="n">
        <f aca="false">Q431*Inputs!$B$48*Inputs!$B$29</f>
        <v>308.00838839178</v>
      </c>
      <c r="V432" s="10" t="n">
        <f aca="false">S431*Inputs!$B$48*Inputs!$B$29</f>
        <v>86.846664723992</v>
      </c>
    </row>
    <row r="433" customFormat="false" ht="15" hidden="false" customHeight="false" outlineLevel="0" collapsed="false">
      <c r="A433" s="16" t="n">
        <v>432</v>
      </c>
      <c r="B433" s="16" t="n">
        <f aca="false">ROUNDUP(A433/12,0)</f>
        <v>36</v>
      </c>
      <c r="C433" s="10" t="n">
        <f aca="false">F432</f>
        <v>1.28693500300869E-010</v>
      </c>
      <c r="D433" s="10" t="n">
        <f aca="false">IF(AND(A433&lt;=Inputs!$B$9*12,C433&gt;0.000001),C433*Inputs!$B$10/12,0)</f>
        <v>0</v>
      </c>
      <c r="E433" s="10" t="n">
        <f aca="false">IF(AND(A433&lt;=Inputs!$B$9*12,C433&gt;0.000001),MIN(C433,Inputs!$B$41-D433),0)</f>
        <v>0</v>
      </c>
      <c r="F433" s="10" t="n">
        <f aca="false">C433-E433</f>
        <v>1.28693500300869E-010</v>
      </c>
      <c r="G433" s="10" t="n">
        <f aca="false">IF(AND(Inputs!$B$43=1,C433&gt;0.78*Inputs!$B$7,A433&lt;=Inputs!$B$9*6),Inputs!$B$16*Inputs!$B$39/12,0)</f>
        <v>0</v>
      </c>
      <c r="H433" s="10" t="n">
        <f aca="false">IF(B433=1,Inputs!$B$7,INDEX(Annual!$AC$2:$AC$51,B433-1))</f>
        <v>1973044.49710597</v>
      </c>
      <c r="I433" s="10" t="n">
        <f aca="false">Inputs!$B$12*IF(Inputs!$B$35="",H433,MIN(H433,Inputs!$B$7*(1+Inputs!$B$35)^(B433-1)))/12</f>
        <v>1479.78337282948</v>
      </c>
      <c r="J433" s="10" t="n">
        <f aca="false">Inputs!$B$13*Inputs!$B$7*(1+Inputs!$B$22)^(B433-1)/12</f>
        <v>547.668516607395</v>
      </c>
      <c r="K433" s="10" t="n">
        <f aca="false">Inputs!$B$14*Inputs!$B$7*(1+Inputs!$B$22)^(B433-1)/12</f>
        <v>1095.33703321479</v>
      </c>
      <c r="L433" s="10" t="n">
        <f aca="false">Inputs!$B$15*(1+Inputs!$B$22)^(B433-1)</f>
        <v>0</v>
      </c>
      <c r="M433" s="10" t="n">
        <f aca="false">INDEX(Annual!$N$2:$N$51,B433)/12</f>
        <v>0</v>
      </c>
      <c r="N433" s="10" t="n">
        <f aca="false">D433+E433+G433+I433+J433+K433+L433-M433</f>
        <v>3122.78892265166</v>
      </c>
      <c r="O433" s="10" t="n">
        <f aca="false">Inputs!$B$17*(1+Inputs!$B$18)^(B433-1)+Inputs!$B$19*(1+Inputs!$B$22)^(B433-1)</f>
        <v>8373.40824782365</v>
      </c>
      <c r="P433" s="10" t="n">
        <f aca="false">N433-O433</f>
        <v>-5250.61932517199</v>
      </c>
      <c r="Q433" s="10" t="n">
        <f aca="false">Q432*(1+Inputs!$B$42)-U433+MAX(P433,0)</f>
        <v>2264844.42354316</v>
      </c>
      <c r="R433" s="10" t="n">
        <f aca="false">R432+Q432*Inputs!$B$48-U433+MAX(P433,0)</f>
        <v>537095.048931735</v>
      </c>
      <c r="S433" s="10" t="n">
        <f aca="false">S432*(1+Inputs!$B$42)-V433+MAX(-P433,0)</f>
        <v>649130.293662097</v>
      </c>
      <c r="T433" s="10" t="n">
        <f aca="false">T432+S432*Inputs!$B$48-V433+MAX(-P433,0)</f>
        <v>487695.381800287</v>
      </c>
      <c r="U433" s="10" t="n">
        <f aca="false">Q432*Inputs!$B$48*Inputs!$B$29</f>
        <v>309.707561446884</v>
      </c>
      <c r="V433" s="10" t="n">
        <f aca="false">S432*Inputs!$B$48*Inputs!$B$29</f>
        <v>88.0477271335643</v>
      </c>
    </row>
    <row r="434" customFormat="false" ht="15" hidden="false" customHeight="false" outlineLevel="0" collapsed="false">
      <c r="A434" s="16" t="n">
        <v>433</v>
      </c>
      <c r="B434" s="16" t="n">
        <f aca="false">ROUNDUP(A434/12,0)</f>
        <v>37</v>
      </c>
      <c r="C434" s="10" t="n">
        <f aca="false">F433</f>
        <v>1.28693500300869E-010</v>
      </c>
      <c r="D434" s="10" t="n">
        <f aca="false">IF(AND(A434&lt;=Inputs!$B$9*12,C434&gt;0.000001),C434*Inputs!$B$10/12,0)</f>
        <v>0</v>
      </c>
      <c r="E434" s="10" t="n">
        <f aca="false">IF(AND(A434&lt;=Inputs!$B$9*12,C434&gt;0.000001),MIN(C434,Inputs!$B$41-D434),0)</f>
        <v>0</v>
      </c>
      <c r="F434" s="10" t="n">
        <f aca="false">C434-E434</f>
        <v>1.28693500300869E-010</v>
      </c>
      <c r="G434" s="10" t="n">
        <f aca="false">IF(AND(Inputs!$B$43=1,C434&gt;0.78*Inputs!$B$7,A434&lt;=Inputs!$B$9*6),Inputs!$B$16*Inputs!$B$39/12,0)</f>
        <v>0</v>
      </c>
      <c r="H434" s="10" t="n">
        <f aca="false">IF(B434=1,Inputs!$B$7,INDEX(Annual!$AC$2:$AC$51,B434-1))</f>
        <v>2051966.27699021</v>
      </c>
      <c r="I434" s="10" t="n">
        <f aca="false">Inputs!$B$12*IF(Inputs!$B$35="",H434,MIN(H434,Inputs!$B$7*(1+Inputs!$B$35)^(B434-1)))/12</f>
        <v>1538.97470774266</v>
      </c>
      <c r="J434" s="10" t="n">
        <f aca="false">Inputs!$B$13*Inputs!$B$7*(1+Inputs!$B$22)^(B434-1)/12</f>
        <v>563.003235072402</v>
      </c>
      <c r="K434" s="10" t="n">
        <f aca="false">Inputs!$B$14*Inputs!$B$7*(1+Inputs!$B$22)^(B434-1)/12</f>
        <v>1126.0064701448</v>
      </c>
      <c r="L434" s="10" t="n">
        <f aca="false">Inputs!$B$15*(1+Inputs!$B$22)^(B434-1)</f>
        <v>0</v>
      </c>
      <c r="M434" s="10" t="n">
        <f aca="false">INDEX(Annual!$N$2:$N$51,B434)/12</f>
        <v>0</v>
      </c>
      <c r="N434" s="10" t="n">
        <f aca="false">D434+E434+G434+I434+J434+K434+L434-M434</f>
        <v>3227.98441295986</v>
      </c>
      <c r="O434" s="10" t="n">
        <f aca="false">Inputs!$B$17*(1+Inputs!$B$18)^(B434-1)+Inputs!$B$19*(1+Inputs!$B$22)^(B434-1)</f>
        <v>8666.20151156511</v>
      </c>
      <c r="P434" s="10" t="n">
        <f aca="false">N434-O434</f>
        <v>-5438.21709860525</v>
      </c>
      <c r="Q434" s="10" t="n">
        <f aca="false">Q433*(1+Inputs!$B$42)-U434+MAX(P434,0)</f>
        <v>2277338.76708549</v>
      </c>
      <c r="R434" s="10" t="n">
        <f aca="false">R433+Q433*Inputs!$B$48-U434+MAX(P434,0)</f>
        <v>538859.740211746</v>
      </c>
      <c r="S434" s="10" t="n">
        <f aca="false">S433*(1+Inputs!$B$42)-V434+MAX(-P434,0)</f>
        <v>658149.532401058</v>
      </c>
      <c r="T434" s="10" t="n">
        <f aca="false">T433+S433*Inputs!$B$48-V434+MAX(-P434,0)</f>
        <v>493639.379586037</v>
      </c>
      <c r="U434" s="10" t="n">
        <f aca="false">Q433*Inputs!$B$48*Inputs!$B$29</f>
        <v>311.416108237184</v>
      </c>
      <c r="V434" s="10" t="n">
        <f aca="false">S433*Inputs!$B$48*Inputs!$B$29</f>
        <v>89.2554153785383</v>
      </c>
    </row>
    <row r="435" customFormat="false" ht="15" hidden="false" customHeight="false" outlineLevel="0" collapsed="false">
      <c r="A435" s="16" t="n">
        <v>434</v>
      </c>
      <c r="B435" s="16" t="n">
        <f aca="false">ROUNDUP(A435/12,0)</f>
        <v>37</v>
      </c>
      <c r="C435" s="10" t="n">
        <f aca="false">F434</f>
        <v>1.28693500300869E-010</v>
      </c>
      <c r="D435" s="10" t="n">
        <f aca="false">IF(AND(A435&lt;=Inputs!$B$9*12,C435&gt;0.000001),C435*Inputs!$B$10/12,0)</f>
        <v>0</v>
      </c>
      <c r="E435" s="10" t="n">
        <f aca="false">IF(AND(A435&lt;=Inputs!$B$9*12,C435&gt;0.000001),MIN(C435,Inputs!$B$41-D435),0)</f>
        <v>0</v>
      </c>
      <c r="F435" s="10" t="n">
        <f aca="false">C435-E435</f>
        <v>1.28693500300869E-010</v>
      </c>
      <c r="G435" s="10" t="n">
        <f aca="false">IF(AND(Inputs!$B$43=1,C435&gt;0.78*Inputs!$B$7,A435&lt;=Inputs!$B$9*6),Inputs!$B$16*Inputs!$B$39/12,0)</f>
        <v>0</v>
      </c>
      <c r="H435" s="10" t="n">
        <f aca="false">IF(B435=1,Inputs!$B$7,INDEX(Annual!$AC$2:$AC$51,B435-1))</f>
        <v>2051966.27699021</v>
      </c>
      <c r="I435" s="10" t="n">
        <f aca="false">Inputs!$B$12*IF(Inputs!$B$35="",H435,MIN(H435,Inputs!$B$7*(1+Inputs!$B$35)^(B435-1)))/12</f>
        <v>1538.97470774266</v>
      </c>
      <c r="J435" s="10" t="n">
        <f aca="false">Inputs!$B$13*Inputs!$B$7*(1+Inputs!$B$22)^(B435-1)/12</f>
        <v>563.003235072402</v>
      </c>
      <c r="K435" s="10" t="n">
        <f aca="false">Inputs!$B$14*Inputs!$B$7*(1+Inputs!$B$22)^(B435-1)/12</f>
        <v>1126.0064701448</v>
      </c>
      <c r="L435" s="10" t="n">
        <f aca="false">Inputs!$B$15*(1+Inputs!$B$22)^(B435-1)</f>
        <v>0</v>
      </c>
      <c r="M435" s="10" t="n">
        <f aca="false">INDEX(Annual!$N$2:$N$51,B435)/12</f>
        <v>0</v>
      </c>
      <c r="N435" s="10" t="n">
        <f aca="false">D435+E435+G435+I435+J435+K435+L435-M435</f>
        <v>3227.98441295986</v>
      </c>
      <c r="O435" s="10" t="n">
        <f aca="false">Inputs!$B$17*(1+Inputs!$B$18)^(B435-1)+Inputs!$B$19*(1+Inputs!$B$22)^(B435-1)</f>
        <v>8666.20151156511</v>
      </c>
      <c r="P435" s="10" t="n">
        <f aca="false">N435-O435</f>
        <v>-5438.21709860525</v>
      </c>
      <c r="Q435" s="10" t="n">
        <f aca="false">Q434*(1+Inputs!$B$42)-U435+MAX(P435,0)</f>
        <v>2289902.03749049</v>
      </c>
      <c r="R435" s="10" t="n">
        <f aca="false">R434+Q434*Inputs!$B$48-U435+MAX(P435,0)</f>
        <v>540634.166667767</v>
      </c>
      <c r="S435" s="10" t="n">
        <f aca="false">S434*(1+Inputs!$B$42)-V435+MAX(-P435,0)</f>
        <v>667218.527081807</v>
      </c>
      <c r="T435" s="10" t="n">
        <f aca="false">T434+S434*Inputs!$B$48-V435+MAX(-P435,0)</f>
        <v>499590.404861971</v>
      </c>
      <c r="U435" s="10" t="n">
        <f aca="false">Q434*Inputs!$B$48*Inputs!$B$29</f>
        <v>313.134080474254</v>
      </c>
      <c r="V435" s="10" t="n">
        <f aca="false">S434*Inputs!$B$48*Inputs!$B$29</f>
        <v>90.4955607051455</v>
      </c>
    </row>
    <row r="436" customFormat="false" ht="15" hidden="false" customHeight="false" outlineLevel="0" collapsed="false">
      <c r="A436" s="16" t="n">
        <v>435</v>
      </c>
      <c r="B436" s="16" t="n">
        <f aca="false">ROUNDUP(A436/12,0)</f>
        <v>37</v>
      </c>
      <c r="C436" s="10" t="n">
        <f aca="false">F435</f>
        <v>1.28693500300869E-010</v>
      </c>
      <c r="D436" s="10" t="n">
        <f aca="false">IF(AND(A436&lt;=Inputs!$B$9*12,C436&gt;0.000001),C436*Inputs!$B$10/12,0)</f>
        <v>0</v>
      </c>
      <c r="E436" s="10" t="n">
        <f aca="false">IF(AND(A436&lt;=Inputs!$B$9*12,C436&gt;0.000001),MIN(C436,Inputs!$B$41-D436),0)</f>
        <v>0</v>
      </c>
      <c r="F436" s="10" t="n">
        <f aca="false">C436-E436</f>
        <v>1.28693500300869E-010</v>
      </c>
      <c r="G436" s="10" t="n">
        <f aca="false">IF(AND(Inputs!$B$43=1,C436&gt;0.78*Inputs!$B$7,A436&lt;=Inputs!$B$9*6),Inputs!$B$16*Inputs!$B$39/12,0)</f>
        <v>0</v>
      </c>
      <c r="H436" s="10" t="n">
        <f aca="false">IF(B436=1,Inputs!$B$7,INDEX(Annual!$AC$2:$AC$51,B436-1))</f>
        <v>2051966.27699021</v>
      </c>
      <c r="I436" s="10" t="n">
        <f aca="false">Inputs!$B$12*IF(Inputs!$B$35="",H436,MIN(H436,Inputs!$B$7*(1+Inputs!$B$35)^(B436-1)))/12</f>
        <v>1538.97470774266</v>
      </c>
      <c r="J436" s="10" t="n">
        <f aca="false">Inputs!$B$13*Inputs!$B$7*(1+Inputs!$B$22)^(B436-1)/12</f>
        <v>563.003235072402</v>
      </c>
      <c r="K436" s="10" t="n">
        <f aca="false">Inputs!$B$14*Inputs!$B$7*(1+Inputs!$B$22)^(B436-1)/12</f>
        <v>1126.0064701448</v>
      </c>
      <c r="L436" s="10" t="n">
        <f aca="false">Inputs!$B$15*(1+Inputs!$B$22)^(B436-1)</f>
        <v>0</v>
      </c>
      <c r="M436" s="10" t="n">
        <f aca="false">INDEX(Annual!$N$2:$N$51,B436)/12</f>
        <v>0</v>
      </c>
      <c r="N436" s="10" t="n">
        <f aca="false">D436+E436+G436+I436+J436+K436+L436-M436</f>
        <v>3227.98441295986</v>
      </c>
      <c r="O436" s="10" t="n">
        <f aca="false">Inputs!$B$17*(1+Inputs!$B$18)^(B436-1)+Inputs!$B$19*(1+Inputs!$B$22)^(B436-1)</f>
        <v>8666.20151156511</v>
      </c>
      <c r="P436" s="10" t="n">
        <f aca="false">N436-O436</f>
        <v>-5438.21709860525</v>
      </c>
      <c r="Q436" s="10" t="n">
        <f aca="false">Q435*(1+Inputs!$B$42)-U436+MAX(P436,0)</f>
        <v>2302534.61500322</v>
      </c>
      <c r="R436" s="10" t="n">
        <f aca="false">R435+Q435*Inputs!$B$48-U436+MAX(P436,0)</f>
        <v>542418.382005311</v>
      </c>
      <c r="S436" s="10" t="n">
        <f aca="false">S435*(1+Inputs!$B$42)-V436+MAX(-P436,0)</f>
        <v>676337.552190229</v>
      </c>
      <c r="T436" s="10" t="n">
        <f aca="false">T435+S435*Inputs!$B$48-V436+MAX(-P436,0)</f>
        <v>505548.496396261</v>
      </c>
      <c r="U436" s="10" t="n">
        <f aca="false">Q435*Inputs!$B$48*Inputs!$B$29</f>
        <v>314.861530154942</v>
      </c>
      <c r="V436" s="10" t="n">
        <f aca="false">S435*Inputs!$B$48*Inputs!$B$29</f>
        <v>91.7425474737484</v>
      </c>
    </row>
    <row r="437" customFormat="false" ht="15" hidden="false" customHeight="false" outlineLevel="0" collapsed="false">
      <c r="A437" s="16" t="n">
        <v>436</v>
      </c>
      <c r="B437" s="16" t="n">
        <f aca="false">ROUNDUP(A437/12,0)</f>
        <v>37</v>
      </c>
      <c r="C437" s="10" t="n">
        <f aca="false">F436</f>
        <v>1.28693500300869E-010</v>
      </c>
      <c r="D437" s="10" t="n">
        <f aca="false">IF(AND(A437&lt;=Inputs!$B$9*12,C437&gt;0.000001),C437*Inputs!$B$10/12,0)</f>
        <v>0</v>
      </c>
      <c r="E437" s="10" t="n">
        <f aca="false">IF(AND(A437&lt;=Inputs!$B$9*12,C437&gt;0.000001),MIN(C437,Inputs!$B$41-D437),0)</f>
        <v>0</v>
      </c>
      <c r="F437" s="10" t="n">
        <f aca="false">C437-E437</f>
        <v>1.28693500300869E-010</v>
      </c>
      <c r="G437" s="10" t="n">
        <f aca="false">IF(AND(Inputs!$B$43=1,C437&gt;0.78*Inputs!$B$7,A437&lt;=Inputs!$B$9*6),Inputs!$B$16*Inputs!$B$39/12,0)</f>
        <v>0</v>
      </c>
      <c r="H437" s="10" t="n">
        <f aca="false">IF(B437=1,Inputs!$B$7,INDEX(Annual!$AC$2:$AC$51,B437-1))</f>
        <v>2051966.27699021</v>
      </c>
      <c r="I437" s="10" t="n">
        <f aca="false">Inputs!$B$12*IF(Inputs!$B$35="",H437,MIN(H437,Inputs!$B$7*(1+Inputs!$B$35)^(B437-1)))/12</f>
        <v>1538.97470774266</v>
      </c>
      <c r="J437" s="10" t="n">
        <f aca="false">Inputs!$B$13*Inputs!$B$7*(1+Inputs!$B$22)^(B437-1)/12</f>
        <v>563.003235072402</v>
      </c>
      <c r="K437" s="10" t="n">
        <f aca="false">Inputs!$B$14*Inputs!$B$7*(1+Inputs!$B$22)^(B437-1)/12</f>
        <v>1126.0064701448</v>
      </c>
      <c r="L437" s="10" t="n">
        <f aca="false">Inputs!$B$15*(1+Inputs!$B$22)^(B437-1)</f>
        <v>0</v>
      </c>
      <c r="M437" s="10" t="n">
        <f aca="false">INDEX(Annual!$N$2:$N$51,B437)/12</f>
        <v>0</v>
      </c>
      <c r="N437" s="10" t="n">
        <f aca="false">D437+E437+G437+I437+J437+K437+L437-M437</f>
        <v>3227.98441295986</v>
      </c>
      <c r="O437" s="10" t="n">
        <f aca="false">Inputs!$B$17*(1+Inputs!$B$18)^(B437-1)+Inputs!$B$19*(1+Inputs!$B$22)^(B437-1)</f>
        <v>8666.20151156511</v>
      </c>
      <c r="P437" s="10" t="n">
        <f aca="false">N437-O437</f>
        <v>-5438.21709860525</v>
      </c>
      <c r="Q437" s="10" t="n">
        <f aca="false">Q436*(1+Inputs!$B$42)-U437+MAX(P437,0)</f>
        <v>2315236.88196642</v>
      </c>
      <c r="R437" s="10" t="n">
        <f aca="false">R436+Q436*Inputs!$B$48-U437+MAX(P437,0)</f>
        <v>544212.440226168</v>
      </c>
      <c r="S437" s="10" t="n">
        <f aca="false">S436*(1+Inputs!$B$42)-V437+MAX(-P437,0)</f>
        <v>685506.883726454</v>
      </c>
      <c r="T437" s="10" t="n">
        <f aca="false">T436+S436*Inputs!$B$48-V437+MAX(-P437,0)</f>
        <v>511513.693170948</v>
      </c>
      <c r="U437" s="10" t="n">
        <f aca="false">Q436*Inputs!$B$48*Inputs!$B$29</f>
        <v>316.598509562943</v>
      </c>
      <c r="V437" s="10" t="n">
        <f aca="false">S436*Inputs!$B$48*Inputs!$B$29</f>
        <v>92.9964134261565</v>
      </c>
    </row>
    <row r="438" customFormat="false" ht="15" hidden="false" customHeight="false" outlineLevel="0" collapsed="false">
      <c r="A438" s="16" t="n">
        <v>437</v>
      </c>
      <c r="B438" s="16" t="n">
        <f aca="false">ROUNDUP(A438/12,0)</f>
        <v>37</v>
      </c>
      <c r="C438" s="10" t="n">
        <f aca="false">F437</f>
        <v>1.28693500300869E-010</v>
      </c>
      <c r="D438" s="10" t="n">
        <f aca="false">IF(AND(A438&lt;=Inputs!$B$9*12,C438&gt;0.000001),C438*Inputs!$B$10/12,0)</f>
        <v>0</v>
      </c>
      <c r="E438" s="10" t="n">
        <f aca="false">IF(AND(A438&lt;=Inputs!$B$9*12,C438&gt;0.000001),MIN(C438,Inputs!$B$41-D438),0)</f>
        <v>0</v>
      </c>
      <c r="F438" s="10" t="n">
        <f aca="false">C438-E438</f>
        <v>1.28693500300869E-010</v>
      </c>
      <c r="G438" s="10" t="n">
        <f aca="false">IF(AND(Inputs!$B$43=1,C438&gt;0.78*Inputs!$B$7,A438&lt;=Inputs!$B$9*6),Inputs!$B$16*Inputs!$B$39/12,0)</f>
        <v>0</v>
      </c>
      <c r="H438" s="10" t="n">
        <f aca="false">IF(B438=1,Inputs!$B$7,INDEX(Annual!$AC$2:$AC$51,B438-1))</f>
        <v>2051966.27699021</v>
      </c>
      <c r="I438" s="10" t="n">
        <f aca="false">Inputs!$B$12*IF(Inputs!$B$35="",H438,MIN(H438,Inputs!$B$7*(1+Inputs!$B$35)^(B438-1)))/12</f>
        <v>1538.97470774266</v>
      </c>
      <c r="J438" s="10" t="n">
        <f aca="false">Inputs!$B$13*Inputs!$B$7*(1+Inputs!$B$22)^(B438-1)/12</f>
        <v>563.003235072402</v>
      </c>
      <c r="K438" s="10" t="n">
        <f aca="false">Inputs!$B$14*Inputs!$B$7*(1+Inputs!$B$22)^(B438-1)/12</f>
        <v>1126.0064701448</v>
      </c>
      <c r="L438" s="10" t="n">
        <f aca="false">Inputs!$B$15*(1+Inputs!$B$22)^(B438-1)</f>
        <v>0</v>
      </c>
      <c r="M438" s="10" t="n">
        <f aca="false">INDEX(Annual!$N$2:$N$51,B438)/12</f>
        <v>0</v>
      </c>
      <c r="N438" s="10" t="n">
        <f aca="false">D438+E438+G438+I438+J438+K438+L438-M438</f>
        <v>3227.98441295986</v>
      </c>
      <c r="O438" s="10" t="n">
        <f aca="false">Inputs!$B$17*(1+Inputs!$B$18)^(B438-1)+Inputs!$B$19*(1+Inputs!$B$22)^(B438-1)</f>
        <v>8666.20151156511</v>
      </c>
      <c r="P438" s="10" t="n">
        <f aca="false">N438-O438</f>
        <v>-5438.21709860525</v>
      </c>
      <c r="Q438" s="10" t="n">
        <f aca="false">Q437*(1+Inputs!$B$42)-U438+MAX(P438,0)</f>
        <v>2328009.22283207</v>
      </c>
      <c r="R438" s="10" t="n">
        <f aca="false">R437+Q437*Inputs!$B$48-U438+MAX(P438,0)</f>
        <v>546016.395630034</v>
      </c>
      <c r="S438" s="10" t="n">
        <f aca="false">S437*(1+Inputs!$B$42)-V438+MAX(-P438,0)</f>
        <v>694726.799213203</v>
      </c>
      <c r="T438" s="10" t="n">
        <f aca="false">T437+S437*Inputs!$B$48-V438+MAX(-P438,0)</f>
        <v>517486.034383123</v>
      </c>
      <c r="U438" s="10" t="n">
        <f aca="false">Q437*Inputs!$B$48*Inputs!$B$29</f>
        <v>318.345071270383</v>
      </c>
      <c r="V438" s="10" t="n">
        <f aca="false">S437*Inputs!$B$48*Inputs!$B$29</f>
        <v>94.2571965123874</v>
      </c>
    </row>
    <row r="439" customFormat="false" ht="15" hidden="false" customHeight="false" outlineLevel="0" collapsed="false">
      <c r="A439" s="16" t="n">
        <v>438</v>
      </c>
      <c r="B439" s="16" t="n">
        <f aca="false">ROUNDUP(A439/12,0)</f>
        <v>37</v>
      </c>
      <c r="C439" s="10" t="n">
        <f aca="false">F438</f>
        <v>1.28693500300869E-010</v>
      </c>
      <c r="D439" s="10" t="n">
        <f aca="false">IF(AND(A439&lt;=Inputs!$B$9*12,C439&gt;0.000001),C439*Inputs!$B$10/12,0)</f>
        <v>0</v>
      </c>
      <c r="E439" s="10" t="n">
        <f aca="false">IF(AND(A439&lt;=Inputs!$B$9*12,C439&gt;0.000001),MIN(C439,Inputs!$B$41-D439),0)</f>
        <v>0</v>
      </c>
      <c r="F439" s="10" t="n">
        <f aca="false">C439-E439</f>
        <v>1.28693500300869E-010</v>
      </c>
      <c r="G439" s="10" t="n">
        <f aca="false">IF(AND(Inputs!$B$43=1,C439&gt;0.78*Inputs!$B$7,A439&lt;=Inputs!$B$9*6),Inputs!$B$16*Inputs!$B$39/12,0)</f>
        <v>0</v>
      </c>
      <c r="H439" s="10" t="n">
        <f aca="false">IF(B439=1,Inputs!$B$7,INDEX(Annual!$AC$2:$AC$51,B439-1))</f>
        <v>2051966.27699021</v>
      </c>
      <c r="I439" s="10" t="n">
        <f aca="false">Inputs!$B$12*IF(Inputs!$B$35="",H439,MIN(H439,Inputs!$B$7*(1+Inputs!$B$35)^(B439-1)))/12</f>
        <v>1538.97470774266</v>
      </c>
      <c r="J439" s="10" t="n">
        <f aca="false">Inputs!$B$13*Inputs!$B$7*(1+Inputs!$B$22)^(B439-1)/12</f>
        <v>563.003235072402</v>
      </c>
      <c r="K439" s="10" t="n">
        <f aca="false">Inputs!$B$14*Inputs!$B$7*(1+Inputs!$B$22)^(B439-1)/12</f>
        <v>1126.0064701448</v>
      </c>
      <c r="L439" s="10" t="n">
        <f aca="false">Inputs!$B$15*(1+Inputs!$B$22)^(B439-1)</f>
        <v>0</v>
      </c>
      <c r="M439" s="10" t="n">
        <f aca="false">INDEX(Annual!$N$2:$N$51,B439)/12</f>
        <v>0</v>
      </c>
      <c r="N439" s="10" t="n">
        <f aca="false">D439+E439+G439+I439+J439+K439+L439-M439</f>
        <v>3227.98441295986</v>
      </c>
      <c r="O439" s="10" t="n">
        <f aca="false">Inputs!$B$17*(1+Inputs!$B$18)^(B439-1)+Inputs!$B$19*(1+Inputs!$B$22)^(B439-1)</f>
        <v>8666.20151156511</v>
      </c>
      <c r="P439" s="10" t="n">
        <f aca="false">N439-O439</f>
        <v>-5438.21709860525</v>
      </c>
      <c r="Q439" s="10" t="n">
        <f aca="false">Q438*(1+Inputs!$B$42)-U439+MAX(P439,0)</f>
        <v>2340852.02417304</v>
      </c>
      <c r="R439" s="10" t="n">
        <f aca="false">R438+Q438*Inputs!$B$48-U439+MAX(P439,0)</f>
        <v>547830.302816157</v>
      </c>
      <c r="S439" s="10" t="n">
        <f aca="false">S438*(1+Inputs!$B$42)-V439+MAX(-P439,0)</f>
        <v>703997.577704195</v>
      </c>
      <c r="T439" s="10" t="n">
        <f aca="false">T438+S438*Inputs!$B$48-V439+MAX(-P439,0)</f>
        <v>523465.559446116</v>
      </c>
      <c r="U439" s="10" t="n">
        <f aca="false">Q438*Inputs!$B$48*Inputs!$B$29</f>
        <v>320.101268139409</v>
      </c>
      <c r="V439" s="10" t="n">
        <f aca="false">S438*Inputs!$B$48*Inputs!$B$29</f>
        <v>95.5249348918154</v>
      </c>
    </row>
    <row r="440" customFormat="false" ht="15" hidden="false" customHeight="false" outlineLevel="0" collapsed="false">
      <c r="A440" s="16" t="n">
        <v>439</v>
      </c>
      <c r="B440" s="16" t="n">
        <f aca="false">ROUNDUP(A440/12,0)</f>
        <v>37</v>
      </c>
      <c r="C440" s="10" t="n">
        <f aca="false">F439</f>
        <v>1.28693500300869E-010</v>
      </c>
      <c r="D440" s="10" t="n">
        <f aca="false">IF(AND(A440&lt;=Inputs!$B$9*12,C440&gt;0.000001),C440*Inputs!$B$10/12,0)</f>
        <v>0</v>
      </c>
      <c r="E440" s="10" t="n">
        <f aca="false">IF(AND(A440&lt;=Inputs!$B$9*12,C440&gt;0.000001),MIN(C440,Inputs!$B$41-D440),0)</f>
        <v>0</v>
      </c>
      <c r="F440" s="10" t="n">
        <f aca="false">C440-E440</f>
        <v>1.28693500300869E-010</v>
      </c>
      <c r="G440" s="10" t="n">
        <f aca="false">IF(AND(Inputs!$B$43=1,C440&gt;0.78*Inputs!$B$7,A440&lt;=Inputs!$B$9*6),Inputs!$B$16*Inputs!$B$39/12,0)</f>
        <v>0</v>
      </c>
      <c r="H440" s="10" t="n">
        <f aca="false">IF(B440=1,Inputs!$B$7,INDEX(Annual!$AC$2:$AC$51,B440-1))</f>
        <v>2051966.27699021</v>
      </c>
      <c r="I440" s="10" t="n">
        <f aca="false">Inputs!$B$12*IF(Inputs!$B$35="",H440,MIN(H440,Inputs!$B$7*(1+Inputs!$B$35)^(B440-1)))/12</f>
        <v>1538.97470774266</v>
      </c>
      <c r="J440" s="10" t="n">
        <f aca="false">Inputs!$B$13*Inputs!$B$7*(1+Inputs!$B$22)^(B440-1)/12</f>
        <v>563.003235072402</v>
      </c>
      <c r="K440" s="10" t="n">
        <f aca="false">Inputs!$B$14*Inputs!$B$7*(1+Inputs!$B$22)^(B440-1)/12</f>
        <v>1126.0064701448</v>
      </c>
      <c r="L440" s="10" t="n">
        <f aca="false">Inputs!$B$15*(1+Inputs!$B$22)^(B440-1)</f>
        <v>0</v>
      </c>
      <c r="M440" s="10" t="n">
        <f aca="false">INDEX(Annual!$N$2:$N$51,B440)/12</f>
        <v>0</v>
      </c>
      <c r="N440" s="10" t="n">
        <f aca="false">D440+E440+G440+I440+J440+K440+L440-M440</f>
        <v>3227.98441295986</v>
      </c>
      <c r="O440" s="10" t="n">
        <f aca="false">Inputs!$B$17*(1+Inputs!$B$18)^(B440-1)+Inputs!$B$19*(1+Inputs!$B$22)^(B440-1)</f>
        <v>8666.20151156511</v>
      </c>
      <c r="P440" s="10" t="n">
        <f aca="false">N440-O440</f>
        <v>-5438.21709860525</v>
      </c>
      <c r="Q440" s="10" t="n">
        <f aca="false">Q439*(1+Inputs!$B$42)-U440+MAX(P440,0)</f>
        <v>2353765.67469479</v>
      </c>
      <c r="R440" s="10" t="n">
        <f aca="false">R439+Q439*Inputs!$B$48-U440+MAX(P440,0)</f>
        <v>549654.216684992</v>
      </c>
      <c r="S440" s="10" t="n">
        <f aca="false">S439*(1+Inputs!$B$42)-V440+MAX(-P440,0)</f>
        <v>713319.499792586</v>
      </c>
      <c r="T440" s="10" t="n">
        <f aca="false">T439+S439*Inputs!$B$48-V440+MAX(-P440,0)</f>
        <v>529452.307990682</v>
      </c>
      <c r="U440" s="10" t="n">
        <f aca="false">Q439*Inputs!$B$48*Inputs!$B$29</f>
        <v>321.867153323793</v>
      </c>
      <c r="V440" s="10" t="n">
        <f aca="false">S439*Inputs!$B$48*Inputs!$B$29</f>
        <v>96.7996669343267</v>
      </c>
    </row>
    <row r="441" customFormat="false" ht="15" hidden="false" customHeight="false" outlineLevel="0" collapsed="false">
      <c r="A441" s="16" t="n">
        <v>440</v>
      </c>
      <c r="B441" s="16" t="n">
        <f aca="false">ROUNDUP(A441/12,0)</f>
        <v>37</v>
      </c>
      <c r="C441" s="10" t="n">
        <f aca="false">F440</f>
        <v>1.28693500300869E-010</v>
      </c>
      <c r="D441" s="10" t="n">
        <f aca="false">IF(AND(A441&lt;=Inputs!$B$9*12,C441&gt;0.000001),C441*Inputs!$B$10/12,0)</f>
        <v>0</v>
      </c>
      <c r="E441" s="10" t="n">
        <f aca="false">IF(AND(A441&lt;=Inputs!$B$9*12,C441&gt;0.000001),MIN(C441,Inputs!$B$41-D441),0)</f>
        <v>0</v>
      </c>
      <c r="F441" s="10" t="n">
        <f aca="false">C441-E441</f>
        <v>1.28693500300869E-010</v>
      </c>
      <c r="G441" s="10" t="n">
        <f aca="false">IF(AND(Inputs!$B$43=1,C441&gt;0.78*Inputs!$B$7,A441&lt;=Inputs!$B$9*6),Inputs!$B$16*Inputs!$B$39/12,0)</f>
        <v>0</v>
      </c>
      <c r="H441" s="10" t="n">
        <f aca="false">IF(B441=1,Inputs!$B$7,INDEX(Annual!$AC$2:$AC$51,B441-1))</f>
        <v>2051966.27699021</v>
      </c>
      <c r="I441" s="10" t="n">
        <f aca="false">Inputs!$B$12*IF(Inputs!$B$35="",H441,MIN(H441,Inputs!$B$7*(1+Inputs!$B$35)^(B441-1)))/12</f>
        <v>1538.97470774266</v>
      </c>
      <c r="J441" s="10" t="n">
        <f aca="false">Inputs!$B$13*Inputs!$B$7*(1+Inputs!$B$22)^(B441-1)/12</f>
        <v>563.003235072402</v>
      </c>
      <c r="K441" s="10" t="n">
        <f aca="false">Inputs!$B$14*Inputs!$B$7*(1+Inputs!$B$22)^(B441-1)/12</f>
        <v>1126.0064701448</v>
      </c>
      <c r="L441" s="10" t="n">
        <f aca="false">Inputs!$B$15*(1+Inputs!$B$22)^(B441-1)</f>
        <v>0</v>
      </c>
      <c r="M441" s="10" t="n">
        <f aca="false">INDEX(Annual!$N$2:$N$51,B441)/12</f>
        <v>0</v>
      </c>
      <c r="N441" s="10" t="n">
        <f aca="false">D441+E441+G441+I441+J441+K441+L441-M441</f>
        <v>3227.98441295986</v>
      </c>
      <c r="O441" s="10" t="n">
        <f aca="false">Inputs!$B$17*(1+Inputs!$B$18)^(B441-1)+Inputs!$B$19*(1+Inputs!$B$22)^(B441-1)</f>
        <v>8666.20151156511</v>
      </c>
      <c r="P441" s="10" t="n">
        <f aca="false">N441-O441</f>
        <v>-5438.21709860525</v>
      </c>
      <c r="Q441" s="10" t="n">
        <f aca="false">Q440*(1+Inputs!$B$42)-U441+MAX(P441,0)</f>
        <v>2366750.56524713</v>
      </c>
      <c r="R441" s="10" t="n">
        <f aca="false">R440+Q440*Inputs!$B$48-U441+MAX(P441,0)</f>
        <v>551488.192439858</v>
      </c>
      <c r="S441" s="10" t="n">
        <f aca="false">S440*(1+Inputs!$B$42)-V441+MAX(-P441,0)</f>
        <v>722692.847619468</v>
      </c>
      <c r="T441" s="10" t="n">
        <f aca="false">T440+S440*Inputs!$B$48-V441+MAX(-P441,0)</f>
        <v>535446.319866209</v>
      </c>
      <c r="U441" s="10" t="n">
        <f aca="false">Q440*Inputs!$B$48*Inputs!$B$29</f>
        <v>323.642780270534</v>
      </c>
      <c r="V441" s="10" t="n">
        <f aca="false">S440*Inputs!$B$48*Inputs!$B$29</f>
        <v>98.0814312214806</v>
      </c>
    </row>
    <row r="442" customFormat="false" ht="15" hidden="false" customHeight="false" outlineLevel="0" collapsed="false">
      <c r="A442" s="16" t="n">
        <v>441</v>
      </c>
      <c r="B442" s="16" t="n">
        <f aca="false">ROUNDUP(A442/12,0)</f>
        <v>37</v>
      </c>
      <c r="C442" s="10" t="n">
        <f aca="false">F441</f>
        <v>1.28693500300869E-010</v>
      </c>
      <c r="D442" s="10" t="n">
        <f aca="false">IF(AND(A442&lt;=Inputs!$B$9*12,C442&gt;0.000001),C442*Inputs!$B$10/12,0)</f>
        <v>0</v>
      </c>
      <c r="E442" s="10" t="n">
        <f aca="false">IF(AND(A442&lt;=Inputs!$B$9*12,C442&gt;0.000001),MIN(C442,Inputs!$B$41-D442),0)</f>
        <v>0</v>
      </c>
      <c r="F442" s="10" t="n">
        <f aca="false">C442-E442</f>
        <v>1.28693500300869E-010</v>
      </c>
      <c r="G442" s="10" t="n">
        <f aca="false">IF(AND(Inputs!$B$43=1,C442&gt;0.78*Inputs!$B$7,A442&lt;=Inputs!$B$9*6),Inputs!$B$16*Inputs!$B$39/12,0)</f>
        <v>0</v>
      </c>
      <c r="H442" s="10" t="n">
        <f aca="false">IF(B442=1,Inputs!$B$7,INDEX(Annual!$AC$2:$AC$51,B442-1))</f>
        <v>2051966.27699021</v>
      </c>
      <c r="I442" s="10" t="n">
        <f aca="false">Inputs!$B$12*IF(Inputs!$B$35="",H442,MIN(H442,Inputs!$B$7*(1+Inputs!$B$35)^(B442-1)))/12</f>
        <v>1538.97470774266</v>
      </c>
      <c r="J442" s="10" t="n">
        <f aca="false">Inputs!$B$13*Inputs!$B$7*(1+Inputs!$B$22)^(B442-1)/12</f>
        <v>563.003235072402</v>
      </c>
      <c r="K442" s="10" t="n">
        <f aca="false">Inputs!$B$14*Inputs!$B$7*(1+Inputs!$B$22)^(B442-1)/12</f>
        <v>1126.0064701448</v>
      </c>
      <c r="L442" s="10" t="n">
        <f aca="false">Inputs!$B$15*(1+Inputs!$B$22)^(B442-1)</f>
        <v>0</v>
      </c>
      <c r="M442" s="10" t="n">
        <f aca="false">INDEX(Annual!$N$2:$N$51,B442)/12</f>
        <v>0</v>
      </c>
      <c r="N442" s="10" t="n">
        <f aca="false">D442+E442+G442+I442+J442+K442+L442-M442</f>
        <v>3227.98441295986</v>
      </c>
      <c r="O442" s="10" t="n">
        <f aca="false">Inputs!$B$17*(1+Inputs!$B$18)^(B442-1)+Inputs!$B$19*(1+Inputs!$B$22)^(B442-1)</f>
        <v>8666.20151156511</v>
      </c>
      <c r="P442" s="10" t="n">
        <f aca="false">N442-O442</f>
        <v>-5438.21709860525</v>
      </c>
      <c r="Q442" s="10" t="n">
        <f aca="false">Q441*(1+Inputs!$B$42)-U442+MAX(P442,0)</f>
        <v>2379807.08883604</v>
      </c>
      <c r="R442" s="10" t="n">
        <f aca="false">R441+Q441*Inputs!$B$48-U442+MAX(P442,0)</f>
        <v>553332.285588613</v>
      </c>
      <c r="S442" s="10" t="n">
        <f aca="false">S441*(1+Inputs!$B$42)-V442+MAX(-P442,0)</f>
        <v>732117.904882404</v>
      </c>
      <c r="T442" s="10" t="n">
        <f aca="false">T441+S441*Inputs!$B$48-V442+MAX(-P442,0)</f>
        <v>541447.635141918</v>
      </c>
      <c r="U442" s="10" t="n">
        <f aca="false">Q441*Inputs!$B$48*Inputs!$B$29</f>
        <v>325.428202721481</v>
      </c>
      <c r="V442" s="10" t="n">
        <f aca="false">S441*Inputs!$B$48*Inputs!$B$29</f>
        <v>99.3702665476769</v>
      </c>
    </row>
    <row r="443" customFormat="false" ht="15" hidden="false" customHeight="false" outlineLevel="0" collapsed="false">
      <c r="A443" s="16" t="n">
        <v>442</v>
      </c>
      <c r="B443" s="16" t="n">
        <f aca="false">ROUNDUP(A443/12,0)</f>
        <v>37</v>
      </c>
      <c r="C443" s="10" t="n">
        <f aca="false">F442</f>
        <v>1.28693500300869E-010</v>
      </c>
      <c r="D443" s="10" t="n">
        <f aca="false">IF(AND(A443&lt;=Inputs!$B$9*12,C443&gt;0.000001),C443*Inputs!$B$10/12,0)</f>
        <v>0</v>
      </c>
      <c r="E443" s="10" t="n">
        <f aca="false">IF(AND(A443&lt;=Inputs!$B$9*12,C443&gt;0.000001),MIN(C443,Inputs!$B$41-D443),0)</f>
        <v>0</v>
      </c>
      <c r="F443" s="10" t="n">
        <f aca="false">C443-E443</f>
        <v>1.28693500300869E-010</v>
      </c>
      <c r="G443" s="10" t="n">
        <f aca="false">IF(AND(Inputs!$B$43=1,C443&gt;0.78*Inputs!$B$7,A443&lt;=Inputs!$B$9*6),Inputs!$B$16*Inputs!$B$39/12,0)</f>
        <v>0</v>
      </c>
      <c r="H443" s="10" t="n">
        <f aca="false">IF(B443=1,Inputs!$B$7,INDEX(Annual!$AC$2:$AC$51,B443-1))</f>
        <v>2051966.27699021</v>
      </c>
      <c r="I443" s="10" t="n">
        <f aca="false">Inputs!$B$12*IF(Inputs!$B$35="",H443,MIN(H443,Inputs!$B$7*(1+Inputs!$B$35)^(B443-1)))/12</f>
        <v>1538.97470774266</v>
      </c>
      <c r="J443" s="10" t="n">
        <f aca="false">Inputs!$B$13*Inputs!$B$7*(1+Inputs!$B$22)^(B443-1)/12</f>
        <v>563.003235072402</v>
      </c>
      <c r="K443" s="10" t="n">
        <f aca="false">Inputs!$B$14*Inputs!$B$7*(1+Inputs!$B$22)^(B443-1)/12</f>
        <v>1126.0064701448</v>
      </c>
      <c r="L443" s="10" t="n">
        <f aca="false">Inputs!$B$15*(1+Inputs!$B$22)^(B443-1)</f>
        <v>0</v>
      </c>
      <c r="M443" s="10" t="n">
        <f aca="false">INDEX(Annual!$N$2:$N$51,B443)/12</f>
        <v>0</v>
      </c>
      <c r="N443" s="10" t="n">
        <f aca="false">D443+E443+G443+I443+J443+K443+L443-M443</f>
        <v>3227.98441295986</v>
      </c>
      <c r="O443" s="10" t="n">
        <f aca="false">Inputs!$B$17*(1+Inputs!$B$18)^(B443-1)+Inputs!$B$19*(1+Inputs!$B$22)^(B443-1)</f>
        <v>8666.20151156511</v>
      </c>
      <c r="P443" s="10" t="n">
        <f aca="false">N443-O443</f>
        <v>-5438.21709860525</v>
      </c>
      <c r="Q443" s="10" t="n">
        <f aca="false">Q442*(1+Inputs!$B$42)-U443+MAX(P443,0)</f>
        <v>2392935.64063558</v>
      </c>
      <c r="R443" s="10" t="n">
        <f aca="false">R442+Q442*Inputs!$B$48-U443+MAX(P443,0)</f>
        <v>555186.551945331</v>
      </c>
      <c r="S443" s="10" t="n">
        <f aca="false">S442*(1+Inputs!$B$42)-V443+MAX(-P443,0)</f>
        <v>741594.956844016</v>
      </c>
      <c r="T443" s="10" t="n">
        <f aca="false">T442+S442*Inputs!$B$48-V443+MAX(-P443,0)</f>
        <v>547456.294108077</v>
      </c>
      <c r="U443" s="10" t="n">
        <f aca="false">Q442*Inputs!$B$48*Inputs!$B$29</f>
        <v>327.223474714956</v>
      </c>
      <c r="V443" s="10" t="n">
        <f aca="false">S442*Inputs!$B$48*Inputs!$B$29</f>
        <v>100.666211921331</v>
      </c>
    </row>
    <row r="444" customFormat="false" ht="15" hidden="false" customHeight="false" outlineLevel="0" collapsed="false">
      <c r="A444" s="16" t="n">
        <v>443</v>
      </c>
      <c r="B444" s="16" t="n">
        <f aca="false">ROUNDUP(A444/12,0)</f>
        <v>37</v>
      </c>
      <c r="C444" s="10" t="n">
        <f aca="false">F443</f>
        <v>1.28693500300869E-010</v>
      </c>
      <c r="D444" s="10" t="n">
        <f aca="false">IF(AND(A444&lt;=Inputs!$B$9*12,C444&gt;0.000001),C444*Inputs!$B$10/12,0)</f>
        <v>0</v>
      </c>
      <c r="E444" s="10" t="n">
        <f aca="false">IF(AND(A444&lt;=Inputs!$B$9*12,C444&gt;0.000001),MIN(C444,Inputs!$B$41-D444),0)</f>
        <v>0</v>
      </c>
      <c r="F444" s="10" t="n">
        <f aca="false">C444-E444</f>
        <v>1.28693500300869E-010</v>
      </c>
      <c r="G444" s="10" t="n">
        <f aca="false">IF(AND(Inputs!$B$43=1,C444&gt;0.78*Inputs!$B$7,A444&lt;=Inputs!$B$9*6),Inputs!$B$16*Inputs!$B$39/12,0)</f>
        <v>0</v>
      </c>
      <c r="H444" s="10" t="n">
        <f aca="false">IF(B444=1,Inputs!$B$7,INDEX(Annual!$AC$2:$AC$51,B444-1))</f>
        <v>2051966.27699021</v>
      </c>
      <c r="I444" s="10" t="n">
        <f aca="false">Inputs!$B$12*IF(Inputs!$B$35="",H444,MIN(H444,Inputs!$B$7*(1+Inputs!$B$35)^(B444-1)))/12</f>
        <v>1538.97470774266</v>
      </c>
      <c r="J444" s="10" t="n">
        <f aca="false">Inputs!$B$13*Inputs!$B$7*(1+Inputs!$B$22)^(B444-1)/12</f>
        <v>563.003235072402</v>
      </c>
      <c r="K444" s="10" t="n">
        <f aca="false">Inputs!$B$14*Inputs!$B$7*(1+Inputs!$B$22)^(B444-1)/12</f>
        <v>1126.0064701448</v>
      </c>
      <c r="L444" s="10" t="n">
        <f aca="false">Inputs!$B$15*(1+Inputs!$B$22)^(B444-1)</f>
        <v>0</v>
      </c>
      <c r="M444" s="10" t="n">
        <f aca="false">INDEX(Annual!$N$2:$N$51,B444)/12</f>
        <v>0</v>
      </c>
      <c r="N444" s="10" t="n">
        <f aca="false">D444+E444+G444+I444+J444+K444+L444-M444</f>
        <v>3227.98441295986</v>
      </c>
      <c r="O444" s="10" t="n">
        <f aca="false">Inputs!$B$17*(1+Inputs!$B$18)^(B444-1)+Inputs!$B$19*(1+Inputs!$B$22)^(B444-1)</f>
        <v>8666.20151156511</v>
      </c>
      <c r="P444" s="10" t="n">
        <f aca="false">N444-O444</f>
        <v>-5438.21709860525</v>
      </c>
      <c r="Q444" s="10" t="n">
        <f aca="false">Q443*(1+Inputs!$B$42)-U444+MAX(P444,0)</f>
        <v>2406136.61799985</v>
      </c>
      <c r="R444" s="10" t="n">
        <f aca="false">R443+Q443*Inputs!$B$48-U444+MAX(P444,0)</f>
        <v>557051.047631993</v>
      </c>
      <c r="S444" s="10" t="n">
        <f aca="false">S443*(1+Inputs!$B$42)-V444+MAX(-P444,0)</f>
        <v>751124.290340618</v>
      </c>
      <c r="T444" s="10" t="n">
        <f aca="false">T443+S443*Inputs!$B$48-V444+MAX(-P444,0)</f>
        <v>553472.337277223</v>
      </c>
      <c r="U444" s="10" t="n">
        <f aca="false">Q443*Inputs!$B$48*Inputs!$B$29</f>
        <v>329.028650587393</v>
      </c>
      <c r="V444" s="10" t="n">
        <f aca="false">S443*Inputs!$B$48*Inputs!$B$29</f>
        <v>101.969306566052</v>
      </c>
    </row>
    <row r="445" customFormat="false" ht="15" hidden="false" customHeight="false" outlineLevel="0" collapsed="false">
      <c r="A445" s="16" t="n">
        <v>444</v>
      </c>
      <c r="B445" s="16" t="n">
        <f aca="false">ROUNDUP(A445/12,0)</f>
        <v>37</v>
      </c>
      <c r="C445" s="10" t="n">
        <f aca="false">F444</f>
        <v>1.28693500300869E-010</v>
      </c>
      <c r="D445" s="10" t="n">
        <f aca="false">IF(AND(A445&lt;=Inputs!$B$9*12,C445&gt;0.000001),C445*Inputs!$B$10/12,0)</f>
        <v>0</v>
      </c>
      <c r="E445" s="10" t="n">
        <f aca="false">IF(AND(A445&lt;=Inputs!$B$9*12,C445&gt;0.000001),MIN(C445,Inputs!$B$41-D445),0)</f>
        <v>0</v>
      </c>
      <c r="F445" s="10" t="n">
        <f aca="false">C445-E445</f>
        <v>1.28693500300869E-010</v>
      </c>
      <c r="G445" s="10" t="n">
        <f aca="false">IF(AND(Inputs!$B$43=1,C445&gt;0.78*Inputs!$B$7,A445&lt;=Inputs!$B$9*6),Inputs!$B$16*Inputs!$B$39/12,0)</f>
        <v>0</v>
      </c>
      <c r="H445" s="10" t="n">
        <f aca="false">IF(B445=1,Inputs!$B$7,INDEX(Annual!$AC$2:$AC$51,B445-1))</f>
        <v>2051966.27699021</v>
      </c>
      <c r="I445" s="10" t="n">
        <f aca="false">Inputs!$B$12*IF(Inputs!$B$35="",H445,MIN(H445,Inputs!$B$7*(1+Inputs!$B$35)^(B445-1)))/12</f>
        <v>1538.97470774266</v>
      </c>
      <c r="J445" s="10" t="n">
        <f aca="false">Inputs!$B$13*Inputs!$B$7*(1+Inputs!$B$22)^(B445-1)/12</f>
        <v>563.003235072402</v>
      </c>
      <c r="K445" s="10" t="n">
        <f aca="false">Inputs!$B$14*Inputs!$B$7*(1+Inputs!$B$22)^(B445-1)/12</f>
        <v>1126.0064701448</v>
      </c>
      <c r="L445" s="10" t="n">
        <f aca="false">Inputs!$B$15*(1+Inputs!$B$22)^(B445-1)</f>
        <v>0</v>
      </c>
      <c r="M445" s="10" t="n">
        <f aca="false">INDEX(Annual!$N$2:$N$51,B445)/12</f>
        <v>0</v>
      </c>
      <c r="N445" s="10" t="n">
        <f aca="false">D445+E445+G445+I445+J445+K445+L445-M445</f>
        <v>3227.98441295986</v>
      </c>
      <c r="O445" s="10" t="n">
        <f aca="false">Inputs!$B$17*(1+Inputs!$B$18)^(B445-1)+Inputs!$B$19*(1+Inputs!$B$22)^(B445-1)</f>
        <v>8666.20151156511</v>
      </c>
      <c r="P445" s="10" t="n">
        <f aca="false">N445-O445</f>
        <v>-5438.21709860525</v>
      </c>
      <c r="Q445" s="10" t="n">
        <f aca="false">Q444*(1+Inputs!$B$42)-U445+MAX(P445,0)</f>
        <v>2419410.42047501</v>
      </c>
      <c r="R445" s="10" t="n">
        <f aca="false">R444+Q444*Inputs!$B$48-U445+MAX(P445,0)</f>
        <v>558925.829080185</v>
      </c>
      <c r="S445" s="10" t="n">
        <f aca="false">S444*(1+Inputs!$B$42)-V445+MAX(-P445,0)</f>
        <v>760706.193790899</v>
      </c>
      <c r="T445" s="10" t="n">
        <f aca="false">T444+S444*Inputs!$B$48-V445+MAX(-P445,0)</f>
        <v>559495.805385386</v>
      </c>
      <c r="U445" s="10" t="n">
        <f aca="false">Q444*Inputs!$B$48*Inputs!$B$29</f>
        <v>330.84378497498</v>
      </c>
      <c r="V445" s="10" t="n">
        <f aca="false">S444*Inputs!$B$48*Inputs!$B$29</f>
        <v>103.279589921835</v>
      </c>
    </row>
    <row r="446" customFormat="false" ht="15" hidden="false" customHeight="false" outlineLevel="0" collapsed="false">
      <c r="A446" s="16" t="n">
        <v>445</v>
      </c>
      <c r="B446" s="16" t="n">
        <f aca="false">ROUNDUP(A446/12,0)</f>
        <v>38</v>
      </c>
      <c r="C446" s="10" t="n">
        <f aca="false">F445</f>
        <v>1.28693500300869E-010</v>
      </c>
      <c r="D446" s="10" t="n">
        <f aca="false">IF(AND(A446&lt;=Inputs!$B$9*12,C446&gt;0.000001),C446*Inputs!$B$10/12,0)</f>
        <v>0</v>
      </c>
      <c r="E446" s="10" t="n">
        <f aca="false">IF(AND(A446&lt;=Inputs!$B$9*12,C446&gt;0.000001),MIN(C446,Inputs!$B$41-D446),0)</f>
        <v>0</v>
      </c>
      <c r="F446" s="10" t="n">
        <f aca="false">C446-E446</f>
        <v>1.28693500300869E-010</v>
      </c>
      <c r="G446" s="10" t="n">
        <f aca="false">IF(AND(Inputs!$B$43=1,C446&gt;0.78*Inputs!$B$7,A446&lt;=Inputs!$B$9*6),Inputs!$B$16*Inputs!$B$39/12,0)</f>
        <v>0</v>
      </c>
      <c r="H446" s="10" t="n">
        <f aca="false">IF(B446=1,Inputs!$B$7,INDEX(Annual!$AC$2:$AC$51,B446-1))</f>
        <v>2134044.92806982</v>
      </c>
      <c r="I446" s="10" t="n">
        <f aca="false">Inputs!$B$12*IF(Inputs!$B$35="",H446,MIN(H446,Inputs!$B$7*(1+Inputs!$B$35)^(B446-1)))/12</f>
        <v>1600.53369605236</v>
      </c>
      <c r="J446" s="10" t="n">
        <f aca="false">Inputs!$B$13*Inputs!$B$7*(1+Inputs!$B$22)^(B446-1)/12</f>
        <v>578.767325654429</v>
      </c>
      <c r="K446" s="10" t="n">
        <f aca="false">Inputs!$B$14*Inputs!$B$7*(1+Inputs!$B$22)^(B446-1)/12</f>
        <v>1157.53465130886</v>
      </c>
      <c r="L446" s="10" t="n">
        <f aca="false">Inputs!$B$15*(1+Inputs!$B$22)^(B446-1)</f>
        <v>0</v>
      </c>
      <c r="M446" s="10" t="n">
        <f aca="false">INDEX(Annual!$N$2:$N$51,B446)/12</f>
        <v>0</v>
      </c>
      <c r="N446" s="10" t="n">
        <f aca="false">D446+E446+G446+I446+J446+K446+L446-M446</f>
        <v>3336.83567301565</v>
      </c>
      <c r="O446" s="10" t="n">
        <f aca="false">Inputs!$B$17*(1+Inputs!$B$18)^(B446-1)+Inputs!$B$19*(1+Inputs!$B$22)^(B446-1)</f>
        <v>8969.23481083941</v>
      </c>
      <c r="P446" s="10" t="n">
        <f aca="false">N446-O446</f>
        <v>-5632.39913782376</v>
      </c>
      <c r="Q446" s="10" t="n">
        <f aca="false">Q445*(1+Inputs!$B$42)-U446+MAX(P446,0)</f>
        <v>2432757.44981136</v>
      </c>
      <c r="R446" s="10" t="n">
        <f aca="false">R445+Q445*Inputs!$B$48-U446+MAX(P446,0)</f>
        <v>560810.953032805</v>
      </c>
      <c r="S446" s="10" t="n">
        <f aca="false">S445*(1+Inputs!$B$42)-V446+MAX(-P446,0)</f>
        <v>770535.13924387</v>
      </c>
      <c r="T446" s="10" t="n">
        <f aca="false">T445+S445*Inputs!$B$48-V446+MAX(-P446,0)</f>
        <v>565720.921432538</v>
      </c>
      <c r="U446" s="10" t="n">
        <f aca="false">Q445*Inputs!$B$48*Inputs!$B$29</f>
        <v>332.668932815314</v>
      </c>
      <c r="V446" s="10" t="n">
        <f aca="false">S445*Inputs!$B$48*Inputs!$B$29</f>
        <v>104.597101646249</v>
      </c>
    </row>
    <row r="447" customFormat="false" ht="15" hidden="false" customHeight="false" outlineLevel="0" collapsed="false">
      <c r="A447" s="16" t="n">
        <v>446</v>
      </c>
      <c r="B447" s="16" t="n">
        <f aca="false">ROUNDUP(A447/12,0)</f>
        <v>38</v>
      </c>
      <c r="C447" s="10" t="n">
        <f aca="false">F446</f>
        <v>1.28693500300869E-010</v>
      </c>
      <c r="D447" s="10" t="n">
        <f aca="false">IF(AND(A447&lt;=Inputs!$B$9*12,C447&gt;0.000001),C447*Inputs!$B$10/12,0)</f>
        <v>0</v>
      </c>
      <c r="E447" s="10" t="n">
        <f aca="false">IF(AND(A447&lt;=Inputs!$B$9*12,C447&gt;0.000001),MIN(C447,Inputs!$B$41-D447),0)</f>
        <v>0</v>
      </c>
      <c r="F447" s="10" t="n">
        <f aca="false">C447-E447</f>
        <v>1.28693500300869E-010</v>
      </c>
      <c r="G447" s="10" t="n">
        <f aca="false">IF(AND(Inputs!$B$43=1,C447&gt;0.78*Inputs!$B$7,A447&lt;=Inputs!$B$9*6),Inputs!$B$16*Inputs!$B$39/12,0)</f>
        <v>0</v>
      </c>
      <c r="H447" s="10" t="n">
        <f aca="false">IF(B447=1,Inputs!$B$7,INDEX(Annual!$AC$2:$AC$51,B447-1))</f>
        <v>2134044.92806982</v>
      </c>
      <c r="I447" s="10" t="n">
        <f aca="false">Inputs!$B$12*IF(Inputs!$B$35="",H447,MIN(H447,Inputs!$B$7*(1+Inputs!$B$35)^(B447-1)))/12</f>
        <v>1600.53369605236</v>
      </c>
      <c r="J447" s="10" t="n">
        <f aca="false">Inputs!$B$13*Inputs!$B$7*(1+Inputs!$B$22)^(B447-1)/12</f>
        <v>578.767325654429</v>
      </c>
      <c r="K447" s="10" t="n">
        <f aca="false">Inputs!$B$14*Inputs!$B$7*(1+Inputs!$B$22)^(B447-1)/12</f>
        <v>1157.53465130886</v>
      </c>
      <c r="L447" s="10" t="n">
        <f aca="false">Inputs!$B$15*(1+Inputs!$B$22)^(B447-1)</f>
        <v>0</v>
      </c>
      <c r="M447" s="10" t="n">
        <f aca="false">INDEX(Annual!$N$2:$N$51,B447)/12</f>
        <v>0</v>
      </c>
      <c r="N447" s="10" t="n">
        <f aca="false">D447+E447+G447+I447+J447+K447+L447-M447</f>
        <v>3336.83567301565</v>
      </c>
      <c r="O447" s="10" t="n">
        <f aca="false">Inputs!$B$17*(1+Inputs!$B$18)^(B447-1)+Inputs!$B$19*(1+Inputs!$B$22)^(B447-1)</f>
        <v>8969.23481083941</v>
      </c>
      <c r="P447" s="10" t="n">
        <f aca="false">N447-O447</f>
        <v>-5632.39913782376</v>
      </c>
      <c r="Q447" s="10" t="n">
        <f aca="false">Q446*(1+Inputs!$B$42)-U447+MAX(P447,0)</f>
        <v>2446178.10997554</v>
      </c>
      <c r="R447" s="10" t="n">
        <f aca="false">R446+Q446*Inputs!$B$48-U447+MAX(P447,0)</f>
        <v>562706.476545783</v>
      </c>
      <c r="S447" s="10" t="n">
        <f aca="false">S446*(1+Inputs!$B$42)-V447+MAX(-P447,0)</f>
        <v>780418.307503437</v>
      </c>
      <c r="T447" s="10" t="n">
        <f aca="false">T446+S446*Inputs!$B$48-V447+MAX(-P447,0)</f>
        <v>571953.695866356</v>
      </c>
      <c r="U447" s="10" t="n">
        <f aca="false">Q446*Inputs!$B$48*Inputs!$B$29</f>
        <v>334.504149349063</v>
      </c>
      <c r="V447" s="10" t="n">
        <f aca="false">S446*Inputs!$B$48*Inputs!$B$29</f>
        <v>105.948581646032</v>
      </c>
    </row>
    <row r="448" customFormat="false" ht="15" hidden="false" customHeight="false" outlineLevel="0" collapsed="false">
      <c r="A448" s="16" t="n">
        <v>447</v>
      </c>
      <c r="B448" s="16" t="n">
        <f aca="false">ROUNDUP(A448/12,0)</f>
        <v>38</v>
      </c>
      <c r="C448" s="10" t="n">
        <f aca="false">F447</f>
        <v>1.28693500300869E-010</v>
      </c>
      <c r="D448" s="10" t="n">
        <f aca="false">IF(AND(A448&lt;=Inputs!$B$9*12,C448&gt;0.000001),C448*Inputs!$B$10/12,0)</f>
        <v>0</v>
      </c>
      <c r="E448" s="10" t="n">
        <f aca="false">IF(AND(A448&lt;=Inputs!$B$9*12,C448&gt;0.000001),MIN(C448,Inputs!$B$41-D448),0)</f>
        <v>0</v>
      </c>
      <c r="F448" s="10" t="n">
        <f aca="false">C448-E448</f>
        <v>1.28693500300869E-010</v>
      </c>
      <c r="G448" s="10" t="n">
        <f aca="false">IF(AND(Inputs!$B$43=1,C448&gt;0.78*Inputs!$B$7,A448&lt;=Inputs!$B$9*6),Inputs!$B$16*Inputs!$B$39/12,0)</f>
        <v>0</v>
      </c>
      <c r="H448" s="10" t="n">
        <f aca="false">IF(B448=1,Inputs!$B$7,INDEX(Annual!$AC$2:$AC$51,B448-1))</f>
        <v>2134044.92806982</v>
      </c>
      <c r="I448" s="10" t="n">
        <f aca="false">Inputs!$B$12*IF(Inputs!$B$35="",H448,MIN(H448,Inputs!$B$7*(1+Inputs!$B$35)^(B448-1)))/12</f>
        <v>1600.53369605236</v>
      </c>
      <c r="J448" s="10" t="n">
        <f aca="false">Inputs!$B$13*Inputs!$B$7*(1+Inputs!$B$22)^(B448-1)/12</f>
        <v>578.767325654429</v>
      </c>
      <c r="K448" s="10" t="n">
        <f aca="false">Inputs!$B$14*Inputs!$B$7*(1+Inputs!$B$22)^(B448-1)/12</f>
        <v>1157.53465130886</v>
      </c>
      <c r="L448" s="10" t="n">
        <f aca="false">Inputs!$B$15*(1+Inputs!$B$22)^(B448-1)</f>
        <v>0</v>
      </c>
      <c r="M448" s="10" t="n">
        <f aca="false">INDEX(Annual!$N$2:$N$51,B448)/12</f>
        <v>0</v>
      </c>
      <c r="N448" s="10" t="n">
        <f aca="false">D448+E448+G448+I448+J448+K448+L448-M448</f>
        <v>3336.83567301565</v>
      </c>
      <c r="O448" s="10" t="n">
        <f aca="false">Inputs!$B$17*(1+Inputs!$B$18)^(B448-1)+Inputs!$B$19*(1+Inputs!$B$22)^(B448-1)</f>
        <v>8969.23481083941</v>
      </c>
      <c r="P448" s="10" t="n">
        <f aca="false">N448-O448</f>
        <v>-5632.39913782376</v>
      </c>
      <c r="Q448" s="10" t="n">
        <f aca="false">Q447*(1+Inputs!$B$42)-U448+MAX(P448,0)</f>
        <v>2459672.80716271</v>
      </c>
      <c r="R448" s="10" t="n">
        <f aca="false">R447+Q447*Inputs!$B$48-U448+MAX(P448,0)</f>
        <v>564612.456989805</v>
      </c>
      <c r="S448" s="10" t="n">
        <f aca="false">S447*(1+Inputs!$B$42)-V448+MAX(-P448,0)</f>
        <v>790355.997697596</v>
      </c>
      <c r="T448" s="10" t="n">
        <f aca="false">T447+S447*Inputs!$B$48-V448+MAX(-P448,0)</f>
        <v>578194.170935443</v>
      </c>
      <c r="U448" s="10" t="n">
        <f aca="false">Q447*Inputs!$B$48*Inputs!$B$29</f>
        <v>336.349490121637</v>
      </c>
      <c r="V448" s="10" t="n">
        <f aca="false">S447*Inputs!$B$48*Inputs!$B$29</f>
        <v>107.307517281723</v>
      </c>
    </row>
    <row r="449" customFormat="false" ht="15" hidden="false" customHeight="false" outlineLevel="0" collapsed="false">
      <c r="A449" s="16" t="n">
        <v>448</v>
      </c>
      <c r="B449" s="16" t="n">
        <f aca="false">ROUNDUP(A449/12,0)</f>
        <v>38</v>
      </c>
      <c r="C449" s="10" t="n">
        <f aca="false">F448</f>
        <v>1.28693500300869E-010</v>
      </c>
      <c r="D449" s="10" t="n">
        <f aca="false">IF(AND(A449&lt;=Inputs!$B$9*12,C449&gt;0.000001),C449*Inputs!$B$10/12,0)</f>
        <v>0</v>
      </c>
      <c r="E449" s="10" t="n">
        <f aca="false">IF(AND(A449&lt;=Inputs!$B$9*12,C449&gt;0.000001),MIN(C449,Inputs!$B$41-D449),0)</f>
        <v>0</v>
      </c>
      <c r="F449" s="10" t="n">
        <f aca="false">C449-E449</f>
        <v>1.28693500300869E-010</v>
      </c>
      <c r="G449" s="10" t="n">
        <f aca="false">IF(AND(Inputs!$B$43=1,C449&gt;0.78*Inputs!$B$7,A449&lt;=Inputs!$B$9*6),Inputs!$B$16*Inputs!$B$39/12,0)</f>
        <v>0</v>
      </c>
      <c r="H449" s="10" t="n">
        <f aca="false">IF(B449=1,Inputs!$B$7,INDEX(Annual!$AC$2:$AC$51,B449-1))</f>
        <v>2134044.92806982</v>
      </c>
      <c r="I449" s="10" t="n">
        <f aca="false">Inputs!$B$12*IF(Inputs!$B$35="",H449,MIN(H449,Inputs!$B$7*(1+Inputs!$B$35)^(B449-1)))/12</f>
        <v>1600.53369605236</v>
      </c>
      <c r="J449" s="10" t="n">
        <f aca="false">Inputs!$B$13*Inputs!$B$7*(1+Inputs!$B$22)^(B449-1)/12</f>
        <v>578.767325654429</v>
      </c>
      <c r="K449" s="10" t="n">
        <f aca="false">Inputs!$B$14*Inputs!$B$7*(1+Inputs!$B$22)^(B449-1)/12</f>
        <v>1157.53465130886</v>
      </c>
      <c r="L449" s="10" t="n">
        <f aca="false">Inputs!$B$15*(1+Inputs!$B$22)^(B449-1)</f>
        <v>0</v>
      </c>
      <c r="M449" s="10" t="n">
        <f aca="false">INDEX(Annual!$N$2:$N$51,B449)/12</f>
        <v>0</v>
      </c>
      <c r="N449" s="10" t="n">
        <f aca="false">D449+E449+G449+I449+J449+K449+L449-M449</f>
        <v>3336.83567301565</v>
      </c>
      <c r="O449" s="10" t="n">
        <f aca="false">Inputs!$B$17*(1+Inputs!$B$18)^(B449-1)+Inputs!$B$19*(1+Inputs!$B$22)^(B449-1)</f>
        <v>8969.23481083941</v>
      </c>
      <c r="P449" s="10" t="n">
        <f aca="false">N449-O449</f>
        <v>-5632.39913782376</v>
      </c>
      <c r="Q449" s="10" t="n">
        <f aca="false">Q448*(1+Inputs!$B$42)-U449+MAX(P449,0)</f>
        <v>2473241.94980887</v>
      </c>
      <c r="R449" s="10" t="n">
        <f aca="false">R448+Q448*Inputs!$B$48-U449+MAX(P449,0)</f>
        <v>566528.952052053</v>
      </c>
      <c r="S449" s="10" t="n">
        <f aca="false">S448*(1+Inputs!$B$42)-V449+MAX(-P449,0)</f>
        <v>800348.510604526</v>
      </c>
      <c r="T449" s="10" t="n">
        <f aca="false">T448+S448*Inputs!$B$48-V449+MAX(-P449,0)</f>
        <v>584442.389121472</v>
      </c>
      <c r="U449" s="10" t="n">
        <f aca="false">Q448*Inputs!$B$48*Inputs!$B$29</f>
        <v>338.205010984873</v>
      </c>
      <c r="V449" s="10" t="n">
        <f aca="false">S448*Inputs!$B$48*Inputs!$B$29</f>
        <v>108.673949683419</v>
      </c>
    </row>
    <row r="450" customFormat="false" ht="15" hidden="false" customHeight="false" outlineLevel="0" collapsed="false">
      <c r="A450" s="16" t="n">
        <v>449</v>
      </c>
      <c r="B450" s="16" t="n">
        <f aca="false">ROUNDUP(A450/12,0)</f>
        <v>38</v>
      </c>
      <c r="C450" s="10" t="n">
        <f aca="false">F449</f>
        <v>1.28693500300869E-010</v>
      </c>
      <c r="D450" s="10" t="n">
        <f aca="false">IF(AND(A450&lt;=Inputs!$B$9*12,C450&gt;0.000001),C450*Inputs!$B$10/12,0)</f>
        <v>0</v>
      </c>
      <c r="E450" s="10" t="n">
        <f aca="false">IF(AND(A450&lt;=Inputs!$B$9*12,C450&gt;0.000001),MIN(C450,Inputs!$B$41-D450),0)</f>
        <v>0</v>
      </c>
      <c r="F450" s="10" t="n">
        <f aca="false">C450-E450</f>
        <v>1.28693500300869E-010</v>
      </c>
      <c r="G450" s="10" t="n">
        <f aca="false">IF(AND(Inputs!$B$43=1,C450&gt;0.78*Inputs!$B$7,A450&lt;=Inputs!$B$9*6),Inputs!$B$16*Inputs!$B$39/12,0)</f>
        <v>0</v>
      </c>
      <c r="H450" s="10" t="n">
        <f aca="false">IF(B450=1,Inputs!$B$7,INDEX(Annual!$AC$2:$AC$51,B450-1))</f>
        <v>2134044.92806982</v>
      </c>
      <c r="I450" s="10" t="n">
        <f aca="false">Inputs!$B$12*IF(Inputs!$B$35="",H450,MIN(H450,Inputs!$B$7*(1+Inputs!$B$35)^(B450-1)))/12</f>
        <v>1600.53369605236</v>
      </c>
      <c r="J450" s="10" t="n">
        <f aca="false">Inputs!$B$13*Inputs!$B$7*(1+Inputs!$B$22)^(B450-1)/12</f>
        <v>578.767325654429</v>
      </c>
      <c r="K450" s="10" t="n">
        <f aca="false">Inputs!$B$14*Inputs!$B$7*(1+Inputs!$B$22)^(B450-1)/12</f>
        <v>1157.53465130886</v>
      </c>
      <c r="L450" s="10" t="n">
        <f aca="false">Inputs!$B$15*(1+Inputs!$B$22)^(B450-1)</f>
        <v>0</v>
      </c>
      <c r="M450" s="10" t="n">
        <f aca="false">INDEX(Annual!$N$2:$N$51,B450)/12</f>
        <v>0</v>
      </c>
      <c r="N450" s="10" t="n">
        <f aca="false">D450+E450+G450+I450+J450+K450+L450-M450</f>
        <v>3336.83567301565</v>
      </c>
      <c r="O450" s="10" t="n">
        <f aca="false">Inputs!$B$17*(1+Inputs!$B$18)^(B450-1)+Inputs!$B$19*(1+Inputs!$B$22)^(B450-1)</f>
        <v>8969.23481083941</v>
      </c>
      <c r="P450" s="10" t="n">
        <f aca="false">N450-O450</f>
        <v>-5632.39913782376</v>
      </c>
      <c r="Q450" s="10" t="n">
        <f aca="false">Q449*(1+Inputs!$B$42)-U450+MAX(P450,0)</f>
        <v>2486885.94860322</v>
      </c>
      <c r="R450" s="10" t="n">
        <f aca="false">R449+Q449*Inputs!$B$48-U450+MAX(P450,0)</f>
        <v>568456.019737946</v>
      </c>
      <c r="S450" s="10" t="n">
        <f aca="false">S449*(1+Inputs!$B$42)-V450+MAX(-P450,0)</f>
        <v>810396.148661693</v>
      </c>
      <c r="T450" s="10" t="n">
        <f aca="false">T449+S449*Inputs!$B$48-V450+MAX(-P450,0)</f>
        <v>590698.393140476</v>
      </c>
      <c r="U450" s="10" t="n">
        <f aca="false">Q449*Inputs!$B$48*Inputs!$B$29</f>
        <v>340.07076809872</v>
      </c>
      <c r="V450" s="10" t="n">
        <f aca="false">S449*Inputs!$B$48*Inputs!$B$29</f>
        <v>110.047920208122</v>
      </c>
    </row>
    <row r="451" customFormat="false" ht="15" hidden="false" customHeight="false" outlineLevel="0" collapsed="false">
      <c r="A451" s="16" t="n">
        <v>450</v>
      </c>
      <c r="B451" s="16" t="n">
        <f aca="false">ROUNDUP(A451/12,0)</f>
        <v>38</v>
      </c>
      <c r="C451" s="10" t="n">
        <f aca="false">F450</f>
        <v>1.28693500300869E-010</v>
      </c>
      <c r="D451" s="10" t="n">
        <f aca="false">IF(AND(A451&lt;=Inputs!$B$9*12,C451&gt;0.000001),C451*Inputs!$B$10/12,0)</f>
        <v>0</v>
      </c>
      <c r="E451" s="10" t="n">
        <f aca="false">IF(AND(A451&lt;=Inputs!$B$9*12,C451&gt;0.000001),MIN(C451,Inputs!$B$41-D451),0)</f>
        <v>0</v>
      </c>
      <c r="F451" s="10" t="n">
        <f aca="false">C451-E451</f>
        <v>1.28693500300869E-010</v>
      </c>
      <c r="G451" s="10" t="n">
        <f aca="false">IF(AND(Inputs!$B$43=1,C451&gt;0.78*Inputs!$B$7,A451&lt;=Inputs!$B$9*6),Inputs!$B$16*Inputs!$B$39/12,0)</f>
        <v>0</v>
      </c>
      <c r="H451" s="10" t="n">
        <f aca="false">IF(B451=1,Inputs!$B$7,INDEX(Annual!$AC$2:$AC$51,B451-1))</f>
        <v>2134044.92806982</v>
      </c>
      <c r="I451" s="10" t="n">
        <f aca="false">Inputs!$B$12*IF(Inputs!$B$35="",H451,MIN(H451,Inputs!$B$7*(1+Inputs!$B$35)^(B451-1)))/12</f>
        <v>1600.53369605236</v>
      </c>
      <c r="J451" s="10" t="n">
        <f aca="false">Inputs!$B$13*Inputs!$B$7*(1+Inputs!$B$22)^(B451-1)/12</f>
        <v>578.767325654429</v>
      </c>
      <c r="K451" s="10" t="n">
        <f aca="false">Inputs!$B$14*Inputs!$B$7*(1+Inputs!$B$22)^(B451-1)/12</f>
        <v>1157.53465130886</v>
      </c>
      <c r="L451" s="10" t="n">
        <f aca="false">Inputs!$B$15*(1+Inputs!$B$22)^(B451-1)</f>
        <v>0</v>
      </c>
      <c r="M451" s="10" t="n">
        <f aca="false">INDEX(Annual!$N$2:$N$51,B451)/12</f>
        <v>0</v>
      </c>
      <c r="N451" s="10" t="n">
        <f aca="false">D451+E451+G451+I451+J451+K451+L451-M451</f>
        <v>3336.83567301565</v>
      </c>
      <c r="O451" s="10" t="n">
        <f aca="false">Inputs!$B$17*(1+Inputs!$B$18)^(B451-1)+Inputs!$B$19*(1+Inputs!$B$22)^(B451-1)</f>
        <v>8969.23481083941</v>
      </c>
      <c r="P451" s="10" t="n">
        <f aca="false">N451-O451</f>
        <v>-5632.39913782376</v>
      </c>
      <c r="Q451" s="10" t="n">
        <f aca="false">Q450*(1+Inputs!$B$42)-U451+MAX(P451,0)</f>
        <v>2500605.21650059</v>
      </c>
      <c r="R451" s="10" t="n">
        <f aca="false">R450+Q450*Inputs!$B$48-U451+MAX(P451,0)</f>
        <v>570393.718372899</v>
      </c>
      <c r="S451" s="10" t="n">
        <f aca="false">S450*(1+Inputs!$B$42)-V451+MAX(-P451,0)</f>
        <v>820499.215975002</v>
      </c>
      <c r="T451" s="10" t="n">
        <f aca="false">T450+S450*Inputs!$B$48-V451+MAX(-P451,0)</f>
        <v>596962.225944132</v>
      </c>
      <c r="U451" s="10" t="n">
        <f aca="false">Q450*Inputs!$B$48*Inputs!$B$29</f>
        <v>341.946817932943</v>
      </c>
      <c r="V451" s="10" t="n">
        <f aca="false">S450*Inputs!$B$48*Inputs!$B$29</f>
        <v>111.429470440983</v>
      </c>
    </row>
    <row r="452" customFormat="false" ht="15" hidden="false" customHeight="false" outlineLevel="0" collapsed="false">
      <c r="A452" s="16" t="n">
        <v>451</v>
      </c>
      <c r="B452" s="16" t="n">
        <f aca="false">ROUNDUP(A452/12,0)</f>
        <v>38</v>
      </c>
      <c r="C452" s="10" t="n">
        <f aca="false">F451</f>
        <v>1.28693500300869E-010</v>
      </c>
      <c r="D452" s="10" t="n">
        <f aca="false">IF(AND(A452&lt;=Inputs!$B$9*12,C452&gt;0.000001),C452*Inputs!$B$10/12,0)</f>
        <v>0</v>
      </c>
      <c r="E452" s="10" t="n">
        <f aca="false">IF(AND(A452&lt;=Inputs!$B$9*12,C452&gt;0.000001),MIN(C452,Inputs!$B$41-D452),0)</f>
        <v>0</v>
      </c>
      <c r="F452" s="10" t="n">
        <f aca="false">C452-E452</f>
        <v>1.28693500300869E-010</v>
      </c>
      <c r="G452" s="10" t="n">
        <f aca="false">IF(AND(Inputs!$B$43=1,C452&gt;0.78*Inputs!$B$7,A452&lt;=Inputs!$B$9*6),Inputs!$B$16*Inputs!$B$39/12,0)</f>
        <v>0</v>
      </c>
      <c r="H452" s="10" t="n">
        <f aca="false">IF(B452=1,Inputs!$B$7,INDEX(Annual!$AC$2:$AC$51,B452-1))</f>
        <v>2134044.92806982</v>
      </c>
      <c r="I452" s="10" t="n">
        <f aca="false">Inputs!$B$12*IF(Inputs!$B$35="",H452,MIN(H452,Inputs!$B$7*(1+Inputs!$B$35)^(B452-1)))/12</f>
        <v>1600.53369605236</v>
      </c>
      <c r="J452" s="10" t="n">
        <f aca="false">Inputs!$B$13*Inputs!$B$7*(1+Inputs!$B$22)^(B452-1)/12</f>
        <v>578.767325654429</v>
      </c>
      <c r="K452" s="10" t="n">
        <f aca="false">Inputs!$B$14*Inputs!$B$7*(1+Inputs!$B$22)^(B452-1)/12</f>
        <v>1157.53465130886</v>
      </c>
      <c r="L452" s="10" t="n">
        <f aca="false">Inputs!$B$15*(1+Inputs!$B$22)^(B452-1)</f>
        <v>0</v>
      </c>
      <c r="M452" s="10" t="n">
        <f aca="false">INDEX(Annual!$N$2:$N$51,B452)/12</f>
        <v>0</v>
      </c>
      <c r="N452" s="10" t="n">
        <f aca="false">D452+E452+G452+I452+J452+K452+L452-M452</f>
        <v>3336.83567301565</v>
      </c>
      <c r="O452" s="10" t="n">
        <f aca="false">Inputs!$B$17*(1+Inputs!$B$18)^(B452-1)+Inputs!$B$19*(1+Inputs!$B$22)^(B452-1)</f>
        <v>8969.23481083941</v>
      </c>
      <c r="P452" s="10" t="n">
        <f aca="false">N452-O452</f>
        <v>-5632.39913782376</v>
      </c>
      <c r="Q452" s="10" t="n">
        <f aca="false">Q451*(1+Inputs!$B$42)-U452+MAX(P452,0)</f>
        <v>2514400.16873392</v>
      </c>
      <c r="R452" s="10" t="n">
        <f aca="false">R451+Q451*Inputs!$B$48-U452+MAX(P452,0)</f>
        <v>572342.106604089</v>
      </c>
      <c r="S452" s="10" t="n">
        <f aca="false">S451*(1+Inputs!$B$42)-V452+MAX(-P452,0)</f>
        <v>830658.018328004</v>
      </c>
      <c r="T452" s="10" t="n">
        <f aca="false">T451+S451*Inputs!$B$48-V452+MAX(-P452,0)</f>
        <v>603233.930721069</v>
      </c>
      <c r="U452" s="10" t="n">
        <f aca="false">Q451*Inputs!$B$48*Inputs!$B$29</f>
        <v>343.833217268831</v>
      </c>
      <c r="V452" s="10" t="n">
        <f aca="false">S451*Inputs!$B$48*Inputs!$B$29</f>
        <v>112.818642196563</v>
      </c>
    </row>
    <row r="453" customFormat="false" ht="15" hidden="false" customHeight="false" outlineLevel="0" collapsed="false">
      <c r="A453" s="16" t="n">
        <v>452</v>
      </c>
      <c r="B453" s="16" t="n">
        <f aca="false">ROUNDUP(A453/12,0)</f>
        <v>38</v>
      </c>
      <c r="C453" s="10" t="n">
        <f aca="false">F452</f>
        <v>1.28693500300869E-010</v>
      </c>
      <c r="D453" s="10" t="n">
        <f aca="false">IF(AND(A453&lt;=Inputs!$B$9*12,C453&gt;0.000001),C453*Inputs!$B$10/12,0)</f>
        <v>0</v>
      </c>
      <c r="E453" s="10" t="n">
        <f aca="false">IF(AND(A453&lt;=Inputs!$B$9*12,C453&gt;0.000001),MIN(C453,Inputs!$B$41-D453),0)</f>
        <v>0</v>
      </c>
      <c r="F453" s="10" t="n">
        <f aca="false">C453-E453</f>
        <v>1.28693500300869E-010</v>
      </c>
      <c r="G453" s="10" t="n">
        <f aca="false">IF(AND(Inputs!$B$43=1,C453&gt;0.78*Inputs!$B$7,A453&lt;=Inputs!$B$9*6),Inputs!$B$16*Inputs!$B$39/12,0)</f>
        <v>0</v>
      </c>
      <c r="H453" s="10" t="n">
        <f aca="false">IF(B453=1,Inputs!$B$7,INDEX(Annual!$AC$2:$AC$51,B453-1))</f>
        <v>2134044.92806982</v>
      </c>
      <c r="I453" s="10" t="n">
        <f aca="false">Inputs!$B$12*IF(Inputs!$B$35="",H453,MIN(H453,Inputs!$B$7*(1+Inputs!$B$35)^(B453-1)))/12</f>
        <v>1600.53369605236</v>
      </c>
      <c r="J453" s="10" t="n">
        <f aca="false">Inputs!$B$13*Inputs!$B$7*(1+Inputs!$B$22)^(B453-1)/12</f>
        <v>578.767325654429</v>
      </c>
      <c r="K453" s="10" t="n">
        <f aca="false">Inputs!$B$14*Inputs!$B$7*(1+Inputs!$B$22)^(B453-1)/12</f>
        <v>1157.53465130886</v>
      </c>
      <c r="L453" s="10" t="n">
        <f aca="false">Inputs!$B$15*(1+Inputs!$B$22)^(B453-1)</f>
        <v>0</v>
      </c>
      <c r="M453" s="10" t="n">
        <f aca="false">INDEX(Annual!$N$2:$N$51,B453)/12</f>
        <v>0</v>
      </c>
      <c r="N453" s="10" t="n">
        <f aca="false">D453+E453+G453+I453+J453+K453+L453-M453</f>
        <v>3336.83567301565</v>
      </c>
      <c r="O453" s="10" t="n">
        <f aca="false">Inputs!$B$17*(1+Inputs!$B$18)^(B453-1)+Inputs!$B$19*(1+Inputs!$B$22)^(B453-1)</f>
        <v>8969.23481083941</v>
      </c>
      <c r="P453" s="10" t="n">
        <f aca="false">N453-O453</f>
        <v>-5632.39913782376</v>
      </c>
      <c r="Q453" s="10" t="n">
        <f aca="false">Q452*(1+Inputs!$B$42)-U453+MAX(P453,0)</f>
        <v>2528271.22282685</v>
      </c>
      <c r="R453" s="10" t="n">
        <f aca="false">R452+Q452*Inputs!$B$48-U453+MAX(P453,0)</f>
        <v>574301.243402228</v>
      </c>
      <c r="S453" s="10" t="n">
        <f aca="false">S452*(1+Inputs!$B$42)-V453+MAX(-P453,0)</f>
        <v>840872.863191148</v>
      </c>
      <c r="T453" s="10" t="n">
        <f aca="false">T452+S452*Inputs!$B$48-V453+MAX(-P453,0)</f>
        <v>609513.550898173</v>
      </c>
      <c r="U453" s="10" t="n">
        <f aca="false">Q452*Inputs!$B$48*Inputs!$B$29</f>
        <v>345.730023200913</v>
      </c>
      <c r="V453" s="10" t="n">
        <f aca="false">S452*Inputs!$B$48*Inputs!$B$29</f>
        <v>114.215477520101</v>
      </c>
    </row>
    <row r="454" customFormat="false" ht="15" hidden="false" customHeight="false" outlineLevel="0" collapsed="false">
      <c r="A454" s="16" t="n">
        <v>453</v>
      </c>
      <c r="B454" s="16" t="n">
        <f aca="false">ROUNDUP(A454/12,0)</f>
        <v>38</v>
      </c>
      <c r="C454" s="10" t="n">
        <f aca="false">F453</f>
        <v>1.28693500300869E-010</v>
      </c>
      <c r="D454" s="10" t="n">
        <f aca="false">IF(AND(A454&lt;=Inputs!$B$9*12,C454&gt;0.000001),C454*Inputs!$B$10/12,0)</f>
        <v>0</v>
      </c>
      <c r="E454" s="10" t="n">
        <f aca="false">IF(AND(A454&lt;=Inputs!$B$9*12,C454&gt;0.000001),MIN(C454,Inputs!$B$41-D454),0)</f>
        <v>0</v>
      </c>
      <c r="F454" s="10" t="n">
        <f aca="false">C454-E454</f>
        <v>1.28693500300869E-010</v>
      </c>
      <c r="G454" s="10" t="n">
        <f aca="false">IF(AND(Inputs!$B$43=1,C454&gt;0.78*Inputs!$B$7,A454&lt;=Inputs!$B$9*6),Inputs!$B$16*Inputs!$B$39/12,0)</f>
        <v>0</v>
      </c>
      <c r="H454" s="10" t="n">
        <f aca="false">IF(B454=1,Inputs!$B$7,INDEX(Annual!$AC$2:$AC$51,B454-1))</f>
        <v>2134044.92806982</v>
      </c>
      <c r="I454" s="10" t="n">
        <f aca="false">Inputs!$B$12*IF(Inputs!$B$35="",H454,MIN(H454,Inputs!$B$7*(1+Inputs!$B$35)^(B454-1)))/12</f>
        <v>1600.53369605236</v>
      </c>
      <c r="J454" s="10" t="n">
        <f aca="false">Inputs!$B$13*Inputs!$B$7*(1+Inputs!$B$22)^(B454-1)/12</f>
        <v>578.767325654429</v>
      </c>
      <c r="K454" s="10" t="n">
        <f aca="false">Inputs!$B$14*Inputs!$B$7*(1+Inputs!$B$22)^(B454-1)/12</f>
        <v>1157.53465130886</v>
      </c>
      <c r="L454" s="10" t="n">
        <f aca="false">Inputs!$B$15*(1+Inputs!$B$22)^(B454-1)</f>
        <v>0</v>
      </c>
      <c r="M454" s="10" t="n">
        <f aca="false">INDEX(Annual!$N$2:$N$51,B454)/12</f>
        <v>0</v>
      </c>
      <c r="N454" s="10" t="n">
        <f aca="false">D454+E454+G454+I454+J454+K454+L454-M454</f>
        <v>3336.83567301565</v>
      </c>
      <c r="O454" s="10" t="n">
        <f aca="false">Inputs!$B$17*(1+Inputs!$B$18)^(B454-1)+Inputs!$B$19*(1+Inputs!$B$22)^(B454-1)</f>
        <v>8969.23481083941</v>
      </c>
      <c r="P454" s="10" t="n">
        <f aca="false">N454-O454</f>
        <v>-5632.39913782376</v>
      </c>
      <c r="Q454" s="10" t="n">
        <f aca="false">Q453*(1+Inputs!$B$42)-U454+MAX(P454,0)</f>
        <v>2542218.79860637</v>
      </c>
      <c r="R454" s="10" t="n">
        <f aca="false">R453+Q453*Inputs!$B$48-U454+MAX(P454,0)</f>
        <v>576271.188063347</v>
      </c>
      <c r="S454" s="10" t="n">
        <f aca="false">S453*(1+Inputs!$B$42)-V454+MAX(-P454,0)</f>
        <v>851144.05973109</v>
      </c>
      <c r="T454" s="10" t="n">
        <f aca="false">T453+S453*Inputs!$B$48-V454+MAX(-P454,0)</f>
        <v>615801.1301419</v>
      </c>
      <c r="U454" s="10" t="n">
        <f aca="false">Q453*Inputs!$B$48*Inputs!$B$29</f>
        <v>347.637293138692</v>
      </c>
      <c r="V454" s="10" t="n">
        <f aca="false">S453*Inputs!$B$48*Inputs!$B$29</f>
        <v>115.620018688783</v>
      </c>
    </row>
    <row r="455" customFormat="false" ht="15" hidden="false" customHeight="false" outlineLevel="0" collapsed="false">
      <c r="A455" s="16" t="n">
        <v>454</v>
      </c>
      <c r="B455" s="16" t="n">
        <f aca="false">ROUNDUP(A455/12,0)</f>
        <v>38</v>
      </c>
      <c r="C455" s="10" t="n">
        <f aca="false">F454</f>
        <v>1.28693500300869E-010</v>
      </c>
      <c r="D455" s="10" t="n">
        <f aca="false">IF(AND(A455&lt;=Inputs!$B$9*12,C455&gt;0.000001),C455*Inputs!$B$10/12,0)</f>
        <v>0</v>
      </c>
      <c r="E455" s="10" t="n">
        <f aca="false">IF(AND(A455&lt;=Inputs!$B$9*12,C455&gt;0.000001),MIN(C455,Inputs!$B$41-D455),0)</f>
        <v>0</v>
      </c>
      <c r="F455" s="10" t="n">
        <f aca="false">C455-E455</f>
        <v>1.28693500300869E-010</v>
      </c>
      <c r="G455" s="10" t="n">
        <f aca="false">IF(AND(Inputs!$B$43=1,C455&gt;0.78*Inputs!$B$7,A455&lt;=Inputs!$B$9*6),Inputs!$B$16*Inputs!$B$39/12,0)</f>
        <v>0</v>
      </c>
      <c r="H455" s="10" t="n">
        <f aca="false">IF(B455=1,Inputs!$B$7,INDEX(Annual!$AC$2:$AC$51,B455-1))</f>
        <v>2134044.92806982</v>
      </c>
      <c r="I455" s="10" t="n">
        <f aca="false">Inputs!$B$12*IF(Inputs!$B$35="",H455,MIN(H455,Inputs!$B$7*(1+Inputs!$B$35)^(B455-1)))/12</f>
        <v>1600.53369605236</v>
      </c>
      <c r="J455" s="10" t="n">
        <f aca="false">Inputs!$B$13*Inputs!$B$7*(1+Inputs!$B$22)^(B455-1)/12</f>
        <v>578.767325654429</v>
      </c>
      <c r="K455" s="10" t="n">
        <f aca="false">Inputs!$B$14*Inputs!$B$7*(1+Inputs!$B$22)^(B455-1)/12</f>
        <v>1157.53465130886</v>
      </c>
      <c r="L455" s="10" t="n">
        <f aca="false">Inputs!$B$15*(1+Inputs!$B$22)^(B455-1)</f>
        <v>0</v>
      </c>
      <c r="M455" s="10" t="n">
        <f aca="false">INDEX(Annual!$N$2:$N$51,B455)/12</f>
        <v>0</v>
      </c>
      <c r="N455" s="10" t="n">
        <f aca="false">D455+E455+G455+I455+J455+K455+L455-M455</f>
        <v>3336.83567301565</v>
      </c>
      <c r="O455" s="10" t="n">
        <f aca="false">Inputs!$B$17*(1+Inputs!$B$18)^(B455-1)+Inputs!$B$19*(1+Inputs!$B$22)^(B455-1)</f>
        <v>8969.23481083941</v>
      </c>
      <c r="P455" s="10" t="n">
        <f aca="false">N455-O455</f>
        <v>-5632.39913782376</v>
      </c>
      <c r="Q455" s="10" t="n">
        <f aca="false">Q454*(1+Inputs!$B$42)-U455+MAX(P455,0)</f>
        <v>2556243.31821548</v>
      </c>
      <c r="R455" s="10" t="n">
        <f aca="false">R454+Q454*Inputs!$B$48-U455+MAX(P455,0)</f>
        <v>578252.000210594</v>
      </c>
      <c r="S455" s="10" t="n">
        <f aca="false">S454*(1+Inputs!$B$42)-V455+MAX(-P455,0)</f>
        <v>861471.918820046</v>
      </c>
      <c r="T455" s="10" t="n">
        <f aca="false">T454+S454*Inputs!$B$48-V455+MAX(-P455,0)</f>
        <v>622096.712359598</v>
      </c>
      <c r="U455" s="10" t="n">
        <f aca="false">Q454*Inputs!$B$48*Inputs!$B$29</f>
        <v>349.555084808376</v>
      </c>
      <c r="V455" s="10" t="n">
        <f aca="false">S454*Inputs!$B$48*Inputs!$B$29</f>
        <v>117.032308213025</v>
      </c>
    </row>
    <row r="456" customFormat="false" ht="15" hidden="false" customHeight="false" outlineLevel="0" collapsed="false">
      <c r="A456" s="16" t="n">
        <v>455</v>
      </c>
      <c r="B456" s="16" t="n">
        <f aca="false">ROUNDUP(A456/12,0)</f>
        <v>38</v>
      </c>
      <c r="C456" s="10" t="n">
        <f aca="false">F455</f>
        <v>1.28693500300869E-010</v>
      </c>
      <c r="D456" s="10" t="n">
        <f aca="false">IF(AND(A456&lt;=Inputs!$B$9*12,C456&gt;0.000001),C456*Inputs!$B$10/12,0)</f>
        <v>0</v>
      </c>
      <c r="E456" s="10" t="n">
        <f aca="false">IF(AND(A456&lt;=Inputs!$B$9*12,C456&gt;0.000001),MIN(C456,Inputs!$B$41-D456),0)</f>
        <v>0</v>
      </c>
      <c r="F456" s="10" t="n">
        <f aca="false">C456-E456</f>
        <v>1.28693500300869E-010</v>
      </c>
      <c r="G456" s="10" t="n">
        <f aca="false">IF(AND(Inputs!$B$43=1,C456&gt;0.78*Inputs!$B$7,A456&lt;=Inputs!$B$9*6),Inputs!$B$16*Inputs!$B$39/12,0)</f>
        <v>0</v>
      </c>
      <c r="H456" s="10" t="n">
        <f aca="false">IF(B456=1,Inputs!$B$7,INDEX(Annual!$AC$2:$AC$51,B456-1))</f>
        <v>2134044.92806982</v>
      </c>
      <c r="I456" s="10" t="n">
        <f aca="false">Inputs!$B$12*IF(Inputs!$B$35="",H456,MIN(H456,Inputs!$B$7*(1+Inputs!$B$35)^(B456-1)))/12</f>
        <v>1600.53369605236</v>
      </c>
      <c r="J456" s="10" t="n">
        <f aca="false">Inputs!$B$13*Inputs!$B$7*(1+Inputs!$B$22)^(B456-1)/12</f>
        <v>578.767325654429</v>
      </c>
      <c r="K456" s="10" t="n">
        <f aca="false">Inputs!$B$14*Inputs!$B$7*(1+Inputs!$B$22)^(B456-1)/12</f>
        <v>1157.53465130886</v>
      </c>
      <c r="L456" s="10" t="n">
        <f aca="false">Inputs!$B$15*(1+Inputs!$B$22)^(B456-1)</f>
        <v>0</v>
      </c>
      <c r="M456" s="10" t="n">
        <f aca="false">INDEX(Annual!$N$2:$N$51,B456)/12</f>
        <v>0</v>
      </c>
      <c r="N456" s="10" t="n">
        <f aca="false">D456+E456+G456+I456+J456+K456+L456-M456</f>
        <v>3336.83567301565</v>
      </c>
      <c r="O456" s="10" t="n">
        <f aca="false">Inputs!$B$17*(1+Inputs!$B$18)^(B456-1)+Inputs!$B$19*(1+Inputs!$B$22)^(B456-1)</f>
        <v>8969.23481083941</v>
      </c>
      <c r="P456" s="10" t="n">
        <f aca="false">N456-O456</f>
        <v>-5632.39913782376</v>
      </c>
      <c r="Q456" s="10" t="n">
        <f aca="false">Q455*(1+Inputs!$B$42)-U456+MAX(P456,0)</f>
        <v>2570345.20612599</v>
      </c>
      <c r="R456" s="10" t="n">
        <f aca="false">R455+Q455*Inputs!$B$48-U456+MAX(P456,0)</f>
        <v>580243.739796037</v>
      </c>
      <c r="S456" s="10" t="n">
        <f aca="false">S455*(1+Inputs!$B$42)-V456+MAX(-P456,0)</f>
        <v>871856.753045208</v>
      </c>
      <c r="T456" s="10" t="n">
        <f aca="false">T455+S455*Inputs!$B$48-V456+MAX(-P456,0)</f>
        <v>628400.341700836</v>
      </c>
      <c r="U456" s="10" t="n">
        <f aca="false">Q455*Inputs!$B$48*Inputs!$B$29</f>
        <v>351.483456254628</v>
      </c>
      <c r="V456" s="10" t="n">
        <f aca="false">S455*Inputs!$B$48*Inputs!$B$29</f>
        <v>118.452388837756</v>
      </c>
    </row>
    <row r="457" customFormat="false" ht="15" hidden="false" customHeight="false" outlineLevel="0" collapsed="false">
      <c r="A457" s="16" t="n">
        <v>456</v>
      </c>
      <c r="B457" s="16" t="n">
        <f aca="false">ROUNDUP(A457/12,0)</f>
        <v>38</v>
      </c>
      <c r="C457" s="10" t="n">
        <f aca="false">F456</f>
        <v>1.28693500300869E-010</v>
      </c>
      <c r="D457" s="10" t="n">
        <f aca="false">IF(AND(A457&lt;=Inputs!$B$9*12,C457&gt;0.000001),C457*Inputs!$B$10/12,0)</f>
        <v>0</v>
      </c>
      <c r="E457" s="10" t="n">
        <f aca="false">IF(AND(A457&lt;=Inputs!$B$9*12,C457&gt;0.000001),MIN(C457,Inputs!$B$41-D457),0)</f>
        <v>0</v>
      </c>
      <c r="F457" s="10" t="n">
        <f aca="false">C457-E457</f>
        <v>1.28693500300869E-010</v>
      </c>
      <c r="G457" s="10" t="n">
        <f aca="false">IF(AND(Inputs!$B$43=1,C457&gt;0.78*Inputs!$B$7,A457&lt;=Inputs!$B$9*6),Inputs!$B$16*Inputs!$B$39/12,0)</f>
        <v>0</v>
      </c>
      <c r="H457" s="10" t="n">
        <f aca="false">IF(B457=1,Inputs!$B$7,INDEX(Annual!$AC$2:$AC$51,B457-1))</f>
        <v>2134044.92806982</v>
      </c>
      <c r="I457" s="10" t="n">
        <f aca="false">Inputs!$B$12*IF(Inputs!$B$35="",H457,MIN(H457,Inputs!$B$7*(1+Inputs!$B$35)^(B457-1)))/12</f>
        <v>1600.53369605236</v>
      </c>
      <c r="J457" s="10" t="n">
        <f aca="false">Inputs!$B$13*Inputs!$B$7*(1+Inputs!$B$22)^(B457-1)/12</f>
        <v>578.767325654429</v>
      </c>
      <c r="K457" s="10" t="n">
        <f aca="false">Inputs!$B$14*Inputs!$B$7*(1+Inputs!$B$22)^(B457-1)/12</f>
        <v>1157.53465130886</v>
      </c>
      <c r="L457" s="10" t="n">
        <f aca="false">Inputs!$B$15*(1+Inputs!$B$22)^(B457-1)</f>
        <v>0</v>
      </c>
      <c r="M457" s="10" t="n">
        <f aca="false">INDEX(Annual!$N$2:$N$51,B457)/12</f>
        <v>0</v>
      </c>
      <c r="N457" s="10" t="n">
        <f aca="false">D457+E457+G457+I457+J457+K457+L457-M457</f>
        <v>3336.83567301565</v>
      </c>
      <c r="O457" s="10" t="n">
        <f aca="false">Inputs!$B$17*(1+Inputs!$B$18)^(B457-1)+Inputs!$B$19*(1+Inputs!$B$22)^(B457-1)</f>
        <v>8969.23481083941</v>
      </c>
      <c r="P457" s="10" t="n">
        <f aca="false">N457-O457</f>
        <v>-5632.39913782376</v>
      </c>
      <c r="Q457" s="10" t="n">
        <f aca="false">Q456*(1+Inputs!$B$42)-U457+MAX(P457,0)</f>
        <v>2584524.88915141</v>
      </c>
      <c r="R457" s="10" t="n">
        <f aca="false">R456+Q456*Inputs!$B$48-U457+MAX(P457,0)</f>
        <v>582246.467102477</v>
      </c>
      <c r="S457" s="10" t="n">
        <f aca="false">S456*(1+Inputs!$B$42)-V457+MAX(-P457,0)</f>
        <v>882298.876718196</v>
      </c>
      <c r="T457" s="10" t="n">
        <f aca="false">T456+S456*Inputs!$B$48-V457+MAX(-P457,0)</f>
        <v>634712.06255874</v>
      </c>
      <c r="U457" s="10" t="n">
        <f aca="false">Q456*Inputs!$B$48*Inputs!$B$29</f>
        <v>353.422465842324</v>
      </c>
      <c r="V457" s="10" t="n">
        <f aca="false">S456*Inputs!$B$48*Inputs!$B$29</f>
        <v>119.880303543716</v>
      </c>
    </row>
    <row r="458" customFormat="false" ht="15" hidden="false" customHeight="false" outlineLevel="0" collapsed="false">
      <c r="A458" s="16" t="n">
        <v>457</v>
      </c>
      <c r="B458" s="16" t="n">
        <f aca="false">ROUNDUP(A458/12,0)</f>
        <v>39</v>
      </c>
      <c r="C458" s="10" t="n">
        <f aca="false">F457</f>
        <v>1.28693500300869E-010</v>
      </c>
      <c r="D458" s="10" t="n">
        <f aca="false">IF(AND(A458&lt;=Inputs!$B$9*12,C458&gt;0.000001),C458*Inputs!$B$10/12,0)</f>
        <v>0</v>
      </c>
      <c r="E458" s="10" t="n">
        <f aca="false">IF(AND(A458&lt;=Inputs!$B$9*12,C458&gt;0.000001),MIN(C458,Inputs!$B$41-D458),0)</f>
        <v>0</v>
      </c>
      <c r="F458" s="10" t="n">
        <f aca="false">C458-E458</f>
        <v>1.28693500300869E-010</v>
      </c>
      <c r="G458" s="10" t="n">
        <f aca="false">IF(AND(Inputs!$B$43=1,C458&gt;0.78*Inputs!$B$7,A458&lt;=Inputs!$B$9*6),Inputs!$B$16*Inputs!$B$39/12,0)</f>
        <v>0</v>
      </c>
      <c r="H458" s="10" t="n">
        <f aca="false">IF(B458=1,Inputs!$B$7,INDEX(Annual!$AC$2:$AC$51,B458-1))</f>
        <v>2219406.72519261</v>
      </c>
      <c r="I458" s="10" t="n">
        <f aca="false">Inputs!$B$12*IF(Inputs!$B$35="",H458,MIN(H458,Inputs!$B$7*(1+Inputs!$B$35)^(B458-1)))/12</f>
        <v>1664.55504389446</v>
      </c>
      <c r="J458" s="10" t="n">
        <f aca="false">Inputs!$B$13*Inputs!$B$7*(1+Inputs!$B$22)^(B458-1)/12</f>
        <v>594.972810772753</v>
      </c>
      <c r="K458" s="10" t="n">
        <f aca="false">Inputs!$B$14*Inputs!$B$7*(1+Inputs!$B$22)^(B458-1)/12</f>
        <v>1189.94562154551</v>
      </c>
      <c r="L458" s="10" t="n">
        <f aca="false">Inputs!$B$15*(1+Inputs!$B$22)^(B458-1)</f>
        <v>0</v>
      </c>
      <c r="M458" s="10" t="n">
        <f aca="false">INDEX(Annual!$N$2:$N$51,B458)/12</f>
        <v>0</v>
      </c>
      <c r="N458" s="10" t="n">
        <f aca="false">D458+E458+G458+I458+J458+K458+L458-M458</f>
        <v>3449.47347621272</v>
      </c>
      <c r="O458" s="10" t="n">
        <f aca="false">Inputs!$B$17*(1+Inputs!$B$18)^(B458-1)+Inputs!$B$19*(1+Inputs!$B$22)^(B458-1)</f>
        <v>9282.86633048666</v>
      </c>
      <c r="P458" s="10" t="n">
        <f aca="false">N458-O458</f>
        <v>-5833.39285427394</v>
      </c>
      <c r="Q458" s="10" t="n">
        <f aca="false">Q457*(1+Inputs!$B$42)-U458+MAX(P458,0)</f>
        <v>2598782.79645978</v>
      </c>
      <c r="R458" s="10" t="n">
        <f aca="false">R457+Q457*Inputs!$B$48-U458+MAX(P458,0)</f>
        <v>584260.242745274</v>
      </c>
      <c r="S458" s="10" t="n">
        <f aca="false">S457*(1+Inputs!$B$42)-V458+MAX(-P458,0)</f>
        <v>892999.599601031</v>
      </c>
      <c r="T458" s="10" t="n">
        <f aca="false">T457+S457*Inputs!$B$48-V458+MAX(-P458,0)</f>
        <v>641232.91328779</v>
      </c>
      <c r="U458" s="10" t="n">
        <f aca="false">Q457*Inputs!$B$48*Inputs!$B$29</f>
        <v>355.372172258319</v>
      </c>
      <c r="V458" s="10" t="n">
        <f aca="false">S457*Inputs!$B$48*Inputs!$B$29</f>
        <v>121.316095548752</v>
      </c>
    </row>
    <row r="459" customFormat="false" ht="15" hidden="false" customHeight="false" outlineLevel="0" collapsed="false">
      <c r="A459" s="16" t="n">
        <v>458</v>
      </c>
      <c r="B459" s="16" t="n">
        <f aca="false">ROUNDUP(A459/12,0)</f>
        <v>39</v>
      </c>
      <c r="C459" s="10" t="n">
        <f aca="false">F458</f>
        <v>1.28693500300869E-010</v>
      </c>
      <c r="D459" s="10" t="n">
        <f aca="false">IF(AND(A459&lt;=Inputs!$B$9*12,C459&gt;0.000001),C459*Inputs!$B$10/12,0)</f>
        <v>0</v>
      </c>
      <c r="E459" s="10" t="n">
        <f aca="false">IF(AND(A459&lt;=Inputs!$B$9*12,C459&gt;0.000001),MIN(C459,Inputs!$B$41-D459),0)</f>
        <v>0</v>
      </c>
      <c r="F459" s="10" t="n">
        <f aca="false">C459-E459</f>
        <v>1.28693500300869E-010</v>
      </c>
      <c r="G459" s="10" t="n">
        <f aca="false">IF(AND(Inputs!$B$43=1,C459&gt;0.78*Inputs!$B$7,A459&lt;=Inputs!$B$9*6),Inputs!$B$16*Inputs!$B$39/12,0)</f>
        <v>0</v>
      </c>
      <c r="H459" s="10" t="n">
        <f aca="false">IF(B459=1,Inputs!$B$7,INDEX(Annual!$AC$2:$AC$51,B459-1))</f>
        <v>2219406.72519261</v>
      </c>
      <c r="I459" s="10" t="n">
        <f aca="false">Inputs!$B$12*IF(Inputs!$B$35="",H459,MIN(H459,Inputs!$B$7*(1+Inputs!$B$35)^(B459-1)))/12</f>
        <v>1664.55504389446</v>
      </c>
      <c r="J459" s="10" t="n">
        <f aca="false">Inputs!$B$13*Inputs!$B$7*(1+Inputs!$B$22)^(B459-1)/12</f>
        <v>594.972810772753</v>
      </c>
      <c r="K459" s="10" t="n">
        <f aca="false">Inputs!$B$14*Inputs!$B$7*(1+Inputs!$B$22)^(B459-1)/12</f>
        <v>1189.94562154551</v>
      </c>
      <c r="L459" s="10" t="n">
        <f aca="false">Inputs!$B$15*(1+Inputs!$B$22)^(B459-1)</f>
        <v>0</v>
      </c>
      <c r="M459" s="10" t="n">
        <f aca="false">INDEX(Annual!$N$2:$N$51,B459)/12</f>
        <v>0</v>
      </c>
      <c r="N459" s="10" t="n">
        <f aca="false">D459+E459+G459+I459+J459+K459+L459-M459</f>
        <v>3449.47347621272</v>
      </c>
      <c r="O459" s="10" t="n">
        <f aca="false">Inputs!$B$17*(1+Inputs!$B$18)^(B459-1)+Inputs!$B$19*(1+Inputs!$B$22)^(B459-1)</f>
        <v>9282.86633048666</v>
      </c>
      <c r="P459" s="10" t="n">
        <f aca="false">N459-O459</f>
        <v>-5833.39285427394</v>
      </c>
      <c r="Q459" s="10" t="n">
        <f aca="false">Q458*(1+Inputs!$B$42)-U459+MAX(P459,0)</f>
        <v>2613119.35958674</v>
      </c>
      <c r="R459" s="10" t="n">
        <f aca="false">R458+Q458*Inputs!$B$48-U459+MAX(P459,0)</f>
        <v>586285.127674182</v>
      </c>
      <c r="S459" s="10" t="n">
        <f aca="false">S458*(1+Inputs!$B$42)-V459+MAX(-P459,0)</f>
        <v>903759.354577398</v>
      </c>
      <c r="T459" s="10" t="n">
        <f aca="false">T458+S458*Inputs!$B$48-V459+MAX(-P459,0)</f>
        <v>647762.10166342</v>
      </c>
      <c r="U459" s="10" t="n">
        <f aca="false">Q458*Inputs!$B$48*Inputs!$B$29</f>
        <v>357.33263451322</v>
      </c>
      <c r="V459" s="10" t="n">
        <f aca="false">S458*Inputs!$B$48*Inputs!$B$29</f>
        <v>122.787444945142</v>
      </c>
    </row>
    <row r="460" customFormat="false" ht="15" hidden="false" customHeight="false" outlineLevel="0" collapsed="false">
      <c r="A460" s="16" t="n">
        <v>459</v>
      </c>
      <c r="B460" s="16" t="n">
        <f aca="false">ROUNDUP(A460/12,0)</f>
        <v>39</v>
      </c>
      <c r="C460" s="10" t="n">
        <f aca="false">F459</f>
        <v>1.28693500300869E-010</v>
      </c>
      <c r="D460" s="10" t="n">
        <f aca="false">IF(AND(A460&lt;=Inputs!$B$9*12,C460&gt;0.000001),C460*Inputs!$B$10/12,0)</f>
        <v>0</v>
      </c>
      <c r="E460" s="10" t="n">
        <f aca="false">IF(AND(A460&lt;=Inputs!$B$9*12,C460&gt;0.000001),MIN(C460,Inputs!$B$41-D460),0)</f>
        <v>0</v>
      </c>
      <c r="F460" s="10" t="n">
        <f aca="false">C460-E460</f>
        <v>1.28693500300869E-010</v>
      </c>
      <c r="G460" s="10" t="n">
        <f aca="false">IF(AND(Inputs!$B$43=1,C460&gt;0.78*Inputs!$B$7,A460&lt;=Inputs!$B$9*6),Inputs!$B$16*Inputs!$B$39/12,0)</f>
        <v>0</v>
      </c>
      <c r="H460" s="10" t="n">
        <f aca="false">IF(B460=1,Inputs!$B$7,INDEX(Annual!$AC$2:$AC$51,B460-1))</f>
        <v>2219406.72519261</v>
      </c>
      <c r="I460" s="10" t="n">
        <f aca="false">Inputs!$B$12*IF(Inputs!$B$35="",H460,MIN(H460,Inputs!$B$7*(1+Inputs!$B$35)^(B460-1)))/12</f>
        <v>1664.55504389446</v>
      </c>
      <c r="J460" s="10" t="n">
        <f aca="false">Inputs!$B$13*Inputs!$B$7*(1+Inputs!$B$22)^(B460-1)/12</f>
        <v>594.972810772753</v>
      </c>
      <c r="K460" s="10" t="n">
        <f aca="false">Inputs!$B$14*Inputs!$B$7*(1+Inputs!$B$22)^(B460-1)/12</f>
        <v>1189.94562154551</v>
      </c>
      <c r="L460" s="10" t="n">
        <f aca="false">Inputs!$B$15*(1+Inputs!$B$22)^(B460-1)</f>
        <v>0</v>
      </c>
      <c r="M460" s="10" t="n">
        <f aca="false">INDEX(Annual!$N$2:$N$51,B460)/12</f>
        <v>0</v>
      </c>
      <c r="N460" s="10" t="n">
        <f aca="false">D460+E460+G460+I460+J460+K460+L460-M460</f>
        <v>3449.47347621272</v>
      </c>
      <c r="O460" s="10" t="n">
        <f aca="false">Inputs!$B$17*(1+Inputs!$B$18)^(B460-1)+Inputs!$B$19*(1+Inputs!$B$22)^(B460-1)</f>
        <v>9282.86633048666</v>
      </c>
      <c r="P460" s="10" t="n">
        <f aca="false">N460-O460</f>
        <v>-5833.39285427394</v>
      </c>
      <c r="Q460" s="10" t="n">
        <f aca="false">Q459*(1+Inputs!$B$42)-U460+MAX(P460,0)</f>
        <v>2627535.01244854</v>
      </c>
      <c r="R460" s="10" t="n">
        <f aca="false">R459+Q459*Inputs!$B$48-U460+MAX(P460,0)</f>
        <v>588321.183175194</v>
      </c>
      <c r="S460" s="10" t="n">
        <f aca="false">S459*(1+Inputs!$B$42)-V460+MAX(-P460,0)</f>
        <v>914578.467306426</v>
      </c>
      <c r="T460" s="10" t="n">
        <f aca="false">T459+S459*Inputs!$B$48-V460+MAX(-P460,0)</f>
        <v>654299.673681469</v>
      </c>
      <c r="U460" s="10" t="n">
        <f aca="false">Q459*Inputs!$B$48*Inputs!$B$29</f>
        <v>359.303911943177</v>
      </c>
      <c r="V460" s="10" t="n">
        <f aca="false">S459*Inputs!$B$48*Inputs!$B$29</f>
        <v>124.266911254392</v>
      </c>
    </row>
    <row r="461" customFormat="false" ht="15" hidden="false" customHeight="false" outlineLevel="0" collapsed="false">
      <c r="A461" s="16" t="n">
        <v>460</v>
      </c>
      <c r="B461" s="16" t="n">
        <f aca="false">ROUNDUP(A461/12,0)</f>
        <v>39</v>
      </c>
      <c r="C461" s="10" t="n">
        <f aca="false">F460</f>
        <v>1.28693500300869E-010</v>
      </c>
      <c r="D461" s="10" t="n">
        <f aca="false">IF(AND(A461&lt;=Inputs!$B$9*12,C461&gt;0.000001),C461*Inputs!$B$10/12,0)</f>
        <v>0</v>
      </c>
      <c r="E461" s="10" t="n">
        <f aca="false">IF(AND(A461&lt;=Inputs!$B$9*12,C461&gt;0.000001),MIN(C461,Inputs!$B$41-D461),0)</f>
        <v>0</v>
      </c>
      <c r="F461" s="10" t="n">
        <f aca="false">C461-E461</f>
        <v>1.28693500300869E-010</v>
      </c>
      <c r="G461" s="10" t="n">
        <f aca="false">IF(AND(Inputs!$B$43=1,C461&gt;0.78*Inputs!$B$7,A461&lt;=Inputs!$B$9*6),Inputs!$B$16*Inputs!$B$39/12,0)</f>
        <v>0</v>
      </c>
      <c r="H461" s="10" t="n">
        <f aca="false">IF(B461=1,Inputs!$B$7,INDEX(Annual!$AC$2:$AC$51,B461-1))</f>
        <v>2219406.72519261</v>
      </c>
      <c r="I461" s="10" t="n">
        <f aca="false">Inputs!$B$12*IF(Inputs!$B$35="",H461,MIN(H461,Inputs!$B$7*(1+Inputs!$B$35)^(B461-1)))/12</f>
        <v>1664.55504389446</v>
      </c>
      <c r="J461" s="10" t="n">
        <f aca="false">Inputs!$B$13*Inputs!$B$7*(1+Inputs!$B$22)^(B461-1)/12</f>
        <v>594.972810772753</v>
      </c>
      <c r="K461" s="10" t="n">
        <f aca="false">Inputs!$B$14*Inputs!$B$7*(1+Inputs!$B$22)^(B461-1)/12</f>
        <v>1189.94562154551</v>
      </c>
      <c r="L461" s="10" t="n">
        <f aca="false">Inputs!$B$15*(1+Inputs!$B$22)^(B461-1)</f>
        <v>0</v>
      </c>
      <c r="M461" s="10" t="n">
        <f aca="false">INDEX(Annual!$N$2:$N$51,B461)/12</f>
        <v>0</v>
      </c>
      <c r="N461" s="10" t="n">
        <f aca="false">D461+E461+G461+I461+J461+K461+L461-M461</f>
        <v>3449.47347621272</v>
      </c>
      <c r="O461" s="10" t="n">
        <f aca="false">Inputs!$B$17*(1+Inputs!$B$18)^(B461-1)+Inputs!$B$19*(1+Inputs!$B$22)^(B461-1)</f>
        <v>9282.86633048666</v>
      </c>
      <c r="P461" s="10" t="n">
        <f aca="false">N461-O461</f>
        <v>-5833.39285427394</v>
      </c>
      <c r="Q461" s="10" t="n">
        <f aca="false">Q460*(1+Inputs!$B$42)-U461+MAX(P461,0)</f>
        <v>2642030.19135521</v>
      </c>
      <c r="R461" s="10" t="n">
        <f aca="false">R460+Q460*Inputs!$B$48-U461+MAX(P461,0)</f>
        <v>590368.470872393</v>
      </c>
      <c r="S461" s="10" t="n">
        <f aca="false">S460*(1+Inputs!$B$42)-V461+MAX(-P461,0)</f>
        <v>925457.265243786</v>
      </c>
      <c r="T461" s="10" t="n">
        <f aca="false">T460+S460*Inputs!$B$48-V461+MAX(-P461,0)</f>
        <v>660845.675591519</v>
      </c>
      <c r="U461" s="10" t="n">
        <f aca="false">Q460*Inputs!$B$48*Inputs!$B$29</f>
        <v>361.286064211674</v>
      </c>
      <c r="V461" s="10" t="n">
        <f aca="false">S460*Inputs!$B$48*Inputs!$B$29</f>
        <v>125.754539254634</v>
      </c>
    </row>
    <row r="462" customFormat="false" ht="15" hidden="false" customHeight="false" outlineLevel="0" collapsed="false">
      <c r="A462" s="16" t="n">
        <v>461</v>
      </c>
      <c r="B462" s="16" t="n">
        <f aca="false">ROUNDUP(A462/12,0)</f>
        <v>39</v>
      </c>
      <c r="C462" s="10" t="n">
        <f aca="false">F461</f>
        <v>1.28693500300869E-010</v>
      </c>
      <c r="D462" s="10" t="n">
        <f aca="false">IF(AND(A462&lt;=Inputs!$B$9*12,C462&gt;0.000001),C462*Inputs!$B$10/12,0)</f>
        <v>0</v>
      </c>
      <c r="E462" s="10" t="n">
        <f aca="false">IF(AND(A462&lt;=Inputs!$B$9*12,C462&gt;0.000001),MIN(C462,Inputs!$B$41-D462),0)</f>
        <v>0</v>
      </c>
      <c r="F462" s="10" t="n">
        <f aca="false">C462-E462</f>
        <v>1.28693500300869E-010</v>
      </c>
      <c r="G462" s="10" t="n">
        <f aca="false">IF(AND(Inputs!$B$43=1,C462&gt;0.78*Inputs!$B$7,A462&lt;=Inputs!$B$9*6),Inputs!$B$16*Inputs!$B$39/12,0)</f>
        <v>0</v>
      </c>
      <c r="H462" s="10" t="n">
        <f aca="false">IF(B462=1,Inputs!$B$7,INDEX(Annual!$AC$2:$AC$51,B462-1))</f>
        <v>2219406.72519261</v>
      </c>
      <c r="I462" s="10" t="n">
        <f aca="false">Inputs!$B$12*IF(Inputs!$B$35="",H462,MIN(H462,Inputs!$B$7*(1+Inputs!$B$35)^(B462-1)))/12</f>
        <v>1664.55504389446</v>
      </c>
      <c r="J462" s="10" t="n">
        <f aca="false">Inputs!$B$13*Inputs!$B$7*(1+Inputs!$B$22)^(B462-1)/12</f>
        <v>594.972810772753</v>
      </c>
      <c r="K462" s="10" t="n">
        <f aca="false">Inputs!$B$14*Inputs!$B$7*(1+Inputs!$B$22)^(B462-1)/12</f>
        <v>1189.94562154551</v>
      </c>
      <c r="L462" s="10" t="n">
        <f aca="false">Inputs!$B$15*(1+Inputs!$B$22)^(B462-1)</f>
        <v>0</v>
      </c>
      <c r="M462" s="10" t="n">
        <f aca="false">INDEX(Annual!$N$2:$N$51,B462)/12</f>
        <v>0</v>
      </c>
      <c r="N462" s="10" t="n">
        <f aca="false">D462+E462+G462+I462+J462+K462+L462-M462</f>
        <v>3449.47347621272</v>
      </c>
      <c r="O462" s="10" t="n">
        <f aca="false">Inputs!$B$17*(1+Inputs!$B$18)^(B462-1)+Inputs!$B$19*(1+Inputs!$B$22)^(B462-1)</f>
        <v>9282.86633048666</v>
      </c>
      <c r="P462" s="10" t="n">
        <f aca="false">N462-O462</f>
        <v>-5833.39285427394</v>
      </c>
      <c r="Q462" s="10" t="n">
        <f aca="false">Q461*(1+Inputs!$B$42)-U462+MAX(P462,0)</f>
        <v>2656605.33502374</v>
      </c>
      <c r="R462" s="10" t="n">
        <f aca="false">R461+Q461*Inputs!$B$48-U462+MAX(P462,0)</f>
        <v>592427.052729824</v>
      </c>
      <c r="S462" s="10" t="n">
        <f aca="false">S461*(1+Inputs!$B$42)-V462+MAX(-P462,0)</f>
        <v>936396.077651608</v>
      </c>
      <c r="T462" s="10" t="n">
        <f aca="false">T461+S461*Inputs!$B$48-V462+MAX(-P462,0)</f>
        <v>667400.153898295</v>
      </c>
      <c r="U462" s="10" t="n">
        <f aca="false">Q461*Inputs!$B$48*Inputs!$B$29</f>
        <v>363.279151311342</v>
      </c>
      <c r="V462" s="10" t="n">
        <f aca="false">S461*Inputs!$B$48*Inputs!$B$29</f>
        <v>127.250373971021</v>
      </c>
    </row>
    <row r="463" customFormat="false" ht="15" hidden="false" customHeight="false" outlineLevel="0" collapsed="false">
      <c r="A463" s="16" t="n">
        <v>462</v>
      </c>
      <c r="B463" s="16" t="n">
        <f aca="false">ROUNDUP(A463/12,0)</f>
        <v>39</v>
      </c>
      <c r="C463" s="10" t="n">
        <f aca="false">F462</f>
        <v>1.28693500300869E-010</v>
      </c>
      <c r="D463" s="10" t="n">
        <f aca="false">IF(AND(A463&lt;=Inputs!$B$9*12,C463&gt;0.000001),C463*Inputs!$B$10/12,0)</f>
        <v>0</v>
      </c>
      <c r="E463" s="10" t="n">
        <f aca="false">IF(AND(A463&lt;=Inputs!$B$9*12,C463&gt;0.000001),MIN(C463,Inputs!$B$41-D463),0)</f>
        <v>0</v>
      </c>
      <c r="F463" s="10" t="n">
        <f aca="false">C463-E463</f>
        <v>1.28693500300869E-010</v>
      </c>
      <c r="G463" s="10" t="n">
        <f aca="false">IF(AND(Inputs!$B$43=1,C463&gt;0.78*Inputs!$B$7,A463&lt;=Inputs!$B$9*6),Inputs!$B$16*Inputs!$B$39/12,0)</f>
        <v>0</v>
      </c>
      <c r="H463" s="10" t="n">
        <f aca="false">IF(B463=1,Inputs!$B$7,INDEX(Annual!$AC$2:$AC$51,B463-1))</f>
        <v>2219406.72519261</v>
      </c>
      <c r="I463" s="10" t="n">
        <f aca="false">Inputs!$B$12*IF(Inputs!$B$35="",H463,MIN(H463,Inputs!$B$7*(1+Inputs!$B$35)^(B463-1)))/12</f>
        <v>1664.55504389446</v>
      </c>
      <c r="J463" s="10" t="n">
        <f aca="false">Inputs!$B$13*Inputs!$B$7*(1+Inputs!$B$22)^(B463-1)/12</f>
        <v>594.972810772753</v>
      </c>
      <c r="K463" s="10" t="n">
        <f aca="false">Inputs!$B$14*Inputs!$B$7*(1+Inputs!$B$22)^(B463-1)/12</f>
        <v>1189.94562154551</v>
      </c>
      <c r="L463" s="10" t="n">
        <f aca="false">Inputs!$B$15*(1+Inputs!$B$22)^(B463-1)</f>
        <v>0</v>
      </c>
      <c r="M463" s="10" t="n">
        <f aca="false">INDEX(Annual!$N$2:$N$51,B463)/12</f>
        <v>0</v>
      </c>
      <c r="N463" s="10" t="n">
        <f aca="false">D463+E463+G463+I463+J463+K463+L463-M463</f>
        <v>3449.47347621272</v>
      </c>
      <c r="O463" s="10" t="n">
        <f aca="false">Inputs!$B$17*(1+Inputs!$B$18)^(B463-1)+Inputs!$B$19*(1+Inputs!$B$22)^(B463-1)</f>
        <v>9282.86633048666</v>
      </c>
      <c r="P463" s="10" t="n">
        <f aca="false">N463-O463</f>
        <v>-5833.39285427394</v>
      </c>
      <c r="Q463" s="10" t="n">
        <f aca="false">Q462*(1+Inputs!$B$42)-U463+MAX(P463,0)</f>
        <v>2671260.88459135</v>
      </c>
      <c r="R463" s="10" t="n">
        <f aca="false">R462+Q462*Inputs!$B$48-U463+MAX(P463,0)</f>
        <v>594496.991053363</v>
      </c>
      <c r="S463" s="10" t="n">
        <f aca="false">S462*(1+Inputs!$B$42)-V463+MAX(-P463,0)</f>
        <v>947395.235608443</v>
      </c>
      <c r="T463" s="10" t="n">
        <f aca="false">T462+S462*Inputs!$B$48-V463+MAX(-P463,0)</f>
        <v>673963.155363073</v>
      </c>
      <c r="U463" s="10" t="n">
        <f aca="false">Q462*Inputs!$B$48*Inputs!$B$29</f>
        <v>365.283233565764</v>
      </c>
      <c r="V463" s="10" t="n">
        <f aca="false">S462*Inputs!$B$48*Inputs!$B$29</f>
        <v>128.754460677096</v>
      </c>
    </row>
    <row r="464" customFormat="false" ht="15" hidden="false" customHeight="false" outlineLevel="0" collapsed="false">
      <c r="A464" s="16" t="n">
        <v>463</v>
      </c>
      <c r="B464" s="16" t="n">
        <f aca="false">ROUNDUP(A464/12,0)</f>
        <v>39</v>
      </c>
      <c r="C464" s="10" t="n">
        <f aca="false">F463</f>
        <v>1.28693500300869E-010</v>
      </c>
      <c r="D464" s="10" t="n">
        <f aca="false">IF(AND(A464&lt;=Inputs!$B$9*12,C464&gt;0.000001),C464*Inputs!$B$10/12,0)</f>
        <v>0</v>
      </c>
      <c r="E464" s="10" t="n">
        <f aca="false">IF(AND(A464&lt;=Inputs!$B$9*12,C464&gt;0.000001),MIN(C464,Inputs!$B$41-D464),0)</f>
        <v>0</v>
      </c>
      <c r="F464" s="10" t="n">
        <f aca="false">C464-E464</f>
        <v>1.28693500300869E-010</v>
      </c>
      <c r="G464" s="10" t="n">
        <f aca="false">IF(AND(Inputs!$B$43=1,C464&gt;0.78*Inputs!$B$7,A464&lt;=Inputs!$B$9*6),Inputs!$B$16*Inputs!$B$39/12,0)</f>
        <v>0</v>
      </c>
      <c r="H464" s="10" t="n">
        <f aca="false">IF(B464=1,Inputs!$B$7,INDEX(Annual!$AC$2:$AC$51,B464-1))</f>
        <v>2219406.72519261</v>
      </c>
      <c r="I464" s="10" t="n">
        <f aca="false">Inputs!$B$12*IF(Inputs!$B$35="",H464,MIN(H464,Inputs!$B$7*(1+Inputs!$B$35)^(B464-1)))/12</f>
        <v>1664.55504389446</v>
      </c>
      <c r="J464" s="10" t="n">
        <f aca="false">Inputs!$B$13*Inputs!$B$7*(1+Inputs!$B$22)^(B464-1)/12</f>
        <v>594.972810772753</v>
      </c>
      <c r="K464" s="10" t="n">
        <f aca="false">Inputs!$B$14*Inputs!$B$7*(1+Inputs!$B$22)^(B464-1)/12</f>
        <v>1189.94562154551</v>
      </c>
      <c r="L464" s="10" t="n">
        <f aca="false">Inputs!$B$15*(1+Inputs!$B$22)^(B464-1)</f>
        <v>0</v>
      </c>
      <c r="M464" s="10" t="n">
        <f aca="false">INDEX(Annual!$N$2:$N$51,B464)/12</f>
        <v>0</v>
      </c>
      <c r="N464" s="10" t="n">
        <f aca="false">D464+E464+G464+I464+J464+K464+L464-M464</f>
        <v>3449.47347621272</v>
      </c>
      <c r="O464" s="10" t="n">
        <f aca="false">Inputs!$B$17*(1+Inputs!$B$18)^(B464-1)+Inputs!$B$19*(1+Inputs!$B$22)^(B464-1)</f>
        <v>9282.86633048666</v>
      </c>
      <c r="P464" s="10" t="n">
        <f aca="false">N464-O464</f>
        <v>-5833.39285427394</v>
      </c>
      <c r="Q464" s="10" t="n">
        <f aca="false">Q463*(1+Inputs!$B$42)-U464+MAX(P464,0)</f>
        <v>2685997.28362889</v>
      </c>
      <c r="R464" s="10" t="n">
        <f aca="false">R463+Q463*Inputs!$B$48-U464+MAX(P464,0)</f>
        <v>596578.348492608</v>
      </c>
      <c r="S464" s="10" t="n">
        <f aca="false">S463*(1+Inputs!$B$42)-V464+MAX(-P464,0)</f>
        <v>958455.072019286</v>
      </c>
      <c r="T464" s="10" t="n">
        <f aca="false">T463+S463*Inputs!$B$48-V464+MAX(-P464,0)</f>
        <v>680534.727005092</v>
      </c>
      <c r="U464" s="10" t="n">
        <f aca="false">Q463*Inputs!$B$48*Inputs!$B$29</f>
        <v>367.298371631311</v>
      </c>
      <c r="V464" s="10" t="n">
        <f aca="false">S463*Inputs!$B$48*Inputs!$B$29</f>
        <v>130.266844896161</v>
      </c>
    </row>
    <row r="465" customFormat="false" ht="15" hidden="false" customHeight="false" outlineLevel="0" collapsed="false">
      <c r="A465" s="16" t="n">
        <v>464</v>
      </c>
      <c r="B465" s="16" t="n">
        <f aca="false">ROUNDUP(A465/12,0)</f>
        <v>39</v>
      </c>
      <c r="C465" s="10" t="n">
        <f aca="false">F464</f>
        <v>1.28693500300869E-010</v>
      </c>
      <c r="D465" s="10" t="n">
        <f aca="false">IF(AND(A465&lt;=Inputs!$B$9*12,C465&gt;0.000001),C465*Inputs!$B$10/12,0)</f>
        <v>0</v>
      </c>
      <c r="E465" s="10" t="n">
        <f aca="false">IF(AND(A465&lt;=Inputs!$B$9*12,C465&gt;0.000001),MIN(C465,Inputs!$B$41-D465),0)</f>
        <v>0</v>
      </c>
      <c r="F465" s="10" t="n">
        <f aca="false">C465-E465</f>
        <v>1.28693500300869E-010</v>
      </c>
      <c r="G465" s="10" t="n">
        <f aca="false">IF(AND(Inputs!$B$43=1,C465&gt;0.78*Inputs!$B$7,A465&lt;=Inputs!$B$9*6),Inputs!$B$16*Inputs!$B$39/12,0)</f>
        <v>0</v>
      </c>
      <c r="H465" s="10" t="n">
        <f aca="false">IF(B465=1,Inputs!$B$7,INDEX(Annual!$AC$2:$AC$51,B465-1))</f>
        <v>2219406.72519261</v>
      </c>
      <c r="I465" s="10" t="n">
        <f aca="false">Inputs!$B$12*IF(Inputs!$B$35="",H465,MIN(H465,Inputs!$B$7*(1+Inputs!$B$35)^(B465-1)))/12</f>
        <v>1664.55504389446</v>
      </c>
      <c r="J465" s="10" t="n">
        <f aca="false">Inputs!$B$13*Inputs!$B$7*(1+Inputs!$B$22)^(B465-1)/12</f>
        <v>594.972810772753</v>
      </c>
      <c r="K465" s="10" t="n">
        <f aca="false">Inputs!$B$14*Inputs!$B$7*(1+Inputs!$B$22)^(B465-1)/12</f>
        <v>1189.94562154551</v>
      </c>
      <c r="L465" s="10" t="n">
        <f aca="false">Inputs!$B$15*(1+Inputs!$B$22)^(B465-1)</f>
        <v>0</v>
      </c>
      <c r="M465" s="10" t="n">
        <f aca="false">INDEX(Annual!$N$2:$N$51,B465)/12</f>
        <v>0</v>
      </c>
      <c r="N465" s="10" t="n">
        <f aca="false">D465+E465+G465+I465+J465+K465+L465-M465</f>
        <v>3449.47347621272</v>
      </c>
      <c r="O465" s="10" t="n">
        <f aca="false">Inputs!$B$17*(1+Inputs!$B$18)^(B465-1)+Inputs!$B$19*(1+Inputs!$B$22)^(B465-1)</f>
        <v>9282.86633048666</v>
      </c>
      <c r="P465" s="10" t="n">
        <f aca="false">N465-O465</f>
        <v>-5833.39285427394</v>
      </c>
      <c r="Q465" s="10" t="n">
        <f aca="false">Q464*(1+Inputs!$B$42)-U465+MAX(P465,0)</f>
        <v>2700814.9781542</v>
      </c>
      <c r="R465" s="10" t="n">
        <f aca="false">R464+Q464*Inputs!$B$48-U465+MAX(P465,0)</f>
        <v>598671.188042768</v>
      </c>
      <c r="S465" s="10" t="n">
        <f aca="false">S464*(1+Inputs!$B$42)-V465+MAX(-P465,0)</f>
        <v>969575.92162565</v>
      </c>
      <c r="T465" s="10" t="n">
        <f aca="false">T464+S464*Inputs!$B$48-V465+MAX(-P465,0)</f>
        <v>687114.916102981</v>
      </c>
      <c r="U465" s="10" t="n">
        <f aca="false">Q464*Inputs!$B$48*Inputs!$B$29</f>
        <v>369.324626498972</v>
      </c>
      <c r="V465" s="10" t="n">
        <f aca="false">S464*Inputs!$B$48*Inputs!$B$29</f>
        <v>131.787572402652</v>
      </c>
    </row>
    <row r="466" customFormat="false" ht="15" hidden="false" customHeight="false" outlineLevel="0" collapsed="false">
      <c r="A466" s="16" t="n">
        <v>465</v>
      </c>
      <c r="B466" s="16" t="n">
        <f aca="false">ROUNDUP(A466/12,0)</f>
        <v>39</v>
      </c>
      <c r="C466" s="10" t="n">
        <f aca="false">F465</f>
        <v>1.28693500300869E-010</v>
      </c>
      <c r="D466" s="10" t="n">
        <f aca="false">IF(AND(A466&lt;=Inputs!$B$9*12,C466&gt;0.000001),C466*Inputs!$B$10/12,0)</f>
        <v>0</v>
      </c>
      <c r="E466" s="10" t="n">
        <f aca="false">IF(AND(A466&lt;=Inputs!$B$9*12,C466&gt;0.000001),MIN(C466,Inputs!$B$41-D466),0)</f>
        <v>0</v>
      </c>
      <c r="F466" s="10" t="n">
        <f aca="false">C466-E466</f>
        <v>1.28693500300869E-010</v>
      </c>
      <c r="G466" s="10" t="n">
        <f aca="false">IF(AND(Inputs!$B$43=1,C466&gt;0.78*Inputs!$B$7,A466&lt;=Inputs!$B$9*6),Inputs!$B$16*Inputs!$B$39/12,0)</f>
        <v>0</v>
      </c>
      <c r="H466" s="10" t="n">
        <f aca="false">IF(B466=1,Inputs!$B$7,INDEX(Annual!$AC$2:$AC$51,B466-1))</f>
        <v>2219406.72519261</v>
      </c>
      <c r="I466" s="10" t="n">
        <f aca="false">Inputs!$B$12*IF(Inputs!$B$35="",H466,MIN(H466,Inputs!$B$7*(1+Inputs!$B$35)^(B466-1)))/12</f>
        <v>1664.55504389446</v>
      </c>
      <c r="J466" s="10" t="n">
        <f aca="false">Inputs!$B$13*Inputs!$B$7*(1+Inputs!$B$22)^(B466-1)/12</f>
        <v>594.972810772753</v>
      </c>
      <c r="K466" s="10" t="n">
        <f aca="false">Inputs!$B$14*Inputs!$B$7*(1+Inputs!$B$22)^(B466-1)/12</f>
        <v>1189.94562154551</v>
      </c>
      <c r="L466" s="10" t="n">
        <f aca="false">Inputs!$B$15*(1+Inputs!$B$22)^(B466-1)</f>
        <v>0</v>
      </c>
      <c r="M466" s="10" t="n">
        <f aca="false">INDEX(Annual!$N$2:$N$51,B466)/12</f>
        <v>0</v>
      </c>
      <c r="N466" s="10" t="n">
        <f aca="false">D466+E466+G466+I466+J466+K466+L466-M466</f>
        <v>3449.47347621272</v>
      </c>
      <c r="O466" s="10" t="n">
        <f aca="false">Inputs!$B$17*(1+Inputs!$B$18)^(B466-1)+Inputs!$B$19*(1+Inputs!$B$22)^(B466-1)</f>
        <v>9282.86633048666</v>
      </c>
      <c r="P466" s="10" t="n">
        <f aca="false">N466-O466</f>
        <v>-5833.39285427394</v>
      </c>
      <c r="Q466" s="10" t="n">
        <f aca="false">Q465*(1+Inputs!$B$42)-U466+MAX(P466,0)</f>
        <v>2715714.41664567</v>
      </c>
      <c r="R466" s="10" t="n">
        <f aca="false">R465+Q465*Inputs!$B$48-U466+MAX(P466,0)</f>
        <v>600775.57304658</v>
      </c>
      <c r="S466" s="10" t="n">
        <f aca="false">S465*(1+Inputs!$B$42)-V466+MAX(-P466,0)</f>
        <v>980758.121015699</v>
      </c>
      <c r="T466" s="10" t="n">
        <f aca="false">T465+S465*Inputs!$B$48-V466+MAX(-P466,0)</f>
        <v>693703.770196188</v>
      </c>
      <c r="U466" s="10" t="n">
        <f aca="false">Q465*Inputs!$B$48*Inputs!$B$29</f>
        <v>371.362059496203</v>
      </c>
      <c r="V466" s="10" t="n">
        <f aca="false">S465*Inputs!$B$48*Inputs!$B$29</f>
        <v>133.316689223527</v>
      </c>
    </row>
    <row r="467" customFormat="false" ht="15" hidden="false" customHeight="false" outlineLevel="0" collapsed="false">
      <c r="A467" s="16" t="n">
        <v>466</v>
      </c>
      <c r="B467" s="16" t="n">
        <f aca="false">ROUNDUP(A467/12,0)</f>
        <v>39</v>
      </c>
      <c r="C467" s="10" t="n">
        <f aca="false">F466</f>
        <v>1.28693500300869E-010</v>
      </c>
      <c r="D467" s="10" t="n">
        <f aca="false">IF(AND(A467&lt;=Inputs!$B$9*12,C467&gt;0.000001),C467*Inputs!$B$10/12,0)</f>
        <v>0</v>
      </c>
      <c r="E467" s="10" t="n">
        <f aca="false">IF(AND(A467&lt;=Inputs!$B$9*12,C467&gt;0.000001),MIN(C467,Inputs!$B$41-D467),0)</f>
        <v>0</v>
      </c>
      <c r="F467" s="10" t="n">
        <f aca="false">C467-E467</f>
        <v>1.28693500300869E-010</v>
      </c>
      <c r="G467" s="10" t="n">
        <f aca="false">IF(AND(Inputs!$B$43=1,C467&gt;0.78*Inputs!$B$7,A467&lt;=Inputs!$B$9*6),Inputs!$B$16*Inputs!$B$39/12,0)</f>
        <v>0</v>
      </c>
      <c r="H467" s="10" t="n">
        <f aca="false">IF(B467=1,Inputs!$B$7,INDEX(Annual!$AC$2:$AC$51,B467-1))</f>
        <v>2219406.72519261</v>
      </c>
      <c r="I467" s="10" t="n">
        <f aca="false">Inputs!$B$12*IF(Inputs!$B$35="",H467,MIN(H467,Inputs!$B$7*(1+Inputs!$B$35)^(B467-1)))/12</f>
        <v>1664.55504389446</v>
      </c>
      <c r="J467" s="10" t="n">
        <f aca="false">Inputs!$B$13*Inputs!$B$7*(1+Inputs!$B$22)^(B467-1)/12</f>
        <v>594.972810772753</v>
      </c>
      <c r="K467" s="10" t="n">
        <f aca="false">Inputs!$B$14*Inputs!$B$7*(1+Inputs!$B$22)^(B467-1)/12</f>
        <v>1189.94562154551</v>
      </c>
      <c r="L467" s="10" t="n">
        <f aca="false">Inputs!$B$15*(1+Inputs!$B$22)^(B467-1)</f>
        <v>0</v>
      </c>
      <c r="M467" s="10" t="n">
        <f aca="false">INDEX(Annual!$N$2:$N$51,B467)/12</f>
        <v>0</v>
      </c>
      <c r="N467" s="10" t="n">
        <f aca="false">D467+E467+G467+I467+J467+K467+L467-M467</f>
        <v>3449.47347621272</v>
      </c>
      <c r="O467" s="10" t="n">
        <f aca="false">Inputs!$B$17*(1+Inputs!$B$18)^(B467-1)+Inputs!$B$19*(1+Inputs!$B$22)^(B467-1)</f>
        <v>9282.86633048666</v>
      </c>
      <c r="P467" s="10" t="n">
        <f aca="false">N467-O467</f>
        <v>-5833.39285427394</v>
      </c>
      <c r="Q467" s="10" t="n">
        <f aca="false">Q466*(1+Inputs!$B$42)-U467+MAX(P467,0)</f>
        <v>2730696.05005577</v>
      </c>
      <c r="R467" s="10" t="n">
        <f aca="false">R466+Q466*Inputs!$B$48-U467+MAX(P467,0)</f>
        <v>602891.567196217</v>
      </c>
      <c r="S467" s="10" t="n">
        <f aca="false">S466*(1+Inputs!$B$42)-V467+MAX(-P467,0)</f>
        <v>992002.008634435</v>
      </c>
      <c r="T467" s="10" t="n">
        <f aca="false">T466+S466*Inputs!$B$48-V467+MAX(-P467,0)</f>
        <v>700301.33708642</v>
      </c>
      <c r="U467" s="10" t="n">
        <f aca="false">Q466*Inputs!$B$48*Inputs!$B$29</f>
        <v>373.41073228878</v>
      </c>
      <c r="V467" s="10" t="n">
        <f aca="false">S466*Inputs!$B$48*Inputs!$B$29</f>
        <v>134.854241639659</v>
      </c>
    </row>
    <row r="468" customFormat="false" ht="15" hidden="false" customHeight="false" outlineLevel="0" collapsed="false">
      <c r="A468" s="16" t="n">
        <v>467</v>
      </c>
      <c r="B468" s="16" t="n">
        <f aca="false">ROUNDUP(A468/12,0)</f>
        <v>39</v>
      </c>
      <c r="C468" s="10" t="n">
        <f aca="false">F467</f>
        <v>1.28693500300869E-010</v>
      </c>
      <c r="D468" s="10" t="n">
        <f aca="false">IF(AND(A468&lt;=Inputs!$B$9*12,C468&gt;0.000001),C468*Inputs!$B$10/12,0)</f>
        <v>0</v>
      </c>
      <c r="E468" s="10" t="n">
        <f aca="false">IF(AND(A468&lt;=Inputs!$B$9*12,C468&gt;0.000001),MIN(C468,Inputs!$B$41-D468),0)</f>
        <v>0</v>
      </c>
      <c r="F468" s="10" t="n">
        <f aca="false">C468-E468</f>
        <v>1.28693500300869E-010</v>
      </c>
      <c r="G468" s="10" t="n">
        <f aca="false">IF(AND(Inputs!$B$43=1,C468&gt;0.78*Inputs!$B$7,A468&lt;=Inputs!$B$9*6),Inputs!$B$16*Inputs!$B$39/12,0)</f>
        <v>0</v>
      </c>
      <c r="H468" s="10" t="n">
        <f aca="false">IF(B468=1,Inputs!$B$7,INDEX(Annual!$AC$2:$AC$51,B468-1))</f>
        <v>2219406.72519261</v>
      </c>
      <c r="I468" s="10" t="n">
        <f aca="false">Inputs!$B$12*IF(Inputs!$B$35="",H468,MIN(H468,Inputs!$B$7*(1+Inputs!$B$35)^(B468-1)))/12</f>
        <v>1664.55504389446</v>
      </c>
      <c r="J468" s="10" t="n">
        <f aca="false">Inputs!$B$13*Inputs!$B$7*(1+Inputs!$B$22)^(B468-1)/12</f>
        <v>594.972810772753</v>
      </c>
      <c r="K468" s="10" t="n">
        <f aca="false">Inputs!$B$14*Inputs!$B$7*(1+Inputs!$B$22)^(B468-1)/12</f>
        <v>1189.94562154551</v>
      </c>
      <c r="L468" s="10" t="n">
        <f aca="false">Inputs!$B$15*(1+Inputs!$B$22)^(B468-1)</f>
        <v>0</v>
      </c>
      <c r="M468" s="10" t="n">
        <f aca="false">INDEX(Annual!$N$2:$N$51,B468)/12</f>
        <v>0</v>
      </c>
      <c r="N468" s="10" t="n">
        <f aca="false">D468+E468+G468+I468+J468+K468+L468-M468</f>
        <v>3449.47347621272</v>
      </c>
      <c r="O468" s="10" t="n">
        <f aca="false">Inputs!$B$17*(1+Inputs!$B$18)^(B468-1)+Inputs!$B$19*(1+Inputs!$B$22)^(B468-1)</f>
        <v>9282.86633048666</v>
      </c>
      <c r="P468" s="10" t="n">
        <f aca="false">N468-O468</f>
        <v>-5833.39285427394</v>
      </c>
      <c r="Q468" s="10" t="n">
        <f aca="false">Q467*(1+Inputs!$B$42)-U468+MAX(P468,0)</f>
        <v>2745760.33182472</v>
      </c>
      <c r="R468" s="10" t="n">
        <f aca="false">R467+Q467*Inputs!$B$48-U468+MAX(P468,0)</f>
        <v>605019.234535218</v>
      </c>
      <c r="S468" s="10" t="n">
        <f aca="false">S467*(1+Inputs!$B$42)-V468+MAX(-P468,0)</f>
        <v>1003307.92479394</v>
      </c>
      <c r="T468" s="10" t="n">
        <f aca="false">T467+S467*Inputs!$B$48-V468+MAX(-P468,0)</f>
        <v>706907.664839088</v>
      </c>
      <c r="U468" s="10" t="n">
        <f aca="false">Q467*Inputs!$B$48*Inputs!$B$29</f>
        <v>375.470706882669</v>
      </c>
      <c r="V468" s="10" t="n">
        <f aca="false">S467*Inputs!$B$48*Inputs!$B$29</f>
        <v>136.400276187235</v>
      </c>
    </row>
    <row r="469" customFormat="false" ht="15" hidden="false" customHeight="false" outlineLevel="0" collapsed="false">
      <c r="A469" s="16" t="n">
        <v>468</v>
      </c>
      <c r="B469" s="16" t="n">
        <f aca="false">ROUNDUP(A469/12,0)</f>
        <v>39</v>
      </c>
      <c r="C469" s="10" t="n">
        <f aca="false">F468</f>
        <v>1.28693500300869E-010</v>
      </c>
      <c r="D469" s="10" t="n">
        <f aca="false">IF(AND(A469&lt;=Inputs!$B$9*12,C469&gt;0.000001),C469*Inputs!$B$10/12,0)</f>
        <v>0</v>
      </c>
      <c r="E469" s="10" t="n">
        <f aca="false">IF(AND(A469&lt;=Inputs!$B$9*12,C469&gt;0.000001),MIN(C469,Inputs!$B$41-D469),0)</f>
        <v>0</v>
      </c>
      <c r="F469" s="10" t="n">
        <f aca="false">C469-E469</f>
        <v>1.28693500300869E-010</v>
      </c>
      <c r="G469" s="10" t="n">
        <f aca="false">IF(AND(Inputs!$B$43=1,C469&gt;0.78*Inputs!$B$7,A469&lt;=Inputs!$B$9*6),Inputs!$B$16*Inputs!$B$39/12,0)</f>
        <v>0</v>
      </c>
      <c r="H469" s="10" t="n">
        <f aca="false">IF(B469=1,Inputs!$B$7,INDEX(Annual!$AC$2:$AC$51,B469-1))</f>
        <v>2219406.72519261</v>
      </c>
      <c r="I469" s="10" t="n">
        <f aca="false">Inputs!$B$12*IF(Inputs!$B$35="",H469,MIN(H469,Inputs!$B$7*(1+Inputs!$B$35)^(B469-1)))/12</f>
        <v>1664.55504389446</v>
      </c>
      <c r="J469" s="10" t="n">
        <f aca="false">Inputs!$B$13*Inputs!$B$7*(1+Inputs!$B$22)^(B469-1)/12</f>
        <v>594.972810772753</v>
      </c>
      <c r="K469" s="10" t="n">
        <f aca="false">Inputs!$B$14*Inputs!$B$7*(1+Inputs!$B$22)^(B469-1)/12</f>
        <v>1189.94562154551</v>
      </c>
      <c r="L469" s="10" t="n">
        <f aca="false">Inputs!$B$15*(1+Inputs!$B$22)^(B469-1)</f>
        <v>0</v>
      </c>
      <c r="M469" s="10" t="n">
        <f aca="false">INDEX(Annual!$N$2:$N$51,B469)/12</f>
        <v>0</v>
      </c>
      <c r="N469" s="10" t="n">
        <f aca="false">D469+E469+G469+I469+J469+K469+L469-M469</f>
        <v>3449.47347621272</v>
      </c>
      <c r="O469" s="10" t="n">
        <f aca="false">Inputs!$B$17*(1+Inputs!$B$18)^(B469-1)+Inputs!$B$19*(1+Inputs!$B$22)^(B469-1)</f>
        <v>9282.86633048666</v>
      </c>
      <c r="P469" s="10" t="n">
        <f aca="false">N469-O469</f>
        <v>-5833.39285427394</v>
      </c>
      <c r="Q469" s="10" t="n">
        <f aca="false">Q468*(1+Inputs!$B$42)-U469+MAX(P469,0)</f>
        <v>2760907.7178942</v>
      </c>
      <c r="R469" s="10" t="n">
        <f aca="false">R468+Q468*Inputs!$B$48-U469+MAX(P469,0)</f>
        <v>607158.639460432</v>
      </c>
      <c r="S469" s="10" t="n">
        <f aca="false">S468*(1+Inputs!$B$42)-V469+MAX(-P469,0)</f>
        <v>1014676.21168367</v>
      </c>
      <c r="T469" s="10" t="n">
        <f aca="false">T468+S468*Inputs!$B$48-V469+MAX(-P469,0)</f>
        <v>713522.801784764</v>
      </c>
      <c r="U469" s="10" t="n">
        <f aca="false">Q468*Inputs!$B$48*Inputs!$B$29</f>
        <v>377.542045625899</v>
      </c>
      <c r="V469" s="10" t="n">
        <f aca="false">S468*Inputs!$B$48*Inputs!$B$29</f>
        <v>137.954839659167</v>
      </c>
    </row>
    <row r="470" customFormat="false" ht="15" hidden="false" customHeight="false" outlineLevel="0" collapsed="false">
      <c r="A470" s="16" t="n">
        <v>469</v>
      </c>
      <c r="B470" s="16" t="n">
        <f aca="false">ROUNDUP(A470/12,0)</f>
        <v>40</v>
      </c>
      <c r="C470" s="10" t="n">
        <f aca="false">F469</f>
        <v>1.28693500300869E-010</v>
      </c>
      <c r="D470" s="10" t="n">
        <f aca="false">IF(AND(A470&lt;=Inputs!$B$9*12,C470&gt;0.000001),C470*Inputs!$B$10/12,0)</f>
        <v>0</v>
      </c>
      <c r="E470" s="10" t="n">
        <f aca="false">IF(AND(A470&lt;=Inputs!$B$9*12,C470&gt;0.000001),MIN(C470,Inputs!$B$41-D470),0)</f>
        <v>0</v>
      </c>
      <c r="F470" s="10" t="n">
        <f aca="false">C470-E470</f>
        <v>1.28693500300869E-010</v>
      </c>
      <c r="G470" s="10" t="n">
        <f aca="false">IF(AND(Inputs!$B$43=1,C470&gt;0.78*Inputs!$B$7,A470&lt;=Inputs!$B$9*6),Inputs!$B$16*Inputs!$B$39/12,0)</f>
        <v>0</v>
      </c>
      <c r="H470" s="10" t="n">
        <f aca="false">IF(B470=1,Inputs!$B$7,INDEX(Annual!$AC$2:$AC$51,B470-1))</f>
        <v>2308182.99420032</v>
      </c>
      <c r="I470" s="10" t="n">
        <f aca="false">Inputs!$B$12*IF(Inputs!$B$35="",H470,MIN(H470,Inputs!$B$7*(1+Inputs!$B$35)^(B470-1)))/12</f>
        <v>1731.13724565024</v>
      </c>
      <c r="J470" s="10" t="n">
        <f aca="false">Inputs!$B$13*Inputs!$B$7*(1+Inputs!$B$22)^(B470-1)/12</f>
        <v>611.63204947439</v>
      </c>
      <c r="K470" s="10" t="n">
        <f aca="false">Inputs!$B$14*Inputs!$B$7*(1+Inputs!$B$22)^(B470-1)/12</f>
        <v>1223.26409894878</v>
      </c>
      <c r="L470" s="10" t="n">
        <f aca="false">Inputs!$B$15*(1+Inputs!$B$22)^(B470-1)</f>
        <v>0</v>
      </c>
      <c r="M470" s="10" t="n">
        <f aca="false">INDEX(Annual!$N$2:$N$51,B470)/12</f>
        <v>0</v>
      </c>
      <c r="N470" s="10" t="n">
        <f aca="false">D470+E470+G470+I470+J470+K470+L470-M470</f>
        <v>3566.03339407341</v>
      </c>
      <c r="O470" s="10" t="n">
        <f aca="false">Inputs!$B$17*(1+Inputs!$B$18)^(B470-1)+Inputs!$B$19*(1+Inputs!$B$22)^(B470-1)</f>
        <v>9607.46678575706</v>
      </c>
      <c r="P470" s="10" t="n">
        <f aca="false">N470-O470</f>
        <v>-6041.43339168366</v>
      </c>
      <c r="Q470" s="10" t="n">
        <f aca="false">Q469*(1+Inputs!$B$42)-U470+MAX(P470,0)</f>
        <v>2776138.66672117</v>
      </c>
      <c r="R470" s="10" t="n">
        <f aca="false">R469+Q469*Inputs!$B$48-U470+MAX(P470,0)</f>
        <v>609309.846723958</v>
      </c>
      <c r="S470" s="10" t="n">
        <f aca="false">S469*(1+Inputs!$B$42)-V470+MAX(-P470,0)</f>
        <v>1026315.25391825</v>
      </c>
      <c r="T470" s="10" t="n">
        <f aca="false">T469+S469*Inputs!$B$48-V470+MAX(-P470,0)</f>
        <v>720354.837058051</v>
      </c>
      <c r="U470" s="10" t="n">
        <f aca="false">Q469*Inputs!$B$48*Inputs!$B$29</f>
        <v>379.624811210452</v>
      </c>
      <c r="V470" s="10" t="n">
        <f aca="false">S469*Inputs!$B$48*Inputs!$B$29</f>
        <v>139.517979106505</v>
      </c>
    </row>
    <row r="471" customFormat="false" ht="15" hidden="false" customHeight="false" outlineLevel="0" collapsed="false">
      <c r="A471" s="16" t="n">
        <v>470</v>
      </c>
      <c r="B471" s="16" t="n">
        <f aca="false">ROUNDUP(A471/12,0)</f>
        <v>40</v>
      </c>
      <c r="C471" s="10" t="n">
        <f aca="false">F470</f>
        <v>1.28693500300869E-010</v>
      </c>
      <c r="D471" s="10" t="n">
        <f aca="false">IF(AND(A471&lt;=Inputs!$B$9*12,C471&gt;0.000001),C471*Inputs!$B$10/12,0)</f>
        <v>0</v>
      </c>
      <c r="E471" s="10" t="n">
        <f aca="false">IF(AND(A471&lt;=Inputs!$B$9*12,C471&gt;0.000001),MIN(C471,Inputs!$B$41-D471),0)</f>
        <v>0</v>
      </c>
      <c r="F471" s="10" t="n">
        <f aca="false">C471-E471</f>
        <v>1.28693500300869E-010</v>
      </c>
      <c r="G471" s="10" t="n">
        <f aca="false">IF(AND(Inputs!$B$43=1,C471&gt;0.78*Inputs!$B$7,A471&lt;=Inputs!$B$9*6),Inputs!$B$16*Inputs!$B$39/12,0)</f>
        <v>0</v>
      </c>
      <c r="H471" s="10" t="n">
        <f aca="false">IF(B471=1,Inputs!$B$7,INDEX(Annual!$AC$2:$AC$51,B471-1))</f>
        <v>2308182.99420032</v>
      </c>
      <c r="I471" s="10" t="n">
        <f aca="false">Inputs!$B$12*IF(Inputs!$B$35="",H471,MIN(H471,Inputs!$B$7*(1+Inputs!$B$35)^(B471-1)))/12</f>
        <v>1731.13724565024</v>
      </c>
      <c r="J471" s="10" t="n">
        <f aca="false">Inputs!$B$13*Inputs!$B$7*(1+Inputs!$B$22)^(B471-1)/12</f>
        <v>611.63204947439</v>
      </c>
      <c r="K471" s="10" t="n">
        <f aca="false">Inputs!$B$14*Inputs!$B$7*(1+Inputs!$B$22)^(B471-1)/12</f>
        <v>1223.26409894878</v>
      </c>
      <c r="L471" s="10" t="n">
        <f aca="false">Inputs!$B$15*(1+Inputs!$B$22)^(B471-1)</f>
        <v>0</v>
      </c>
      <c r="M471" s="10" t="n">
        <f aca="false">INDEX(Annual!$N$2:$N$51,B471)/12</f>
        <v>0</v>
      </c>
      <c r="N471" s="10" t="n">
        <f aca="false">D471+E471+G471+I471+J471+K471+L471-M471</f>
        <v>3566.03339407341</v>
      </c>
      <c r="O471" s="10" t="n">
        <f aca="false">Inputs!$B$17*(1+Inputs!$B$18)^(B471-1)+Inputs!$B$19*(1+Inputs!$B$22)^(B471-1)</f>
        <v>9607.46678575706</v>
      </c>
      <c r="P471" s="10" t="n">
        <f aca="false">N471-O471</f>
        <v>-6041.43339168366</v>
      </c>
      <c r="Q471" s="10" t="n">
        <f aca="false">Q470*(1+Inputs!$B$42)-U471+MAX(P471,0)</f>
        <v>2791453.63929174</v>
      </c>
      <c r="R471" s="10" t="n">
        <f aca="false">R470+Q470*Inputs!$B$48-U471+MAX(P471,0)</f>
        <v>611472.921435111</v>
      </c>
      <c r="S471" s="10" t="n">
        <f aca="false">S470*(1+Inputs!$B$42)-V471+MAX(-P471,0)</f>
        <v>1038018.50462149</v>
      </c>
      <c r="T471" s="10" t="n">
        <f aca="false">T470+S470*Inputs!$B$48-V471+MAX(-P471,0)</f>
        <v>727195.94108508</v>
      </c>
      <c r="U471" s="10" t="n">
        <f aca="false">Q470*Inputs!$B$48*Inputs!$B$29</f>
        <v>381.719066674161</v>
      </c>
      <c r="V471" s="10" t="n">
        <f aca="false">S470*Inputs!$B$48*Inputs!$B$29</f>
        <v>141.11834741376</v>
      </c>
    </row>
    <row r="472" customFormat="false" ht="15" hidden="false" customHeight="false" outlineLevel="0" collapsed="false">
      <c r="A472" s="16" t="n">
        <v>471</v>
      </c>
      <c r="B472" s="16" t="n">
        <f aca="false">ROUNDUP(A472/12,0)</f>
        <v>40</v>
      </c>
      <c r="C472" s="10" t="n">
        <f aca="false">F471</f>
        <v>1.28693500300869E-010</v>
      </c>
      <c r="D472" s="10" t="n">
        <f aca="false">IF(AND(A472&lt;=Inputs!$B$9*12,C472&gt;0.000001),C472*Inputs!$B$10/12,0)</f>
        <v>0</v>
      </c>
      <c r="E472" s="10" t="n">
        <f aca="false">IF(AND(A472&lt;=Inputs!$B$9*12,C472&gt;0.000001),MIN(C472,Inputs!$B$41-D472),0)</f>
        <v>0</v>
      </c>
      <c r="F472" s="10" t="n">
        <f aca="false">C472-E472</f>
        <v>1.28693500300869E-010</v>
      </c>
      <c r="G472" s="10" t="n">
        <f aca="false">IF(AND(Inputs!$B$43=1,C472&gt;0.78*Inputs!$B$7,A472&lt;=Inputs!$B$9*6),Inputs!$B$16*Inputs!$B$39/12,0)</f>
        <v>0</v>
      </c>
      <c r="H472" s="10" t="n">
        <f aca="false">IF(B472=1,Inputs!$B$7,INDEX(Annual!$AC$2:$AC$51,B472-1))</f>
        <v>2308182.99420032</v>
      </c>
      <c r="I472" s="10" t="n">
        <f aca="false">Inputs!$B$12*IF(Inputs!$B$35="",H472,MIN(H472,Inputs!$B$7*(1+Inputs!$B$35)^(B472-1)))/12</f>
        <v>1731.13724565024</v>
      </c>
      <c r="J472" s="10" t="n">
        <f aca="false">Inputs!$B$13*Inputs!$B$7*(1+Inputs!$B$22)^(B472-1)/12</f>
        <v>611.63204947439</v>
      </c>
      <c r="K472" s="10" t="n">
        <f aca="false">Inputs!$B$14*Inputs!$B$7*(1+Inputs!$B$22)^(B472-1)/12</f>
        <v>1223.26409894878</v>
      </c>
      <c r="L472" s="10" t="n">
        <f aca="false">Inputs!$B$15*(1+Inputs!$B$22)^(B472-1)</f>
        <v>0</v>
      </c>
      <c r="M472" s="10" t="n">
        <f aca="false">INDEX(Annual!$N$2:$N$51,B472)/12</f>
        <v>0</v>
      </c>
      <c r="N472" s="10" t="n">
        <f aca="false">D472+E472+G472+I472+J472+K472+L472-M472</f>
        <v>3566.03339407341</v>
      </c>
      <c r="O472" s="10" t="n">
        <f aca="false">Inputs!$B$17*(1+Inputs!$B$18)^(B472-1)+Inputs!$B$19*(1+Inputs!$B$22)^(B472-1)</f>
        <v>9607.46678575706</v>
      </c>
      <c r="P472" s="10" t="n">
        <f aca="false">N472-O472</f>
        <v>-6041.43339168366</v>
      </c>
      <c r="Q472" s="10" t="n">
        <f aca="false">Q471*(1+Inputs!$B$42)-U472+MAX(P472,0)</f>
        <v>2806853.09913509</v>
      </c>
      <c r="R472" s="10" t="n">
        <f aca="false">R471+Q471*Inputs!$B$48-U472+MAX(P472,0)</f>
        <v>613647.929062393</v>
      </c>
      <c r="S472" s="10" t="n">
        <f aca="false">S471*(1+Inputs!$B$42)-V472+MAX(-P472,0)</f>
        <v>1049786.31800873</v>
      </c>
      <c r="T472" s="10" t="n">
        <f aca="false">T471+S471*Inputs!$B$48-V472+MAX(-P472,0)</f>
        <v>734046.163894947</v>
      </c>
      <c r="U472" s="10" t="n">
        <f aca="false">Q471*Inputs!$B$48*Inputs!$B$29</f>
        <v>383.824875402614</v>
      </c>
      <c r="V472" s="10" t="n">
        <f aca="false">S471*Inputs!$B$48*Inputs!$B$29</f>
        <v>142.727544385455</v>
      </c>
    </row>
    <row r="473" customFormat="false" ht="15" hidden="false" customHeight="false" outlineLevel="0" collapsed="false">
      <c r="A473" s="16" t="n">
        <v>472</v>
      </c>
      <c r="B473" s="16" t="n">
        <f aca="false">ROUNDUP(A473/12,0)</f>
        <v>40</v>
      </c>
      <c r="C473" s="10" t="n">
        <f aca="false">F472</f>
        <v>1.28693500300869E-010</v>
      </c>
      <c r="D473" s="10" t="n">
        <f aca="false">IF(AND(A473&lt;=Inputs!$B$9*12,C473&gt;0.000001),C473*Inputs!$B$10/12,0)</f>
        <v>0</v>
      </c>
      <c r="E473" s="10" t="n">
        <f aca="false">IF(AND(A473&lt;=Inputs!$B$9*12,C473&gt;0.000001),MIN(C473,Inputs!$B$41-D473),0)</f>
        <v>0</v>
      </c>
      <c r="F473" s="10" t="n">
        <f aca="false">C473-E473</f>
        <v>1.28693500300869E-010</v>
      </c>
      <c r="G473" s="10" t="n">
        <f aca="false">IF(AND(Inputs!$B$43=1,C473&gt;0.78*Inputs!$B$7,A473&lt;=Inputs!$B$9*6),Inputs!$B$16*Inputs!$B$39/12,0)</f>
        <v>0</v>
      </c>
      <c r="H473" s="10" t="n">
        <f aca="false">IF(B473=1,Inputs!$B$7,INDEX(Annual!$AC$2:$AC$51,B473-1))</f>
        <v>2308182.99420032</v>
      </c>
      <c r="I473" s="10" t="n">
        <f aca="false">Inputs!$B$12*IF(Inputs!$B$35="",H473,MIN(H473,Inputs!$B$7*(1+Inputs!$B$35)^(B473-1)))/12</f>
        <v>1731.13724565024</v>
      </c>
      <c r="J473" s="10" t="n">
        <f aca="false">Inputs!$B$13*Inputs!$B$7*(1+Inputs!$B$22)^(B473-1)/12</f>
        <v>611.63204947439</v>
      </c>
      <c r="K473" s="10" t="n">
        <f aca="false">Inputs!$B$14*Inputs!$B$7*(1+Inputs!$B$22)^(B473-1)/12</f>
        <v>1223.26409894878</v>
      </c>
      <c r="L473" s="10" t="n">
        <f aca="false">Inputs!$B$15*(1+Inputs!$B$22)^(B473-1)</f>
        <v>0</v>
      </c>
      <c r="M473" s="10" t="n">
        <f aca="false">INDEX(Annual!$N$2:$N$51,B473)/12</f>
        <v>0</v>
      </c>
      <c r="N473" s="10" t="n">
        <f aca="false">D473+E473+G473+I473+J473+K473+L473-M473</f>
        <v>3566.03339407341</v>
      </c>
      <c r="O473" s="10" t="n">
        <f aca="false">Inputs!$B$17*(1+Inputs!$B$18)^(B473-1)+Inputs!$B$19*(1+Inputs!$B$22)^(B473-1)</f>
        <v>9607.46678575706</v>
      </c>
      <c r="P473" s="10" t="n">
        <f aca="false">N473-O473</f>
        <v>-6041.43339168366</v>
      </c>
      <c r="Q473" s="10" t="n">
        <f aca="false">Q472*(1+Inputs!$B$42)-U473+MAX(P473,0)</f>
        <v>2822337.51233756</v>
      </c>
      <c r="R473" s="10" t="n">
        <f aca="false">R472+Q472*Inputs!$B$48-U473+MAX(P473,0)</f>
        <v>615834.935435469</v>
      </c>
      <c r="S473" s="10" t="n">
        <f aca="false">S472*(1+Inputs!$B$42)-V473+MAX(-P473,0)</f>
        <v>1061619.05024942</v>
      </c>
      <c r="T473" s="10" t="n">
        <f aca="false">T472+S472*Inputs!$B$48-V473+MAX(-P473,0)</f>
        <v>740905.555792746</v>
      </c>
      <c r="U473" s="10" t="n">
        <f aca="false">Q472*Inputs!$B$48*Inputs!$B$29</f>
        <v>385.942301131075</v>
      </c>
      <c r="V473" s="10" t="n">
        <f aca="false">S472*Inputs!$B$48*Inputs!$B$29</f>
        <v>144.345618726201</v>
      </c>
    </row>
    <row r="474" customFormat="false" ht="15" hidden="false" customHeight="false" outlineLevel="0" collapsed="false">
      <c r="A474" s="16" t="n">
        <v>473</v>
      </c>
      <c r="B474" s="16" t="n">
        <f aca="false">ROUNDUP(A474/12,0)</f>
        <v>40</v>
      </c>
      <c r="C474" s="10" t="n">
        <f aca="false">F473</f>
        <v>1.28693500300869E-010</v>
      </c>
      <c r="D474" s="10" t="n">
        <f aca="false">IF(AND(A474&lt;=Inputs!$B$9*12,C474&gt;0.000001),C474*Inputs!$B$10/12,0)</f>
        <v>0</v>
      </c>
      <c r="E474" s="10" t="n">
        <f aca="false">IF(AND(A474&lt;=Inputs!$B$9*12,C474&gt;0.000001),MIN(C474,Inputs!$B$41-D474),0)</f>
        <v>0</v>
      </c>
      <c r="F474" s="10" t="n">
        <f aca="false">C474-E474</f>
        <v>1.28693500300869E-010</v>
      </c>
      <c r="G474" s="10" t="n">
        <f aca="false">IF(AND(Inputs!$B$43=1,C474&gt;0.78*Inputs!$B$7,A474&lt;=Inputs!$B$9*6),Inputs!$B$16*Inputs!$B$39/12,0)</f>
        <v>0</v>
      </c>
      <c r="H474" s="10" t="n">
        <f aca="false">IF(B474=1,Inputs!$B$7,INDEX(Annual!$AC$2:$AC$51,B474-1))</f>
        <v>2308182.99420032</v>
      </c>
      <c r="I474" s="10" t="n">
        <f aca="false">Inputs!$B$12*IF(Inputs!$B$35="",H474,MIN(H474,Inputs!$B$7*(1+Inputs!$B$35)^(B474-1)))/12</f>
        <v>1731.13724565024</v>
      </c>
      <c r="J474" s="10" t="n">
        <f aca="false">Inputs!$B$13*Inputs!$B$7*(1+Inputs!$B$22)^(B474-1)/12</f>
        <v>611.63204947439</v>
      </c>
      <c r="K474" s="10" t="n">
        <f aca="false">Inputs!$B$14*Inputs!$B$7*(1+Inputs!$B$22)^(B474-1)/12</f>
        <v>1223.26409894878</v>
      </c>
      <c r="L474" s="10" t="n">
        <f aca="false">Inputs!$B$15*(1+Inputs!$B$22)^(B474-1)</f>
        <v>0</v>
      </c>
      <c r="M474" s="10" t="n">
        <f aca="false">INDEX(Annual!$N$2:$N$51,B474)/12</f>
        <v>0</v>
      </c>
      <c r="N474" s="10" t="n">
        <f aca="false">D474+E474+G474+I474+J474+K474+L474-M474</f>
        <v>3566.03339407341</v>
      </c>
      <c r="O474" s="10" t="n">
        <f aca="false">Inputs!$B$17*(1+Inputs!$B$18)^(B474-1)+Inputs!$B$19*(1+Inputs!$B$22)^(B474-1)</f>
        <v>9607.46678575706</v>
      </c>
      <c r="P474" s="10" t="n">
        <f aca="false">N474-O474</f>
        <v>-6041.43339168366</v>
      </c>
      <c r="Q474" s="10" t="n">
        <f aca="false">Q473*(1+Inputs!$B$42)-U474+MAX(P474,0)</f>
        <v>2837907.3475567</v>
      </c>
      <c r="R474" s="10" t="n">
        <f aca="false">R473+Q473*Inputs!$B$48-U474+MAX(P474,0)</f>
        <v>618034.006747165</v>
      </c>
      <c r="S474" s="10" t="n">
        <f aca="false">S473*(1+Inputs!$B$42)-V474+MAX(-P474,0)</f>
        <v>1073517.05947784</v>
      </c>
      <c r="T474" s="10" t="n">
        <f aca="false">T473+S473*Inputs!$B$48-V474+MAX(-P474,0)</f>
        <v>747774.167361082</v>
      </c>
      <c r="U474" s="10" t="n">
        <f aca="false">Q473*Inputs!$B$48*Inputs!$B$29</f>
        <v>388.071407946414</v>
      </c>
      <c r="V474" s="10" t="n">
        <f aca="false">S473*Inputs!$B$48*Inputs!$B$29</f>
        <v>145.972619409295</v>
      </c>
    </row>
    <row r="475" customFormat="false" ht="15" hidden="false" customHeight="false" outlineLevel="0" collapsed="false">
      <c r="A475" s="16" t="n">
        <v>474</v>
      </c>
      <c r="B475" s="16" t="n">
        <f aca="false">ROUNDUP(A475/12,0)</f>
        <v>40</v>
      </c>
      <c r="C475" s="10" t="n">
        <f aca="false">F474</f>
        <v>1.28693500300869E-010</v>
      </c>
      <c r="D475" s="10" t="n">
        <f aca="false">IF(AND(A475&lt;=Inputs!$B$9*12,C475&gt;0.000001),C475*Inputs!$B$10/12,0)</f>
        <v>0</v>
      </c>
      <c r="E475" s="10" t="n">
        <f aca="false">IF(AND(A475&lt;=Inputs!$B$9*12,C475&gt;0.000001),MIN(C475,Inputs!$B$41-D475),0)</f>
        <v>0</v>
      </c>
      <c r="F475" s="10" t="n">
        <f aca="false">C475-E475</f>
        <v>1.28693500300869E-010</v>
      </c>
      <c r="G475" s="10" t="n">
        <f aca="false">IF(AND(Inputs!$B$43=1,C475&gt;0.78*Inputs!$B$7,A475&lt;=Inputs!$B$9*6),Inputs!$B$16*Inputs!$B$39/12,0)</f>
        <v>0</v>
      </c>
      <c r="H475" s="10" t="n">
        <f aca="false">IF(B475=1,Inputs!$B$7,INDEX(Annual!$AC$2:$AC$51,B475-1))</f>
        <v>2308182.99420032</v>
      </c>
      <c r="I475" s="10" t="n">
        <f aca="false">Inputs!$B$12*IF(Inputs!$B$35="",H475,MIN(H475,Inputs!$B$7*(1+Inputs!$B$35)^(B475-1)))/12</f>
        <v>1731.13724565024</v>
      </c>
      <c r="J475" s="10" t="n">
        <f aca="false">Inputs!$B$13*Inputs!$B$7*(1+Inputs!$B$22)^(B475-1)/12</f>
        <v>611.63204947439</v>
      </c>
      <c r="K475" s="10" t="n">
        <f aca="false">Inputs!$B$14*Inputs!$B$7*(1+Inputs!$B$22)^(B475-1)/12</f>
        <v>1223.26409894878</v>
      </c>
      <c r="L475" s="10" t="n">
        <f aca="false">Inputs!$B$15*(1+Inputs!$B$22)^(B475-1)</f>
        <v>0</v>
      </c>
      <c r="M475" s="10" t="n">
        <f aca="false">INDEX(Annual!$N$2:$N$51,B475)/12</f>
        <v>0</v>
      </c>
      <c r="N475" s="10" t="n">
        <f aca="false">D475+E475+G475+I475+J475+K475+L475-M475</f>
        <v>3566.03339407341</v>
      </c>
      <c r="O475" s="10" t="n">
        <f aca="false">Inputs!$B$17*(1+Inputs!$B$18)^(B475-1)+Inputs!$B$19*(1+Inputs!$B$22)^(B475-1)</f>
        <v>9607.46678575706</v>
      </c>
      <c r="P475" s="10" t="n">
        <f aca="false">N475-O475</f>
        <v>-6041.43339168366</v>
      </c>
      <c r="Q475" s="10" t="n">
        <f aca="false">Q474*(1+Inputs!$B$42)-U475+MAX(P475,0)</f>
        <v>2853563.07603548</v>
      </c>
      <c r="R475" s="10" t="n">
        <f aca="false">R474+Q474*Inputs!$B$48-U475+MAX(P475,0)</f>
        <v>620245.20955547</v>
      </c>
      <c r="S475" s="10" t="n">
        <f aca="false">S474*(1+Inputs!$B$42)-V475+MAX(-P475,0)</f>
        <v>1085480.705804</v>
      </c>
      <c r="T475" s="10" t="n">
        <f aca="false">T474+S474*Inputs!$B$48-V475+MAX(-P475,0)</f>
        <v>754652.049461609</v>
      </c>
      <c r="U475" s="10" t="n">
        <f aca="false">Q474*Inputs!$B$48*Inputs!$B$29</f>
        <v>390.212260289046</v>
      </c>
      <c r="V475" s="10" t="n">
        <f aca="false">S474*Inputs!$B$48*Inputs!$B$29</f>
        <v>147.608595678204</v>
      </c>
    </row>
    <row r="476" customFormat="false" ht="15" hidden="false" customHeight="false" outlineLevel="0" collapsed="false">
      <c r="A476" s="16" t="n">
        <v>475</v>
      </c>
      <c r="B476" s="16" t="n">
        <f aca="false">ROUNDUP(A476/12,0)</f>
        <v>40</v>
      </c>
      <c r="C476" s="10" t="n">
        <f aca="false">F475</f>
        <v>1.28693500300869E-010</v>
      </c>
      <c r="D476" s="10" t="n">
        <f aca="false">IF(AND(A476&lt;=Inputs!$B$9*12,C476&gt;0.000001),C476*Inputs!$B$10/12,0)</f>
        <v>0</v>
      </c>
      <c r="E476" s="10" t="n">
        <f aca="false">IF(AND(A476&lt;=Inputs!$B$9*12,C476&gt;0.000001),MIN(C476,Inputs!$B$41-D476),0)</f>
        <v>0</v>
      </c>
      <c r="F476" s="10" t="n">
        <f aca="false">C476-E476</f>
        <v>1.28693500300869E-010</v>
      </c>
      <c r="G476" s="10" t="n">
        <f aca="false">IF(AND(Inputs!$B$43=1,C476&gt;0.78*Inputs!$B$7,A476&lt;=Inputs!$B$9*6),Inputs!$B$16*Inputs!$B$39/12,0)</f>
        <v>0</v>
      </c>
      <c r="H476" s="10" t="n">
        <f aca="false">IF(B476=1,Inputs!$B$7,INDEX(Annual!$AC$2:$AC$51,B476-1))</f>
        <v>2308182.99420032</v>
      </c>
      <c r="I476" s="10" t="n">
        <f aca="false">Inputs!$B$12*IF(Inputs!$B$35="",H476,MIN(H476,Inputs!$B$7*(1+Inputs!$B$35)^(B476-1)))/12</f>
        <v>1731.13724565024</v>
      </c>
      <c r="J476" s="10" t="n">
        <f aca="false">Inputs!$B$13*Inputs!$B$7*(1+Inputs!$B$22)^(B476-1)/12</f>
        <v>611.63204947439</v>
      </c>
      <c r="K476" s="10" t="n">
        <f aca="false">Inputs!$B$14*Inputs!$B$7*(1+Inputs!$B$22)^(B476-1)/12</f>
        <v>1223.26409894878</v>
      </c>
      <c r="L476" s="10" t="n">
        <f aca="false">Inputs!$B$15*(1+Inputs!$B$22)^(B476-1)</f>
        <v>0</v>
      </c>
      <c r="M476" s="10" t="n">
        <f aca="false">INDEX(Annual!$N$2:$N$51,B476)/12</f>
        <v>0</v>
      </c>
      <c r="N476" s="10" t="n">
        <f aca="false">D476+E476+G476+I476+J476+K476+L476-M476</f>
        <v>3566.03339407341</v>
      </c>
      <c r="O476" s="10" t="n">
        <f aca="false">Inputs!$B$17*(1+Inputs!$B$18)^(B476-1)+Inputs!$B$19*(1+Inputs!$B$22)^(B476-1)</f>
        <v>9607.46678575706</v>
      </c>
      <c r="P476" s="10" t="n">
        <f aca="false">N476-O476</f>
        <v>-6041.43339168366</v>
      </c>
      <c r="Q476" s="10" t="n">
        <f aca="false">Q475*(1+Inputs!$B$42)-U476+MAX(P476,0)</f>
        <v>2869305.17161656</v>
      </c>
      <c r="R476" s="10" t="n">
        <f aca="false">R475+Q475*Inputs!$B$48-U476+MAX(P476,0)</f>
        <v>622468.610785548</v>
      </c>
      <c r="S476" s="10" t="n">
        <f aca="false">S475*(1+Inputs!$B$42)-V476+MAX(-P476,0)</f>
        <v>1097510.35132447</v>
      </c>
      <c r="T476" s="10" t="n">
        <f aca="false">T475+S475*Inputs!$B$48-V476+MAX(-P476,0)</f>
        <v>761539.253236565</v>
      </c>
      <c r="U476" s="10" t="n">
        <f aca="false">Q475*Inputs!$B$48*Inputs!$B$29</f>
        <v>392.364922954878</v>
      </c>
      <c r="V476" s="10" t="n">
        <f aca="false">S475*Inputs!$B$48*Inputs!$B$29</f>
        <v>149.25359704805</v>
      </c>
    </row>
    <row r="477" customFormat="false" ht="15" hidden="false" customHeight="false" outlineLevel="0" collapsed="false">
      <c r="A477" s="16" t="n">
        <v>476</v>
      </c>
      <c r="B477" s="16" t="n">
        <f aca="false">ROUNDUP(A477/12,0)</f>
        <v>40</v>
      </c>
      <c r="C477" s="10" t="n">
        <f aca="false">F476</f>
        <v>1.28693500300869E-010</v>
      </c>
      <c r="D477" s="10" t="n">
        <f aca="false">IF(AND(A477&lt;=Inputs!$B$9*12,C477&gt;0.000001),C477*Inputs!$B$10/12,0)</f>
        <v>0</v>
      </c>
      <c r="E477" s="10" t="n">
        <f aca="false">IF(AND(A477&lt;=Inputs!$B$9*12,C477&gt;0.000001),MIN(C477,Inputs!$B$41-D477),0)</f>
        <v>0</v>
      </c>
      <c r="F477" s="10" t="n">
        <f aca="false">C477-E477</f>
        <v>1.28693500300869E-010</v>
      </c>
      <c r="G477" s="10" t="n">
        <f aca="false">IF(AND(Inputs!$B$43=1,C477&gt;0.78*Inputs!$B$7,A477&lt;=Inputs!$B$9*6),Inputs!$B$16*Inputs!$B$39/12,0)</f>
        <v>0</v>
      </c>
      <c r="H477" s="10" t="n">
        <f aca="false">IF(B477=1,Inputs!$B$7,INDEX(Annual!$AC$2:$AC$51,B477-1))</f>
        <v>2308182.99420032</v>
      </c>
      <c r="I477" s="10" t="n">
        <f aca="false">Inputs!$B$12*IF(Inputs!$B$35="",H477,MIN(H477,Inputs!$B$7*(1+Inputs!$B$35)^(B477-1)))/12</f>
        <v>1731.13724565024</v>
      </c>
      <c r="J477" s="10" t="n">
        <f aca="false">Inputs!$B$13*Inputs!$B$7*(1+Inputs!$B$22)^(B477-1)/12</f>
        <v>611.63204947439</v>
      </c>
      <c r="K477" s="10" t="n">
        <f aca="false">Inputs!$B$14*Inputs!$B$7*(1+Inputs!$B$22)^(B477-1)/12</f>
        <v>1223.26409894878</v>
      </c>
      <c r="L477" s="10" t="n">
        <f aca="false">Inputs!$B$15*(1+Inputs!$B$22)^(B477-1)</f>
        <v>0</v>
      </c>
      <c r="M477" s="10" t="n">
        <f aca="false">INDEX(Annual!$N$2:$N$51,B477)/12</f>
        <v>0</v>
      </c>
      <c r="N477" s="10" t="n">
        <f aca="false">D477+E477+G477+I477+J477+K477+L477-M477</f>
        <v>3566.03339407341</v>
      </c>
      <c r="O477" s="10" t="n">
        <f aca="false">Inputs!$B$17*(1+Inputs!$B$18)^(B477-1)+Inputs!$B$19*(1+Inputs!$B$22)^(B477-1)</f>
        <v>9607.46678575706</v>
      </c>
      <c r="P477" s="10" t="n">
        <f aca="false">N477-O477</f>
        <v>-6041.43339168366</v>
      </c>
      <c r="Q477" s="10" t="n">
        <f aca="false">Q476*(1+Inputs!$B$42)-U477+MAX(P477,0)</f>
        <v>2885134.11075662</v>
      </c>
      <c r="R477" s="10" t="n">
        <f aca="false">R476+Q476*Inputs!$B$48-U477+MAX(P477,0)</f>
        <v>624704.277731765</v>
      </c>
      <c r="S477" s="10" t="n">
        <f aca="false">S476*(1+Inputs!$B$42)-V477+MAX(-P477,0)</f>
        <v>1109606.36013342</v>
      </c>
      <c r="T477" s="10" t="n">
        <f aca="false">T476+S476*Inputs!$B$48-V477+MAX(-P477,0)</f>
        <v>768435.830110322</v>
      </c>
      <c r="U477" s="10" t="n">
        <f aca="false">Q476*Inputs!$B$48*Inputs!$B$29</f>
        <v>394.529461097277</v>
      </c>
      <c r="V477" s="10" t="n">
        <f aca="false">S476*Inputs!$B$48*Inputs!$B$29</f>
        <v>150.907673307115</v>
      </c>
    </row>
    <row r="478" customFormat="false" ht="15" hidden="false" customHeight="false" outlineLevel="0" collapsed="false">
      <c r="A478" s="16" t="n">
        <v>477</v>
      </c>
      <c r="B478" s="16" t="n">
        <f aca="false">ROUNDUP(A478/12,0)</f>
        <v>40</v>
      </c>
      <c r="C478" s="10" t="n">
        <f aca="false">F477</f>
        <v>1.28693500300869E-010</v>
      </c>
      <c r="D478" s="10" t="n">
        <f aca="false">IF(AND(A478&lt;=Inputs!$B$9*12,C478&gt;0.000001),C478*Inputs!$B$10/12,0)</f>
        <v>0</v>
      </c>
      <c r="E478" s="10" t="n">
        <f aca="false">IF(AND(A478&lt;=Inputs!$B$9*12,C478&gt;0.000001),MIN(C478,Inputs!$B$41-D478),0)</f>
        <v>0</v>
      </c>
      <c r="F478" s="10" t="n">
        <f aca="false">C478-E478</f>
        <v>1.28693500300869E-010</v>
      </c>
      <c r="G478" s="10" t="n">
        <f aca="false">IF(AND(Inputs!$B$43=1,C478&gt;0.78*Inputs!$B$7,A478&lt;=Inputs!$B$9*6),Inputs!$B$16*Inputs!$B$39/12,0)</f>
        <v>0</v>
      </c>
      <c r="H478" s="10" t="n">
        <f aca="false">IF(B478=1,Inputs!$B$7,INDEX(Annual!$AC$2:$AC$51,B478-1))</f>
        <v>2308182.99420032</v>
      </c>
      <c r="I478" s="10" t="n">
        <f aca="false">Inputs!$B$12*IF(Inputs!$B$35="",H478,MIN(H478,Inputs!$B$7*(1+Inputs!$B$35)^(B478-1)))/12</f>
        <v>1731.13724565024</v>
      </c>
      <c r="J478" s="10" t="n">
        <f aca="false">Inputs!$B$13*Inputs!$B$7*(1+Inputs!$B$22)^(B478-1)/12</f>
        <v>611.63204947439</v>
      </c>
      <c r="K478" s="10" t="n">
        <f aca="false">Inputs!$B$14*Inputs!$B$7*(1+Inputs!$B$22)^(B478-1)/12</f>
        <v>1223.26409894878</v>
      </c>
      <c r="L478" s="10" t="n">
        <f aca="false">Inputs!$B$15*(1+Inputs!$B$22)^(B478-1)</f>
        <v>0</v>
      </c>
      <c r="M478" s="10" t="n">
        <f aca="false">INDEX(Annual!$N$2:$N$51,B478)/12</f>
        <v>0</v>
      </c>
      <c r="N478" s="10" t="n">
        <f aca="false">D478+E478+G478+I478+J478+K478+L478-M478</f>
        <v>3566.03339407341</v>
      </c>
      <c r="O478" s="10" t="n">
        <f aca="false">Inputs!$B$17*(1+Inputs!$B$18)^(B478-1)+Inputs!$B$19*(1+Inputs!$B$22)^(B478-1)</f>
        <v>9607.46678575706</v>
      </c>
      <c r="P478" s="10" t="n">
        <f aca="false">N478-O478</f>
        <v>-6041.43339168366</v>
      </c>
      <c r="Q478" s="10" t="n">
        <f aca="false">Q477*(1+Inputs!$B$42)-U478+MAX(P478,0)</f>
        <v>2901050.37254077</v>
      </c>
      <c r="R478" s="10" t="n">
        <f aca="false">R477+Q477*Inputs!$B$48-U478+MAX(P478,0)</f>
        <v>626952.27805973</v>
      </c>
      <c r="S478" s="10" t="n">
        <f aca="false">S477*(1+Inputs!$B$42)-V478+MAX(-P478,0)</f>
        <v>1121769.09833357</v>
      </c>
      <c r="T478" s="10" t="n">
        <f aca="false">T477+S477*Inputs!$B$48-V478+MAX(-P478,0)</f>
        <v>775341.831790943</v>
      </c>
      <c r="U478" s="10" t="n">
        <f aca="false">Q477*Inputs!$B$48*Inputs!$B$29</f>
        <v>396.705940229035</v>
      </c>
      <c r="V478" s="10" t="n">
        <f aca="false">S477*Inputs!$B$48*Inputs!$B$29</f>
        <v>152.570874518345</v>
      </c>
    </row>
    <row r="479" customFormat="false" ht="15" hidden="false" customHeight="false" outlineLevel="0" collapsed="false">
      <c r="A479" s="16" t="n">
        <v>478</v>
      </c>
      <c r="B479" s="16" t="n">
        <f aca="false">ROUNDUP(A479/12,0)</f>
        <v>40</v>
      </c>
      <c r="C479" s="10" t="n">
        <f aca="false">F478</f>
        <v>1.28693500300869E-010</v>
      </c>
      <c r="D479" s="10" t="n">
        <f aca="false">IF(AND(A479&lt;=Inputs!$B$9*12,C479&gt;0.000001),C479*Inputs!$B$10/12,0)</f>
        <v>0</v>
      </c>
      <c r="E479" s="10" t="n">
        <f aca="false">IF(AND(A479&lt;=Inputs!$B$9*12,C479&gt;0.000001),MIN(C479,Inputs!$B$41-D479),0)</f>
        <v>0</v>
      </c>
      <c r="F479" s="10" t="n">
        <f aca="false">C479-E479</f>
        <v>1.28693500300869E-010</v>
      </c>
      <c r="G479" s="10" t="n">
        <f aca="false">IF(AND(Inputs!$B$43=1,C479&gt;0.78*Inputs!$B$7,A479&lt;=Inputs!$B$9*6),Inputs!$B$16*Inputs!$B$39/12,0)</f>
        <v>0</v>
      </c>
      <c r="H479" s="10" t="n">
        <f aca="false">IF(B479=1,Inputs!$B$7,INDEX(Annual!$AC$2:$AC$51,B479-1))</f>
        <v>2308182.99420032</v>
      </c>
      <c r="I479" s="10" t="n">
        <f aca="false">Inputs!$B$12*IF(Inputs!$B$35="",H479,MIN(H479,Inputs!$B$7*(1+Inputs!$B$35)^(B479-1)))/12</f>
        <v>1731.13724565024</v>
      </c>
      <c r="J479" s="10" t="n">
        <f aca="false">Inputs!$B$13*Inputs!$B$7*(1+Inputs!$B$22)^(B479-1)/12</f>
        <v>611.63204947439</v>
      </c>
      <c r="K479" s="10" t="n">
        <f aca="false">Inputs!$B$14*Inputs!$B$7*(1+Inputs!$B$22)^(B479-1)/12</f>
        <v>1223.26409894878</v>
      </c>
      <c r="L479" s="10" t="n">
        <f aca="false">Inputs!$B$15*(1+Inputs!$B$22)^(B479-1)</f>
        <v>0</v>
      </c>
      <c r="M479" s="10" t="n">
        <f aca="false">INDEX(Annual!$N$2:$N$51,B479)/12</f>
        <v>0</v>
      </c>
      <c r="N479" s="10" t="n">
        <f aca="false">D479+E479+G479+I479+J479+K479+L479-M479</f>
        <v>3566.03339407341</v>
      </c>
      <c r="O479" s="10" t="n">
        <f aca="false">Inputs!$B$17*(1+Inputs!$B$18)^(B479-1)+Inputs!$B$19*(1+Inputs!$B$22)^(B479-1)</f>
        <v>9607.46678575706</v>
      </c>
      <c r="P479" s="10" t="n">
        <f aca="false">N479-O479</f>
        <v>-6041.43339168366</v>
      </c>
      <c r="Q479" s="10" t="n">
        <f aca="false">Q478*(1+Inputs!$B$42)-U479+MAX(P479,0)</f>
        <v>2917054.43869707</v>
      </c>
      <c r="R479" s="10" t="n">
        <f aca="false">R478+Q478*Inputs!$B$48-U479+MAX(P479,0)</f>
        <v>629212.679808335</v>
      </c>
      <c r="S479" s="10" t="n">
        <f aca="false">S478*(1+Inputs!$B$42)-V479+MAX(-P479,0)</f>
        <v>1133998.93404731</v>
      </c>
      <c r="T479" s="10" t="n">
        <f aca="false">T478+S478*Inputs!$B$48-V479+MAX(-P479,0)</f>
        <v>782257.310271745</v>
      </c>
      <c r="U479" s="10" t="n">
        <f aca="false">Q478*Inputs!$B$48*Inputs!$B$29</f>
        <v>398.894426224355</v>
      </c>
      <c r="V479" s="10" t="n">
        <f aca="false">S478*Inputs!$B$48*Inputs!$B$29</f>
        <v>154.243251020866</v>
      </c>
    </row>
    <row r="480" customFormat="false" ht="15" hidden="false" customHeight="false" outlineLevel="0" collapsed="false">
      <c r="A480" s="16" t="n">
        <v>479</v>
      </c>
      <c r="B480" s="16" t="n">
        <f aca="false">ROUNDUP(A480/12,0)</f>
        <v>40</v>
      </c>
      <c r="C480" s="10" t="n">
        <f aca="false">F479</f>
        <v>1.28693500300869E-010</v>
      </c>
      <c r="D480" s="10" t="n">
        <f aca="false">IF(AND(A480&lt;=Inputs!$B$9*12,C480&gt;0.000001),C480*Inputs!$B$10/12,0)</f>
        <v>0</v>
      </c>
      <c r="E480" s="10" t="n">
        <f aca="false">IF(AND(A480&lt;=Inputs!$B$9*12,C480&gt;0.000001),MIN(C480,Inputs!$B$41-D480),0)</f>
        <v>0</v>
      </c>
      <c r="F480" s="10" t="n">
        <f aca="false">C480-E480</f>
        <v>1.28693500300869E-010</v>
      </c>
      <c r="G480" s="10" t="n">
        <f aca="false">IF(AND(Inputs!$B$43=1,C480&gt;0.78*Inputs!$B$7,A480&lt;=Inputs!$B$9*6),Inputs!$B$16*Inputs!$B$39/12,0)</f>
        <v>0</v>
      </c>
      <c r="H480" s="10" t="n">
        <f aca="false">IF(B480=1,Inputs!$B$7,INDEX(Annual!$AC$2:$AC$51,B480-1))</f>
        <v>2308182.99420032</v>
      </c>
      <c r="I480" s="10" t="n">
        <f aca="false">Inputs!$B$12*IF(Inputs!$B$35="",H480,MIN(H480,Inputs!$B$7*(1+Inputs!$B$35)^(B480-1)))/12</f>
        <v>1731.13724565024</v>
      </c>
      <c r="J480" s="10" t="n">
        <f aca="false">Inputs!$B$13*Inputs!$B$7*(1+Inputs!$B$22)^(B480-1)/12</f>
        <v>611.63204947439</v>
      </c>
      <c r="K480" s="10" t="n">
        <f aca="false">Inputs!$B$14*Inputs!$B$7*(1+Inputs!$B$22)^(B480-1)/12</f>
        <v>1223.26409894878</v>
      </c>
      <c r="L480" s="10" t="n">
        <f aca="false">Inputs!$B$15*(1+Inputs!$B$22)^(B480-1)</f>
        <v>0</v>
      </c>
      <c r="M480" s="10" t="n">
        <f aca="false">INDEX(Annual!$N$2:$N$51,B480)/12</f>
        <v>0</v>
      </c>
      <c r="N480" s="10" t="n">
        <f aca="false">D480+E480+G480+I480+J480+K480+L480-M480</f>
        <v>3566.03339407341</v>
      </c>
      <c r="O480" s="10" t="n">
        <f aca="false">Inputs!$B$17*(1+Inputs!$B$18)^(B480-1)+Inputs!$B$19*(1+Inputs!$B$22)^(B480-1)</f>
        <v>9607.46678575706</v>
      </c>
      <c r="P480" s="10" t="n">
        <f aca="false">N480-O480</f>
        <v>-6041.43339168366</v>
      </c>
      <c r="Q480" s="10" t="n">
        <f aca="false">Q479*(1+Inputs!$B$42)-U480+MAX(P480,0)</f>
        <v>2933146.79361112</v>
      </c>
      <c r="R480" s="10" t="n">
        <f aca="false">R479+Q479*Inputs!$B$48-U480+MAX(P480,0)</f>
        <v>631485.551391819</v>
      </c>
      <c r="S480" s="10" t="n">
        <f aca="false">S479*(1+Inputs!$B$42)-V480+MAX(-P480,0)</f>
        <v>1146296.23742783</v>
      </c>
      <c r="T480" s="10" t="n">
        <f aca="false">T479+S479*Inputs!$B$48-V480+MAX(-P480,0)</f>
        <v>789182.317832874</v>
      </c>
      <c r="U480" s="10" t="n">
        <f aca="false">Q479*Inputs!$B$48*Inputs!$B$29</f>
        <v>401.094985320848</v>
      </c>
      <c r="V480" s="10" t="n">
        <f aca="false">S479*Inputs!$B$48*Inputs!$B$29</f>
        <v>155.924853431505</v>
      </c>
    </row>
    <row r="481" customFormat="false" ht="15" hidden="false" customHeight="false" outlineLevel="0" collapsed="false">
      <c r="A481" s="16" t="n">
        <v>480</v>
      </c>
      <c r="B481" s="16" t="n">
        <f aca="false">ROUNDUP(A481/12,0)</f>
        <v>40</v>
      </c>
      <c r="C481" s="10" t="n">
        <f aca="false">F480</f>
        <v>1.28693500300869E-010</v>
      </c>
      <c r="D481" s="10" t="n">
        <f aca="false">IF(AND(A481&lt;=Inputs!$B$9*12,C481&gt;0.000001),C481*Inputs!$B$10/12,0)</f>
        <v>0</v>
      </c>
      <c r="E481" s="10" t="n">
        <f aca="false">IF(AND(A481&lt;=Inputs!$B$9*12,C481&gt;0.000001),MIN(C481,Inputs!$B$41-D481),0)</f>
        <v>0</v>
      </c>
      <c r="F481" s="10" t="n">
        <f aca="false">C481-E481</f>
        <v>1.28693500300869E-010</v>
      </c>
      <c r="G481" s="10" t="n">
        <f aca="false">IF(AND(Inputs!$B$43=1,C481&gt;0.78*Inputs!$B$7,A481&lt;=Inputs!$B$9*6),Inputs!$B$16*Inputs!$B$39/12,0)</f>
        <v>0</v>
      </c>
      <c r="H481" s="10" t="n">
        <f aca="false">IF(B481=1,Inputs!$B$7,INDEX(Annual!$AC$2:$AC$51,B481-1))</f>
        <v>2308182.99420032</v>
      </c>
      <c r="I481" s="10" t="n">
        <f aca="false">Inputs!$B$12*IF(Inputs!$B$35="",H481,MIN(H481,Inputs!$B$7*(1+Inputs!$B$35)^(B481-1)))/12</f>
        <v>1731.13724565024</v>
      </c>
      <c r="J481" s="10" t="n">
        <f aca="false">Inputs!$B$13*Inputs!$B$7*(1+Inputs!$B$22)^(B481-1)/12</f>
        <v>611.63204947439</v>
      </c>
      <c r="K481" s="10" t="n">
        <f aca="false">Inputs!$B$14*Inputs!$B$7*(1+Inputs!$B$22)^(B481-1)/12</f>
        <v>1223.26409894878</v>
      </c>
      <c r="L481" s="10" t="n">
        <f aca="false">Inputs!$B$15*(1+Inputs!$B$22)^(B481-1)</f>
        <v>0</v>
      </c>
      <c r="M481" s="10" t="n">
        <f aca="false">INDEX(Annual!$N$2:$N$51,B481)/12</f>
        <v>0</v>
      </c>
      <c r="N481" s="10" t="n">
        <f aca="false">D481+E481+G481+I481+J481+K481+L481-M481</f>
        <v>3566.03339407341</v>
      </c>
      <c r="O481" s="10" t="n">
        <f aca="false">Inputs!$B$17*(1+Inputs!$B$18)^(B481-1)+Inputs!$B$19*(1+Inputs!$B$22)^(B481-1)</f>
        <v>9607.46678575706</v>
      </c>
      <c r="P481" s="10" t="n">
        <f aca="false">N481-O481</f>
        <v>-6041.43339168366</v>
      </c>
      <c r="Q481" s="10" t="n">
        <f aca="false">Q480*(1+Inputs!$B$42)-U481+MAX(P481,0)</f>
        <v>2949327.92434068</v>
      </c>
      <c r="R481" s="10" t="n">
        <f aca="false">R480+Q480*Inputs!$B$48-U481+MAX(P481,0)</f>
        <v>633770.961601841</v>
      </c>
      <c r="S481" s="10" t="n">
        <f aca="false">S480*(1+Inputs!$B$42)-V481+MAX(-P481,0)</f>
        <v>1158661.38067032</v>
      </c>
      <c r="T481" s="10" t="n">
        <f aca="false">T480+S480*Inputs!$B$48-V481+MAX(-P481,0)</f>
        <v>796116.907042887</v>
      </c>
      <c r="U481" s="10" t="n">
        <f aca="false">Q480*Inputs!$B$48*Inputs!$B$29</f>
        <v>403.307684121529</v>
      </c>
      <c r="V481" s="10" t="n">
        <f aca="false">S480*Inputs!$B$48*Inputs!$B$29</f>
        <v>157.615732646326</v>
      </c>
    </row>
    <row r="482" customFormat="false" ht="15" hidden="false" customHeight="false" outlineLevel="0" collapsed="false">
      <c r="A482" s="16" t="n">
        <v>481</v>
      </c>
      <c r="B482" s="16" t="n">
        <f aca="false">ROUNDUP(A482/12,0)</f>
        <v>41</v>
      </c>
      <c r="C482" s="10" t="n">
        <f aca="false">F481</f>
        <v>1.28693500300869E-010</v>
      </c>
      <c r="D482" s="10" t="n">
        <f aca="false">IF(AND(A482&lt;=Inputs!$B$9*12,C482&gt;0.000001),C482*Inputs!$B$10/12,0)</f>
        <v>0</v>
      </c>
      <c r="E482" s="10" t="n">
        <f aca="false">IF(AND(A482&lt;=Inputs!$B$9*12,C482&gt;0.000001),MIN(C482,Inputs!$B$41-D482),0)</f>
        <v>0</v>
      </c>
      <c r="F482" s="10" t="n">
        <f aca="false">C482-E482</f>
        <v>1.28693500300869E-010</v>
      </c>
      <c r="G482" s="10" t="n">
        <f aca="false">IF(AND(Inputs!$B$43=1,C482&gt;0.78*Inputs!$B$7,A482&lt;=Inputs!$B$9*6),Inputs!$B$16*Inputs!$B$39/12,0)</f>
        <v>0</v>
      </c>
      <c r="H482" s="10" t="n">
        <f aca="false">IF(B482=1,Inputs!$B$7,INDEX(Annual!$AC$2:$AC$51,B482-1))</f>
        <v>2400510.31396833</v>
      </c>
      <c r="I482" s="10" t="n">
        <f aca="false">Inputs!$B$12*IF(Inputs!$B$35="",H482,MIN(H482,Inputs!$B$7*(1+Inputs!$B$35)^(B482-1)))/12</f>
        <v>1800.38273547625</v>
      </c>
      <c r="J482" s="10" t="n">
        <f aca="false">Inputs!$B$13*Inputs!$B$7*(1+Inputs!$B$22)^(B482-1)/12</f>
        <v>628.757746859673</v>
      </c>
      <c r="K482" s="10" t="n">
        <f aca="false">Inputs!$B$14*Inputs!$B$7*(1+Inputs!$B$22)^(B482-1)/12</f>
        <v>1257.51549371935</v>
      </c>
      <c r="L482" s="10" t="n">
        <f aca="false">Inputs!$B$15*(1+Inputs!$B$22)^(B482-1)</f>
        <v>0</v>
      </c>
      <c r="M482" s="10" t="n">
        <f aca="false">INDEX(Annual!$N$2:$N$51,B482)/12</f>
        <v>0</v>
      </c>
      <c r="N482" s="10" t="n">
        <f aca="false">D482+E482+G482+I482+J482+K482+L482-M482</f>
        <v>3686.65597605527</v>
      </c>
      <c r="O482" s="10" t="n">
        <f aca="false">Inputs!$B$17*(1+Inputs!$B$18)^(B482-1)+Inputs!$B$19*(1+Inputs!$B$22)^(B482-1)</f>
        <v>9943.41986070562</v>
      </c>
      <c r="P482" s="10" t="n">
        <f aca="false">N482-O482</f>
        <v>-6256.76388465036</v>
      </c>
      <c r="Q482" s="10" t="n">
        <f aca="false">Q481*(1+Inputs!$B$42)-U482+MAX(P482,0)</f>
        <v>2965598.32063044</v>
      </c>
      <c r="R482" s="10" t="n">
        <f aca="false">R481+Q481*Inputs!$B$48-U482+MAX(P482,0)</f>
        <v>636068.979609557</v>
      </c>
      <c r="S482" s="10" t="n">
        <f aca="false">S481*(1+Inputs!$B$42)-V482+MAX(-P482,0)</f>
        <v>1171310.06851621</v>
      </c>
      <c r="T482" s="10" t="n">
        <f aca="false">T481+S481*Inputs!$B$48-V482+MAX(-P482,0)</f>
        <v>803276.461253309</v>
      </c>
      <c r="U482" s="10" t="n">
        <f aca="false">Q481*Inputs!$B$48*Inputs!$B$29</f>
        <v>405.532589596843</v>
      </c>
      <c r="V482" s="10" t="n">
        <f aca="false">S481*Inputs!$B$48*Inputs!$B$29</f>
        <v>159.315939842169</v>
      </c>
    </row>
    <row r="483" customFormat="false" ht="15" hidden="false" customHeight="false" outlineLevel="0" collapsed="false">
      <c r="A483" s="16" t="n">
        <v>482</v>
      </c>
      <c r="B483" s="16" t="n">
        <f aca="false">ROUNDUP(A483/12,0)</f>
        <v>41</v>
      </c>
      <c r="C483" s="10" t="n">
        <f aca="false">F482</f>
        <v>1.28693500300869E-010</v>
      </c>
      <c r="D483" s="10" t="n">
        <f aca="false">IF(AND(A483&lt;=Inputs!$B$9*12,C483&gt;0.000001),C483*Inputs!$B$10/12,0)</f>
        <v>0</v>
      </c>
      <c r="E483" s="10" t="n">
        <f aca="false">IF(AND(A483&lt;=Inputs!$B$9*12,C483&gt;0.000001),MIN(C483,Inputs!$B$41-D483),0)</f>
        <v>0</v>
      </c>
      <c r="F483" s="10" t="n">
        <f aca="false">C483-E483</f>
        <v>1.28693500300869E-010</v>
      </c>
      <c r="G483" s="10" t="n">
        <f aca="false">IF(AND(Inputs!$B$43=1,C483&gt;0.78*Inputs!$B$7,A483&lt;=Inputs!$B$9*6),Inputs!$B$16*Inputs!$B$39/12,0)</f>
        <v>0</v>
      </c>
      <c r="H483" s="10" t="n">
        <f aca="false">IF(B483=1,Inputs!$B$7,INDEX(Annual!$AC$2:$AC$51,B483-1))</f>
        <v>2400510.31396833</v>
      </c>
      <c r="I483" s="10" t="n">
        <f aca="false">Inputs!$B$12*IF(Inputs!$B$35="",H483,MIN(H483,Inputs!$B$7*(1+Inputs!$B$35)^(B483-1)))/12</f>
        <v>1800.38273547625</v>
      </c>
      <c r="J483" s="10" t="n">
        <f aca="false">Inputs!$B$13*Inputs!$B$7*(1+Inputs!$B$22)^(B483-1)/12</f>
        <v>628.757746859673</v>
      </c>
      <c r="K483" s="10" t="n">
        <f aca="false">Inputs!$B$14*Inputs!$B$7*(1+Inputs!$B$22)^(B483-1)/12</f>
        <v>1257.51549371935</v>
      </c>
      <c r="L483" s="10" t="n">
        <f aca="false">Inputs!$B$15*(1+Inputs!$B$22)^(B483-1)</f>
        <v>0</v>
      </c>
      <c r="M483" s="10" t="n">
        <f aca="false">INDEX(Annual!$N$2:$N$51,B483)/12</f>
        <v>0</v>
      </c>
      <c r="N483" s="10" t="n">
        <f aca="false">D483+E483+G483+I483+J483+K483+L483-M483</f>
        <v>3686.65597605527</v>
      </c>
      <c r="O483" s="10" t="n">
        <f aca="false">Inputs!$B$17*(1+Inputs!$B$18)^(B483-1)+Inputs!$B$19*(1+Inputs!$B$22)^(B483-1)</f>
        <v>9943.41986070562</v>
      </c>
      <c r="P483" s="10" t="n">
        <f aca="false">N483-O483</f>
        <v>-6256.76388465036</v>
      </c>
      <c r="Q483" s="10" t="n">
        <f aca="false">Q482*(1+Inputs!$B$42)-U483+MAX(P483,0)</f>
        <v>2981958.47492684</v>
      </c>
      <c r="R483" s="10" t="n">
        <f aca="false">R482+Q482*Inputs!$B$48-U483+MAX(P483,0)</f>
        <v>638379.674967715</v>
      </c>
      <c r="S483" s="10" t="n">
        <f aca="false">S482*(1+Inputs!$B$42)-V483+MAX(-P483,0)</f>
        <v>1184028.53468756</v>
      </c>
      <c r="T483" s="10" t="n">
        <f aca="false">T482+S482*Inputs!$B$48-V483+MAX(-P483,0)</f>
        <v>810445.870899678</v>
      </c>
      <c r="U483" s="10" t="n">
        <f aca="false">Q482*Inputs!$B$48*Inputs!$B$29</f>
        <v>407.769769086685</v>
      </c>
      <c r="V483" s="10" t="n">
        <f aca="false">S482*Inputs!$B$48*Inputs!$B$29</f>
        <v>161.055134420978</v>
      </c>
    </row>
    <row r="484" customFormat="false" ht="15" hidden="false" customHeight="false" outlineLevel="0" collapsed="false">
      <c r="A484" s="16" t="n">
        <v>483</v>
      </c>
      <c r="B484" s="16" t="n">
        <f aca="false">ROUNDUP(A484/12,0)</f>
        <v>41</v>
      </c>
      <c r="C484" s="10" t="n">
        <f aca="false">F483</f>
        <v>1.28693500300869E-010</v>
      </c>
      <c r="D484" s="10" t="n">
        <f aca="false">IF(AND(A484&lt;=Inputs!$B$9*12,C484&gt;0.000001),C484*Inputs!$B$10/12,0)</f>
        <v>0</v>
      </c>
      <c r="E484" s="10" t="n">
        <f aca="false">IF(AND(A484&lt;=Inputs!$B$9*12,C484&gt;0.000001),MIN(C484,Inputs!$B$41-D484),0)</f>
        <v>0</v>
      </c>
      <c r="F484" s="10" t="n">
        <f aca="false">C484-E484</f>
        <v>1.28693500300869E-010</v>
      </c>
      <c r="G484" s="10" t="n">
        <f aca="false">IF(AND(Inputs!$B$43=1,C484&gt;0.78*Inputs!$B$7,A484&lt;=Inputs!$B$9*6),Inputs!$B$16*Inputs!$B$39/12,0)</f>
        <v>0</v>
      </c>
      <c r="H484" s="10" t="n">
        <f aca="false">IF(B484=1,Inputs!$B$7,INDEX(Annual!$AC$2:$AC$51,B484-1))</f>
        <v>2400510.31396833</v>
      </c>
      <c r="I484" s="10" t="n">
        <f aca="false">Inputs!$B$12*IF(Inputs!$B$35="",H484,MIN(H484,Inputs!$B$7*(1+Inputs!$B$35)^(B484-1)))/12</f>
        <v>1800.38273547625</v>
      </c>
      <c r="J484" s="10" t="n">
        <f aca="false">Inputs!$B$13*Inputs!$B$7*(1+Inputs!$B$22)^(B484-1)/12</f>
        <v>628.757746859673</v>
      </c>
      <c r="K484" s="10" t="n">
        <f aca="false">Inputs!$B$14*Inputs!$B$7*(1+Inputs!$B$22)^(B484-1)/12</f>
        <v>1257.51549371935</v>
      </c>
      <c r="L484" s="10" t="n">
        <f aca="false">Inputs!$B$15*(1+Inputs!$B$22)^(B484-1)</f>
        <v>0</v>
      </c>
      <c r="M484" s="10" t="n">
        <f aca="false">INDEX(Annual!$N$2:$N$51,B484)/12</f>
        <v>0</v>
      </c>
      <c r="N484" s="10" t="n">
        <f aca="false">D484+E484+G484+I484+J484+K484+L484-M484</f>
        <v>3686.65597605527</v>
      </c>
      <c r="O484" s="10" t="n">
        <f aca="false">Inputs!$B$17*(1+Inputs!$B$18)^(B484-1)+Inputs!$B$19*(1+Inputs!$B$22)^(B484-1)</f>
        <v>9943.41986070562</v>
      </c>
      <c r="P484" s="10" t="n">
        <f aca="false">N484-O484</f>
        <v>-6256.76388465036</v>
      </c>
      <c r="Q484" s="10" t="n">
        <f aca="false">Q483*(1+Inputs!$B$42)-U484+MAX(P484,0)</f>
        <v>2998408.88239298</v>
      </c>
      <c r="R484" s="10" t="n">
        <f aca="false">R483+Q483*Inputs!$B$48-U484+MAX(P484,0)</f>
        <v>640703.117612762</v>
      </c>
      <c r="S484" s="10" t="n">
        <f aca="false">S483*(1+Inputs!$B$42)-V484+MAX(-P484,0)</f>
        <v>1196817.16412665</v>
      </c>
      <c r="T484" s="10" t="n">
        <f aca="false">T483+S483*Inputs!$B$48-V484+MAX(-P484,0)</f>
        <v>817625.190350939</v>
      </c>
      <c r="U484" s="10" t="n">
        <f aca="false">Q483*Inputs!$B$48*Inputs!$B$29</f>
        <v>410.019290302441</v>
      </c>
      <c r="V484" s="10" t="n">
        <f aca="false">S483*Inputs!$B$48*Inputs!$B$29</f>
        <v>162.803923519539</v>
      </c>
    </row>
    <row r="485" customFormat="false" ht="15" hidden="false" customHeight="false" outlineLevel="0" collapsed="false">
      <c r="A485" s="16" t="n">
        <v>484</v>
      </c>
      <c r="B485" s="16" t="n">
        <f aca="false">ROUNDUP(A485/12,0)</f>
        <v>41</v>
      </c>
      <c r="C485" s="10" t="n">
        <f aca="false">F484</f>
        <v>1.28693500300869E-010</v>
      </c>
      <c r="D485" s="10" t="n">
        <f aca="false">IF(AND(A485&lt;=Inputs!$B$9*12,C485&gt;0.000001),C485*Inputs!$B$10/12,0)</f>
        <v>0</v>
      </c>
      <c r="E485" s="10" t="n">
        <f aca="false">IF(AND(A485&lt;=Inputs!$B$9*12,C485&gt;0.000001),MIN(C485,Inputs!$B$41-D485),0)</f>
        <v>0</v>
      </c>
      <c r="F485" s="10" t="n">
        <f aca="false">C485-E485</f>
        <v>1.28693500300869E-010</v>
      </c>
      <c r="G485" s="10" t="n">
        <f aca="false">IF(AND(Inputs!$B$43=1,C485&gt;0.78*Inputs!$B$7,A485&lt;=Inputs!$B$9*6),Inputs!$B$16*Inputs!$B$39/12,0)</f>
        <v>0</v>
      </c>
      <c r="H485" s="10" t="n">
        <f aca="false">IF(B485=1,Inputs!$B$7,INDEX(Annual!$AC$2:$AC$51,B485-1))</f>
        <v>2400510.31396833</v>
      </c>
      <c r="I485" s="10" t="n">
        <f aca="false">Inputs!$B$12*IF(Inputs!$B$35="",H485,MIN(H485,Inputs!$B$7*(1+Inputs!$B$35)^(B485-1)))/12</f>
        <v>1800.38273547625</v>
      </c>
      <c r="J485" s="10" t="n">
        <f aca="false">Inputs!$B$13*Inputs!$B$7*(1+Inputs!$B$22)^(B485-1)/12</f>
        <v>628.757746859673</v>
      </c>
      <c r="K485" s="10" t="n">
        <f aca="false">Inputs!$B$14*Inputs!$B$7*(1+Inputs!$B$22)^(B485-1)/12</f>
        <v>1257.51549371935</v>
      </c>
      <c r="L485" s="10" t="n">
        <f aca="false">Inputs!$B$15*(1+Inputs!$B$22)^(B485-1)</f>
        <v>0</v>
      </c>
      <c r="M485" s="10" t="n">
        <f aca="false">INDEX(Annual!$N$2:$N$51,B485)/12</f>
        <v>0</v>
      </c>
      <c r="N485" s="10" t="n">
        <f aca="false">D485+E485+G485+I485+J485+K485+L485-M485</f>
        <v>3686.65597605527</v>
      </c>
      <c r="O485" s="10" t="n">
        <f aca="false">Inputs!$B$17*(1+Inputs!$B$18)^(B485-1)+Inputs!$B$19*(1+Inputs!$B$22)^(B485-1)</f>
        <v>9943.41986070562</v>
      </c>
      <c r="P485" s="10" t="n">
        <f aca="false">N485-O485</f>
        <v>-6256.76388465036</v>
      </c>
      <c r="Q485" s="10" t="n">
        <f aca="false">Q484*(1+Inputs!$B$42)-U485+MAX(P485,0)</f>
        <v>3014950.04092359</v>
      </c>
      <c r="R485" s="10" t="n">
        <f aca="false">R484+Q484*Inputs!$B$48-U485+MAX(P485,0)</f>
        <v>643039.37786696</v>
      </c>
      <c r="S485" s="10" t="n">
        <f aca="false">S484*(1+Inputs!$B$42)-V485+MAX(-P485,0)</f>
        <v>1209676.34389935</v>
      </c>
      <c r="T485" s="10" t="n">
        <f aca="false">T484+S484*Inputs!$B$48-V485+MAX(-P485,0)</f>
        <v>824814.474275972</v>
      </c>
      <c r="U485" s="10" t="n">
        <f aca="false">Q484*Inputs!$B$48*Inputs!$B$29</f>
        <v>412.281221329035</v>
      </c>
      <c r="V485" s="10" t="n">
        <f aca="false">S484*Inputs!$B$48*Inputs!$B$29</f>
        <v>164.562360067414</v>
      </c>
    </row>
    <row r="486" customFormat="false" ht="15" hidden="false" customHeight="false" outlineLevel="0" collapsed="false">
      <c r="A486" s="16" t="n">
        <v>485</v>
      </c>
      <c r="B486" s="16" t="n">
        <f aca="false">ROUNDUP(A486/12,0)</f>
        <v>41</v>
      </c>
      <c r="C486" s="10" t="n">
        <f aca="false">F485</f>
        <v>1.28693500300869E-010</v>
      </c>
      <c r="D486" s="10" t="n">
        <f aca="false">IF(AND(A486&lt;=Inputs!$B$9*12,C486&gt;0.000001),C486*Inputs!$B$10/12,0)</f>
        <v>0</v>
      </c>
      <c r="E486" s="10" t="n">
        <f aca="false">IF(AND(A486&lt;=Inputs!$B$9*12,C486&gt;0.000001),MIN(C486,Inputs!$B$41-D486),0)</f>
        <v>0</v>
      </c>
      <c r="F486" s="10" t="n">
        <f aca="false">C486-E486</f>
        <v>1.28693500300869E-010</v>
      </c>
      <c r="G486" s="10" t="n">
        <f aca="false">IF(AND(Inputs!$B$43=1,C486&gt;0.78*Inputs!$B$7,A486&lt;=Inputs!$B$9*6),Inputs!$B$16*Inputs!$B$39/12,0)</f>
        <v>0</v>
      </c>
      <c r="H486" s="10" t="n">
        <f aca="false">IF(B486=1,Inputs!$B$7,INDEX(Annual!$AC$2:$AC$51,B486-1))</f>
        <v>2400510.31396833</v>
      </c>
      <c r="I486" s="10" t="n">
        <f aca="false">Inputs!$B$12*IF(Inputs!$B$35="",H486,MIN(H486,Inputs!$B$7*(1+Inputs!$B$35)^(B486-1)))/12</f>
        <v>1800.38273547625</v>
      </c>
      <c r="J486" s="10" t="n">
        <f aca="false">Inputs!$B$13*Inputs!$B$7*(1+Inputs!$B$22)^(B486-1)/12</f>
        <v>628.757746859673</v>
      </c>
      <c r="K486" s="10" t="n">
        <f aca="false">Inputs!$B$14*Inputs!$B$7*(1+Inputs!$B$22)^(B486-1)/12</f>
        <v>1257.51549371935</v>
      </c>
      <c r="L486" s="10" t="n">
        <f aca="false">Inputs!$B$15*(1+Inputs!$B$22)^(B486-1)</f>
        <v>0</v>
      </c>
      <c r="M486" s="10" t="n">
        <f aca="false">INDEX(Annual!$N$2:$N$51,B486)/12</f>
        <v>0</v>
      </c>
      <c r="N486" s="10" t="n">
        <f aca="false">D486+E486+G486+I486+J486+K486+L486-M486</f>
        <v>3686.65597605527</v>
      </c>
      <c r="O486" s="10" t="n">
        <f aca="false">Inputs!$B$17*(1+Inputs!$B$18)^(B486-1)+Inputs!$B$19*(1+Inputs!$B$22)^(B486-1)</f>
        <v>9943.41986070562</v>
      </c>
      <c r="P486" s="10" t="n">
        <f aca="false">N486-O486</f>
        <v>-6256.76388465036</v>
      </c>
      <c r="Q486" s="10" t="n">
        <f aca="false">Q485*(1+Inputs!$B$42)-U486+MAX(P486,0)</f>
        <v>3031582.45116011</v>
      </c>
      <c r="R486" s="10" t="n">
        <f aca="false">R485+Q485*Inputs!$B$48-U486+MAX(P486,0)</f>
        <v>645388.526440513</v>
      </c>
      <c r="S486" s="10" t="n">
        <f aca="false">S485*(1+Inputs!$B$42)-V486+MAX(-P486,0)</f>
        <v>1222606.46320682</v>
      </c>
      <c r="T486" s="10" t="n">
        <f aca="false">T485+S485*Inputs!$B$48-V486+MAX(-P486,0)</f>
        <v>832013.777645244</v>
      </c>
      <c r="U486" s="10" t="n">
        <f aca="false">Q485*Inputs!$B$48*Inputs!$B$29</f>
        <v>414.555630626993</v>
      </c>
      <c r="V486" s="10" t="n">
        <f aca="false">S485*Inputs!$B$48*Inputs!$B$29</f>
        <v>166.33049728616</v>
      </c>
    </row>
    <row r="487" customFormat="false" ht="15" hidden="false" customHeight="false" outlineLevel="0" collapsed="false">
      <c r="A487" s="16" t="n">
        <v>486</v>
      </c>
      <c r="B487" s="16" t="n">
        <f aca="false">ROUNDUP(A487/12,0)</f>
        <v>41</v>
      </c>
      <c r="C487" s="10" t="n">
        <f aca="false">F486</f>
        <v>1.28693500300869E-010</v>
      </c>
      <c r="D487" s="10" t="n">
        <f aca="false">IF(AND(A487&lt;=Inputs!$B$9*12,C487&gt;0.000001),C487*Inputs!$B$10/12,0)</f>
        <v>0</v>
      </c>
      <c r="E487" s="10" t="n">
        <f aca="false">IF(AND(A487&lt;=Inputs!$B$9*12,C487&gt;0.000001),MIN(C487,Inputs!$B$41-D487),0)</f>
        <v>0</v>
      </c>
      <c r="F487" s="10" t="n">
        <f aca="false">C487-E487</f>
        <v>1.28693500300869E-010</v>
      </c>
      <c r="G487" s="10" t="n">
        <f aca="false">IF(AND(Inputs!$B$43=1,C487&gt;0.78*Inputs!$B$7,A487&lt;=Inputs!$B$9*6),Inputs!$B$16*Inputs!$B$39/12,0)</f>
        <v>0</v>
      </c>
      <c r="H487" s="10" t="n">
        <f aca="false">IF(B487=1,Inputs!$B$7,INDEX(Annual!$AC$2:$AC$51,B487-1))</f>
        <v>2400510.31396833</v>
      </c>
      <c r="I487" s="10" t="n">
        <f aca="false">Inputs!$B$12*IF(Inputs!$B$35="",H487,MIN(H487,Inputs!$B$7*(1+Inputs!$B$35)^(B487-1)))/12</f>
        <v>1800.38273547625</v>
      </c>
      <c r="J487" s="10" t="n">
        <f aca="false">Inputs!$B$13*Inputs!$B$7*(1+Inputs!$B$22)^(B487-1)/12</f>
        <v>628.757746859673</v>
      </c>
      <c r="K487" s="10" t="n">
        <f aca="false">Inputs!$B$14*Inputs!$B$7*(1+Inputs!$B$22)^(B487-1)/12</f>
        <v>1257.51549371935</v>
      </c>
      <c r="L487" s="10" t="n">
        <f aca="false">Inputs!$B$15*(1+Inputs!$B$22)^(B487-1)</f>
        <v>0</v>
      </c>
      <c r="M487" s="10" t="n">
        <f aca="false">INDEX(Annual!$N$2:$N$51,B487)/12</f>
        <v>0</v>
      </c>
      <c r="N487" s="10" t="n">
        <f aca="false">D487+E487+G487+I487+J487+K487+L487-M487</f>
        <v>3686.65597605527</v>
      </c>
      <c r="O487" s="10" t="n">
        <f aca="false">Inputs!$B$17*(1+Inputs!$B$18)^(B487-1)+Inputs!$B$19*(1+Inputs!$B$22)^(B487-1)</f>
        <v>9943.41986070562</v>
      </c>
      <c r="P487" s="10" t="n">
        <f aca="false">N487-O487</f>
        <v>-6256.76388465036</v>
      </c>
      <c r="Q487" s="10" t="n">
        <f aca="false">Q486*(1+Inputs!$B$42)-U487+MAX(P487,0)</f>
        <v>3048306.61650584</v>
      </c>
      <c r="R487" s="10" t="n">
        <f aca="false">R486+Q486*Inputs!$B$48-U487+MAX(P487,0)</f>
        <v>647750.634433708</v>
      </c>
      <c r="S487" s="10" t="n">
        <f aca="false">S486*(1+Inputs!$B$42)-V487+MAX(-P487,0)</f>
        <v>1235607.91339733</v>
      </c>
      <c r="T487" s="10" t="n">
        <f aca="false">T486+S486*Inputs!$B$48-V487+MAX(-P487,0)</f>
        <v>839223.155732476</v>
      </c>
      <c r="U487" s="10" t="n">
        <f aca="false">Q486*Inputs!$B$48*Inputs!$B$29</f>
        <v>416.842587034515</v>
      </c>
      <c r="V487" s="10" t="n">
        <f aca="false">S486*Inputs!$B$48*Inputs!$B$29</f>
        <v>168.108388690938</v>
      </c>
    </row>
    <row r="488" customFormat="false" ht="15" hidden="false" customHeight="false" outlineLevel="0" collapsed="false">
      <c r="A488" s="16" t="n">
        <v>487</v>
      </c>
      <c r="B488" s="16" t="n">
        <f aca="false">ROUNDUP(A488/12,0)</f>
        <v>41</v>
      </c>
      <c r="C488" s="10" t="n">
        <f aca="false">F487</f>
        <v>1.28693500300869E-010</v>
      </c>
      <c r="D488" s="10" t="n">
        <f aca="false">IF(AND(A488&lt;=Inputs!$B$9*12,C488&gt;0.000001),C488*Inputs!$B$10/12,0)</f>
        <v>0</v>
      </c>
      <c r="E488" s="10" t="n">
        <f aca="false">IF(AND(A488&lt;=Inputs!$B$9*12,C488&gt;0.000001),MIN(C488,Inputs!$B$41-D488),0)</f>
        <v>0</v>
      </c>
      <c r="F488" s="10" t="n">
        <f aca="false">C488-E488</f>
        <v>1.28693500300869E-010</v>
      </c>
      <c r="G488" s="10" t="n">
        <f aca="false">IF(AND(Inputs!$B$43=1,C488&gt;0.78*Inputs!$B$7,A488&lt;=Inputs!$B$9*6),Inputs!$B$16*Inputs!$B$39/12,0)</f>
        <v>0</v>
      </c>
      <c r="H488" s="10" t="n">
        <f aca="false">IF(B488=1,Inputs!$B$7,INDEX(Annual!$AC$2:$AC$51,B488-1))</f>
        <v>2400510.31396833</v>
      </c>
      <c r="I488" s="10" t="n">
        <f aca="false">Inputs!$B$12*IF(Inputs!$B$35="",H488,MIN(H488,Inputs!$B$7*(1+Inputs!$B$35)^(B488-1)))/12</f>
        <v>1800.38273547625</v>
      </c>
      <c r="J488" s="10" t="n">
        <f aca="false">Inputs!$B$13*Inputs!$B$7*(1+Inputs!$B$22)^(B488-1)/12</f>
        <v>628.757746859673</v>
      </c>
      <c r="K488" s="10" t="n">
        <f aca="false">Inputs!$B$14*Inputs!$B$7*(1+Inputs!$B$22)^(B488-1)/12</f>
        <v>1257.51549371935</v>
      </c>
      <c r="L488" s="10" t="n">
        <f aca="false">Inputs!$B$15*(1+Inputs!$B$22)^(B488-1)</f>
        <v>0</v>
      </c>
      <c r="M488" s="10" t="n">
        <f aca="false">INDEX(Annual!$N$2:$N$51,B488)/12</f>
        <v>0</v>
      </c>
      <c r="N488" s="10" t="n">
        <f aca="false">D488+E488+G488+I488+J488+K488+L488-M488</f>
        <v>3686.65597605527</v>
      </c>
      <c r="O488" s="10" t="n">
        <f aca="false">Inputs!$B$17*(1+Inputs!$B$18)^(B488-1)+Inputs!$B$19*(1+Inputs!$B$22)^(B488-1)</f>
        <v>9943.41986070562</v>
      </c>
      <c r="P488" s="10" t="n">
        <f aca="false">N488-O488</f>
        <v>-6256.76388465036</v>
      </c>
      <c r="Q488" s="10" t="n">
        <f aca="false">Q487*(1+Inputs!$B$42)-U488+MAX(P488,0)</f>
        <v>3065123.04314118</v>
      </c>
      <c r="R488" s="10" t="n">
        <f aca="false">R487+Q487*Inputs!$B$48-U488+MAX(P488,0)</f>
        <v>650125.773339069</v>
      </c>
      <c r="S488" s="10" t="n">
        <f aca="false">S487*(1+Inputs!$B$42)-V488+MAX(-P488,0)</f>
        <v>1248681.08797807</v>
      </c>
      <c r="T488" s="10" t="n">
        <f aca="false">T487+S487*Inputs!$B$48-V488+MAX(-P488,0)</f>
        <v>846442.664116315</v>
      </c>
      <c r="U488" s="10" t="n">
        <f aca="false">Q487*Inputs!$B$48*Inputs!$B$29</f>
        <v>419.142159769553</v>
      </c>
      <c r="V488" s="10" t="n">
        <f aca="false">S487*Inputs!$B$48*Inputs!$B$29</f>
        <v>169.896088092133</v>
      </c>
    </row>
    <row r="489" customFormat="false" ht="15" hidden="false" customHeight="false" outlineLevel="0" collapsed="false">
      <c r="A489" s="16" t="n">
        <v>488</v>
      </c>
      <c r="B489" s="16" t="n">
        <f aca="false">ROUNDUP(A489/12,0)</f>
        <v>41</v>
      </c>
      <c r="C489" s="10" t="n">
        <f aca="false">F488</f>
        <v>1.28693500300869E-010</v>
      </c>
      <c r="D489" s="10" t="n">
        <f aca="false">IF(AND(A489&lt;=Inputs!$B$9*12,C489&gt;0.000001),C489*Inputs!$B$10/12,0)</f>
        <v>0</v>
      </c>
      <c r="E489" s="10" t="n">
        <f aca="false">IF(AND(A489&lt;=Inputs!$B$9*12,C489&gt;0.000001),MIN(C489,Inputs!$B$41-D489),0)</f>
        <v>0</v>
      </c>
      <c r="F489" s="10" t="n">
        <f aca="false">C489-E489</f>
        <v>1.28693500300869E-010</v>
      </c>
      <c r="G489" s="10" t="n">
        <f aca="false">IF(AND(Inputs!$B$43=1,C489&gt;0.78*Inputs!$B$7,A489&lt;=Inputs!$B$9*6),Inputs!$B$16*Inputs!$B$39/12,0)</f>
        <v>0</v>
      </c>
      <c r="H489" s="10" t="n">
        <f aca="false">IF(B489=1,Inputs!$B$7,INDEX(Annual!$AC$2:$AC$51,B489-1))</f>
        <v>2400510.31396833</v>
      </c>
      <c r="I489" s="10" t="n">
        <f aca="false">Inputs!$B$12*IF(Inputs!$B$35="",H489,MIN(H489,Inputs!$B$7*(1+Inputs!$B$35)^(B489-1)))/12</f>
        <v>1800.38273547625</v>
      </c>
      <c r="J489" s="10" t="n">
        <f aca="false">Inputs!$B$13*Inputs!$B$7*(1+Inputs!$B$22)^(B489-1)/12</f>
        <v>628.757746859673</v>
      </c>
      <c r="K489" s="10" t="n">
        <f aca="false">Inputs!$B$14*Inputs!$B$7*(1+Inputs!$B$22)^(B489-1)/12</f>
        <v>1257.51549371935</v>
      </c>
      <c r="L489" s="10" t="n">
        <f aca="false">Inputs!$B$15*(1+Inputs!$B$22)^(B489-1)</f>
        <v>0</v>
      </c>
      <c r="M489" s="10" t="n">
        <f aca="false">INDEX(Annual!$N$2:$N$51,B489)/12</f>
        <v>0</v>
      </c>
      <c r="N489" s="10" t="n">
        <f aca="false">D489+E489+G489+I489+J489+K489+L489-M489</f>
        <v>3686.65597605527</v>
      </c>
      <c r="O489" s="10" t="n">
        <f aca="false">Inputs!$B$17*(1+Inputs!$B$18)^(B489-1)+Inputs!$B$19*(1+Inputs!$B$22)^(B489-1)</f>
        <v>9943.41986070562</v>
      </c>
      <c r="P489" s="10" t="n">
        <f aca="false">N489-O489</f>
        <v>-6256.76388465036</v>
      </c>
      <c r="Q489" s="10" t="n">
        <f aca="false">Q488*(1+Inputs!$B$42)-U489+MAX(P489,0)</f>
        <v>3082032.24003896</v>
      </c>
      <c r="R489" s="10" t="n">
        <f aca="false">R488+Q488*Inputs!$B$48-U489+MAX(P489,0)</f>
        <v>652514.015043517</v>
      </c>
      <c r="S489" s="10" t="n">
        <f aca="false">S488*(1+Inputs!$B$42)-V489+MAX(-P489,0)</f>
        <v>1261826.38262705</v>
      </c>
      <c r="T489" s="10" t="n">
        <f aca="false">T488+S488*Inputs!$B$48-V489+MAX(-P489,0)</f>
        <v>853672.358682015</v>
      </c>
      <c r="U489" s="10" t="n">
        <f aca="false">Q488*Inputs!$B$48*Inputs!$B$29</f>
        <v>421.454418431912</v>
      </c>
      <c r="V489" s="10" t="n">
        <f aca="false">S488*Inputs!$B$48*Inputs!$B$29</f>
        <v>171.693649596985</v>
      </c>
    </row>
    <row r="490" customFormat="false" ht="15" hidden="false" customHeight="false" outlineLevel="0" collapsed="false">
      <c r="A490" s="16" t="n">
        <v>489</v>
      </c>
      <c r="B490" s="16" t="n">
        <f aca="false">ROUNDUP(A490/12,0)</f>
        <v>41</v>
      </c>
      <c r="C490" s="10" t="n">
        <f aca="false">F489</f>
        <v>1.28693500300869E-010</v>
      </c>
      <c r="D490" s="10" t="n">
        <f aca="false">IF(AND(A490&lt;=Inputs!$B$9*12,C490&gt;0.000001),C490*Inputs!$B$10/12,0)</f>
        <v>0</v>
      </c>
      <c r="E490" s="10" t="n">
        <f aca="false">IF(AND(A490&lt;=Inputs!$B$9*12,C490&gt;0.000001),MIN(C490,Inputs!$B$41-D490),0)</f>
        <v>0</v>
      </c>
      <c r="F490" s="10" t="n">
        <f aca="false">C490-E490</f>
        <v>1.28693500300869E-010</v>
      </c>
      <c r="G490" s="10" t="n">
        <f aca="false">IF(AND(Inputs!$B$43=1,C490&gt;0.78*Inputs!$B$7,A490&lt;=Inputs!$B$9*6),Inputs!$B$16*Inputs!$B$39/12,0)</f>
        <v>0</v>
      </c>
      <c r="H490" s="10" t="n">
        <f aca="false">IF(B490=1,Inputs!$B$7,INDEX(Annual!$AC$2:$AC$51,B490-1))</f>
        <v>2400510.31396833</v>
      </c>
      <c r="I490" s="10" t="n">
        <f aca="false">Inputs!$B$12*IF(Inputs!$B$35="",H490,MIN(H490,Inputs!$B$7*(1+Inputs!$B$35)^(B490-1)))/12</f>
        <v>1800.38273547625</v>
      </c>
      <c r="J490" s="10" t="n">
        <f aca="false">Inputs!$B$13*Inputs!$B$7*(1+Inputs!$B$22)^(B490-1)/12</f>
        <v>628.757746859673</v>
      </c>
      <c r="K490" s="10" t="n">
        <f aca="false">Inputs!$B$14*Inputs!$B$7*(1+Inputs!$B$22)^(B490-1)/12</f>
        <v>1257.51549371935</v>
      </c>
      <c r="L490" s="10" t="n">
        <f aca="false">Inputs!$B$15*(1+Inputs!$B$22)^(B490-1)</f>
        <v>0</v>
      </c>
      <c r="M490" s="10" t="n">
        <f aca="false">INDEX(Annual!$N$2:$N$51,B490)/12</f>
        <v>0</v>
      </c>
      <c r="N490" s="10" t="n">
        <f aca="false">D490+E490+G490+I490+J490+K490+L490-M490</f>
        <v>3686.65597605527</v>
      </c>
      <c r="O490" s="10" t="n">
        <f aca="false">Inputs!$B$17*(1+Inputs!$B$18)^(B490-1)+Inputs!$B$19*(1+Inputs!$B$22)^(B490-1)</f>
        <v>9943.41986070562</v>
      </c>
      <c r="P490" s="10" t="n">
        <f aca="false">N490-O490</f>
        <v>-6256.76388465036</v>
      </c>
      <c r="Q490" s="10" t="n">
        <f aca="false">Q489*(1+Inputs!$B$42)-U490+MAX(P490,0)</f>
        <v>3099034.7189798</v>
      </c>
      <c r="R490" s="10" t="n">
        <f aca="false">R489+Q489*Inputs!$B$48-U490+MAX(P490,0)</f>
        <v>654915.431830547</v>
      </c>
      <c r="S490" s="10" t="n">
        <f aca="false">S489*(1+Inputs!$B$42)-V490+MAX(-P490,0)</f>
        <v>1275044.19520513</v>
      </c>
      <c r="T490" s="10" t="n">
        <f aca="false">T489+S489*Inputs!$B$48-V490+MAX(-P490,0)</f>
        <v>860912.295623129</v>
      </c>
      <c r="U490" s="10" t="n">
        <f aca="false">Q489*Inputs!$B$48*Inputs!$B$29</f>
        <v>423.779433005356</v>
      </c>
      <c r="V490" s="10" t="n">
        <f aca="false">S489*Inputs!$B$48*Inputs!$B$29</f>
        <v>173.50112761122</v>
      </c>
    </row>
    <row r="491" customFormat="false" ht="15" hidden="false" customHeight="false" outlineLevel="0" collapsed="false">
      <c r="A491" s="16" t="n">
        <v>490</v>
      </c>
      <c r="B491" s="16" t="n">
        <f aca="false">ROUNDUP(A491/12,0)</f>
        <v>41</v>
      </c>
      <c r="C491" s="10" t="n">
        <f aca="false">F490</f>
        <v>1.28693500300869E-010</v>
      </c>
      <c r="D491" s="10" t="n">
        <f aca="false">IF(AND(A491&lt;=Inputs!$B$9*12,C491&gt;0.000001),C491*Inputs!$B$10/12,0)</f>
        <v>0</v>
      </c>
      <c r="E491" s="10" t="n">
        <f aca="false">IF(AND(A491&lt;=Inputs!$B$9*12,C491&gt;0.000001),MIN(C491,Inputs!$B$41-D491),0)</f>
        <v>0</v>
      </c>
      <c r="F491" s="10" t="n">
        <f aca="false">C491-E491</f>
        <v>1.28693500300869E-010</v>
      </c>
      <c r="G491" s="10" t="n">
        <f aca="false">IF(AND(Inputs!$B$43=1,C491&gt;0.78*Inputs!$B$7,A491&lt;=Inputs!$B$9*6),Inputs!$B$16*Inputs!$B$39/12,0)</f>
        <v>0</v>
      </c>
      <c r="H491" s="10" t="n">
        <f aca="false">IF(B491=1,Inputs!$B$7,INDEX(Annual!$AC$2:$AC$51,B491-1))</f>
        <v>2400510.31396833</v>
      </c>
      <c r="I491" s="10" t="n">
        <f aca="false">Inputs!$B$12*IF(Inputs!$B$35="",H491,MIN(H491,Inputs!$B$7*(1+Inputs!$B$35)^(B491-1)))/12</f>
        <v>1800.38273547625</v>
      </c>
      <c r="J491" s="10" t="n">
        <f aca="false">Inputs!$B$13*Inputs!$B$7*(1+Inputs!$B$22)^(B491-1)/12</f>
        <v>628.757746859673</v>
      </c>
      <c r="K491" s="10" t="n">
        <f aca="false">Inputs!$B$14*Inputs!$B$7*(1+Inputs!$B$22)^(B491-1)/12</f>
        <v>1257.51549371935</v>
      </c>
      <c r="L491" s="10" t="n">
        <f aca="false">Inputs!$B$15*(1+Inputs!$B$22)^(B491-1)</f>
        <v>0</v>
      </c>
      <c r="M491" s="10" t="n">
        <f aca="false">INDEX(Annual!$N$2:$N$51,B491)/12</f>
        <v>0</v>
      </c>
      <c r="N491" s="10" t="n">
        <f aca="false">D491+E491+G491+I491+J491+K491+L491-M491</f>
        <v>3686.65597605527</v>
      </c>
      <c r="O491" s="10" t="n">
        <f aca="false">Inputs!$B$17*(1+Inputs!$B$18)^(B491-1)+Inputs!$B$19*(1+Inputs!$B$22)^(B491-1)</f>
        <v>9943.41986070562</v>
      </c>
      <c r="P491" s="10" t="n">
        <f aca="false">N491-O491</f>
        <v>-6256.76388465036</v>
      </c>
      <c r="Q491" s="10" t="n">
        <f aca="false">Q490*(1+Inputs!$B$42)-U491+MAX(P491,0)</f>
        <v>3116130.99456767</v>
      </c>
      <c r="R491" s="10" t="n">
        <f aca="false">R490+Q490*Inputs!$B$48-U491+MAX(P491,0)</f>
        <v>657330.096382419</v>
      </c>
      <c r="S491" s="10" t="n">
        <f aca="false">S490*(1+Inputs!$B$42)-V491+MAX(-P491,0)</f>
        <v>1288334.925768</v>
      </c>
      <c r="T491" s="10" t="n">
        <f aca="false">T490+S490*Inputs!$B$48-V491+MAX(-P491,0)</f>
        <v>868162.53144321</v>
      </c>
      <c r="U491" s="10" t="n">
        <f aca="false">Q490*Inputs!$B$48*Inputs!$B$29</f>
        <v>426.117273859723</v>
      </c>
      <c r="V491" s="10" t="n">
        <f aca="false">S490*Inputs!$B$48*Inputs!$B$29</f>
        <v>175.318576840705</v>
      </c>
    </row>
    <row r="492" customFormat="false" ht="15" hidden="false" customHeight="false" outlineLevel="0" collapsed="false">
      <c r="A492" s="16" t="n">
        <v>491</v>
      </c>
      <c r="B492" s="16" t="n">
        <f aca="false">ROUNDUP(A492/12,0)</f>
        <v>41</v>
      </c>
      <c r="C492" s="10" t="n">
        <f aca="false">F491</f>
        <v>1.28693500300869E-010</v>
      </c>
      <c r="D492" s="10" t="n">
        <f aca="false">IF(AND(A492&lt;=Inputs!$B$9*12,C492&gt;0.000001),C492*Inputs!$B$10/12,0)</f>
        <v>0</v>
      </c>
      <c r="E492" s="10" t="n">
        <f aca="false">IF(AND(A492&lt;=Inputs!$B$9*12,C492&gt;0.000001),MIN(C492,Inputs!$B$41-D492),0)</f>
        <v>0</v>
      </c>
      <c r="F492" s="10" t="n">
        <f aca="false">C492-E492</f>
        <v>1.28693500300869E-010</v>
      </c>
      <c r="G492" s="10" t="n">
        <f aca="false">IF(AND(Inputs!$B$43=1,C492&gt;0.78*Inputs!$B$7,A492&lt;=Inputs!$B$9*6),Inputs!$B$16*Inputs!$B$39/12,0)</f>
        <v>0</v>
      </c>
      <c r="H492" s="10" t="n">
        <f aca="false">IF(B492=1,Inputs!$B$7,INDEX(Annual!$AC$2:$AC$51,B492-1))</f>
        <v>2400510.31396833</v>
      </c>
      <c r="I492" s="10" t="n">
        <f aca="false">Inputs!$B$12*IF(Inputs!$B$35="",H492,MIN(H492,Inputs!$B$7*(1+Inputs!$B$35)^(B492-1)))/12</f>
        <v>1800.38273547625</v>
      </c>
      <c r="J492" s="10" t="n">
        <f aca="false">Inputs!$B$13*Inputs!$B$7*(1+Inputs!$B$22)^(B492-1)/12</f>
        <v>628.757746859673</v>
      </c>
      <c r="K492" s="10" t="n">
        <f aca="false">Inputs!$B$14*Inputs!$B$7*(1+Inputs!$B$22)^(B492-1)/12</f>
        <v>1257.51549371935</v>
      </c>
      <c r="L492" s="10" t="n">
        <f aca="false">Inputs!$B$15*(1+Inputs!$B$22)^(B492-1)</f>
        <v>0</v>
      </c>
      <c r="M492" s="10" t="n">
        <f aca="false">INDEX(Annual!$N$2:$N$51,B492)/12</f>
        <v>0</v>
      </c>
      <c r="N492" s="10" t="n">
        <f aca="false">D492+E492+G492+I492+J492+K492+L492-M492</f>
        <v>3686.65597605527</v>
      </c>
      <c r="O492" s="10" t="n">
        <f aca="false">Inputs!$B$17*(1+Inputs!$B$18)^(B492-1)+Inputs!$B$19*(1+Inputs!$B$22)^(B492-1)</f>
        <v>9943.41986070562</v>
      </c>
      <c r="P492" s="10" t="n">
        <f aca="false">N492-O492</f>
        <v>-6256.76388465036</v>
      </c>
      <c r="Q492" s="10" t="n">
        <f aca="false">Q491*(1+Inputs!$B$42)-U492+MAX(P492,0)</f>
        <v>3133321.5842454</v>
      </c>
      <c r="R492" s="10" t="n">
        <f aca="false">R491+Q491*Inputs!$B$48-U492+MAX(P492,0)</f>
        <v>659758.081782353</v>
      </c>
      <c r="S492" s="10" t="n">
        <f aca="false">S491*(1+Inputs!$B$42)-V492+MAX(-P492,0)</f>
        <v>1301698.97657832</v>
      </c>
      <c r="T492" s="10" t="n">
        <f aca="false">T491+S491*Inputs!$B$48-V492+MAX(-P492,0)</f>
        <v>875423.122957521</v>
      </c>
      <c r="U492" s="10" t="n">
        <f aca="false">Q491*Inputs!$B$48*Inputs!$B$29</f>
        <v>428.468011753055</v>
      </c>
      <c r="V492" s="10" t="n">
        <f aca="false">S491*Inputs!$B$48*Inputs!$B$29</f>
        <v>177.1460522931</v>
      </c>
    </row>
    <row r="493" customFormat="false" ht="15" hidden="false" customHeight="false" outlineLevel="0" collapsed="false">
      <c r="A493" s="16" t="n">
        <v>492</v>
      </c>
      <c r="B493" s="16" t="n">
        <f aca="false">ROUNDUP(A493/12,0)</f>
        <v>41</v>
      </c>
      <c r="C493" s="10" t="n">
        <f aca="false">F492</f>
        <v>1.28693500300869E-010</v>
      </c>
      <c r="D493" s="10" t="n">
        <f aca="false">IF(AND(A493&lt;=Inputs!$B$9*12,C493&gt;0.000001),C493*Inputs!$B$10/12,0)</f>
        <v>0</v>
      </c>
      <c r="E493" s="10" t="n">
        <f aca="false">IF(AND(A493&lt;=Inputs!$B$9*12,C493&gt;0.000001),MIN(C493,Inputs!$B$41-D493),0)</f>
        <v>0</v>
      </c>
      <c r="F493" s="10" t="n">
        <f aca="false">C493-E493</f>
        <v>1.28693500300869E-010</v>
      </c>
      <c r="G493" s="10" t="n">
        <f aca="false">IF(AND(Inputs!$B$43=1,C493&gt;0.78*Inputs!$B$7,A493&lt;=Inputs!$B$9*6),Inputs!$B$16*Inputs!$B$39/12,0)</f>
        <v>0</v>
      </c>
      <c r="H493" s="10" t="n">
        <f aca="false">IF(B493=1,Inputs!$B$7,INDEX(Annual!$AC$2:$AC$51,B493-1))</f>
        <v>2400510.31396833</v>
      </c>
      <c r="I493" s="10" t="n">
        <f aca="false">Inputs!$B$12*IF(Inputs!$B$35="",H493,MIN(H493,Inputs!$B$7*(1+Inputs!$B$35)^(B493-1)))/12</f>
        <v>1800.38273547625</v>
      </c>
      <c r="J493" s="10" t="n">
        <f aca="false">Inputs!$B$13*Inputs!$B$7*(1+Inputs!$B$22)^(B493-1)/12</f>
        <v>628.757746859673</v>
      </c>
      <c r="K493" s="10" t="n">
        <f aca="false">Inputs!$B$14*Inputs!$B$7*(1+Inputs!$B$22)^(B493-1)/12</f>
        <v>1257.51549371935</v>
      </c>
      <c r="L493" s="10" t="n">
        <f aca="false">Inputs!$B$15*(1+Inputs!$B$22)^(B493-1)</f>
        <v>0</v>
      </c>
      <c r="M493" s="10" t="n">
        <f aca="false">INDEX(Annual!$N$2:$N$51,B493)/12</f>
        <v>0</v>
      </c>
      <c r="N493" s="10" t="n">
        <f aca="false">D493+E493+G493+I493+J493+K493+L493-M493</f>
        <v>3686.65597605527</v>
      </c>
      <c r="O493" s="10" t="n">
        <f aca="false">Inputs!$B$17*(1+Inputs!$B$18)^(B493-1)+Inputs!$B$19*(1+Inputs!$B$22)^(B493-1)</f>
        <v>9943.41986070562</v>
      </c>
      <c r="P493" s="10" t="n">
        <f aca="false">N493-O493</f>
        <v>-6256.76388465036</v>
      </c>
      <c r="Q493" s="10" t="n">
        <f aca="false">Q492*(1+Inputs!$B$42)-U493+MAX(P493,0)</f>
        <v>3150607.00831039</v>
      </c>
      <c r="R493" s="10" t="n">
        <f aca="false">R492+Q492*Inputs!$B$48-U493+MAX(P493,0)</f>
        <v>662199.461516744</v>
      </c>
      <c r="S493" s="10" t="n">
        <f aca="false">S492*(1+Inputs!$B$42)-V493+MAX(-P493,0)</f>
        <v>1315136.7521179</v>
      </c>
      <c r="T493" s="10" t="n">
        <f aca="false">T492+S492*Inputs!$B$48-V493+MAX(-P493,0)</f>
        <v>882694.127294755</v>
      </c>
      <c r="U493" s="10" t="n">
        <f aca="false">Q492*Inputs!$B$48*Inputs!$B$29</f>
        <v>430.831717833743</v>
      </c>
      <c r="V493" s="10" t="n">
        <f aca="false">S492*Inputs!$B$48*Inputs!$B$29</f>
        <v>178.983609279519</v>
      </c>
    </row>
    <row r="494" customFormat="false" ht="15" hidden="false" customHeight="false" outlineLevel="0" collapsed="false">
      <c r="A494" s="16" t="n">
        <v>493</v>
      </c>
      <c r="B494" s="16" t="n">
        <f aca="false">ROUNDUP(A494/12,0)</f>
        <v>42</v>
      </c>
      <c r="C494" s="10" t="n">
        <f aca="false">F493</f>
        <v>1.28693500300869E-010</v>
      </c>
      <c r="D494" s="10" t="n">
        <f aca="false">IF(AND(A494&lt;=Inputs!$B$9*12,C494&gt;0.000001),C494*Inputs!$B$10/12,0)</f>
        <v>0</v>
      </c>
      <c r="E494" s="10" t="n">
        <f aca="false">IF(AND(A494&lt;=Inputs!$B$9*12,C494&gt;0.000001),MIN(C494,Inputs!$B$41-D494),0)</f>
        <v>0</v>
      </c>
      <c r="F494" s="10" t="n">
        <f aca="false">C494-E494</f>
        <v>1.28693500300869E-010</v>
      </c>
      <c r="G494" s="10" t="n">
        <f aca="false">IF(AND(Inputs!$B$43=1,C494&gt;0.78*Inputs!$B$7,A494&lt;=Inputs!$B$9*6),Inputs!$B$16*Inputs!$B$39/12,0)</f>
        <v>0</v>
      </c>
      <c r="H494" s="10" t="n">
        <f aca="false">IF(B494=1,Inputs!$B$7,INDEX(Annual!$AC$2:$AC$51,B494-1))</f>
        <v>2496530.72652706</v>
      </c>
      <c r="I494" s="10" t="n">
        <f aca="false">Inputs!$B$12*IF(Inputs!$B$35="",H494,MIN(H494,Inputs!$B$7*(1+Inputs!$B$35)^(B494-1)))/12</f>
        <v>1872.3980448953</v>
      </c>
      <c r="J494" s="10" t="n">
        <f aca="false">Inputs!$B$13*Inputs!$B$7*(1+Inputs!$B$22)^(B494-1)/12</f>
        <v>646.362963771744</v>
      </c>
      <c r="K494" s="10" t="n">
        <f aca="false">Inputs!$B$14*Inputs!$B$7*(1+Inputs!$B$22)^(B494-1)/12</f>
        <v>1292.72592754349</v>
      </c>
      <c r="L494" s="10" t="n">
        <f aca="false">Inputs!$B$15*(1+Inputs!$B$22)^(B494-1)</f>
        <v>0</v>
      </c>
      <c r="M494" s="10" t="n">
        <f aca="false">INDEX(Annual!$N$2:$N$51,B494)/12</f>
        <v>0</v>
      </c>
      <c r="N494" s="10" t="n">
        <f aca="false">D494+E494+G494+I494+J494+K494+L494-M494</f>
        <v>3811.48693621053</v>
      </c>
      <c r="O494" s="10" t="n">
        <f aca="false">Inputs!$B$17*(1+Inputs!$B$18)^(B494-1)+Inputs!$B$19*(1+Inputs!$B$22)^(B494-1)</f>
        <v>10291.1226619259</v>
      </c>
      <c r="P494" s="10" t="n">
        <f aca="false">N494-O494</f>
        <v>-6479.63572571537</v>
      </c>
      <c r="Q494" s="10" t="n">
        <f aca="false">Q493*(1+Inputs!$B$42)-U494+MAX(P494,0)</f>
        <v>3167987.78993031</v>
      </c>
      <c r="R494" s="10" t="n">
        <f aca="false">R493+Q493*Inputs!$B$48-U494+MAX(P494,0)</f>
        <v>664654.309477386</v>
      </c>
      <c r="S494" s="10" t="n">
        <f aca="false">S493*(1+Inputs!$B$42)-V494+MAX(-P494,0)</f>
        <v>1328871.53094099</v>
      </c>
      <c r="T494" s="10" t="n">
        <f aca="false">T493+S493*Inputs!$B$48-V494+MAX(-P494,0)</f>
        <v>890198.473739829</v>
      </c>
      <c r="U494" s="10" t="n">
        <f aca="false">Q493*Inputs!$B$48*Inputs!$B$29</f>
        <v>433.208463642678</v>
      </c>
      <c r="V494" s="10" t="n">
        <f aca="false">S493*Inputs!$B$48*Inputs!$B$29</f>
        <v>180.831303416211</v>
      </c>
    </row>
    <row r="495" customFormat="false" ht="15" hidden="false" customHeight="false" outlineLevel="0" collapsed="false">
      <c r="A495" s="16" t="n">
        <v>494</v>
      </c>
      <c r="B495" s="16" t="n">
        <f aca="false">ROUNDUP(A495/12,0)</f>
        <v>42</v>
      </c>
      <c r="C495" s="10" t="n">
        <f aca="false">F494</f>
        <v>1.28693500300869E-010</v>
      </c>
      <c r="D495" s="10" t="n">
        <f aca="false">IF(AND(A495&lt;=Inputs!$B$9*12,C495&gt;0.000001),C495*Inputs!$B$10/12,0)</f>
        <v>0</v>
      </c>
      <c r="E495" s="10" t="n">
        <f aca="false">IF(AND(A495&lt;=Inputs!$B$9*12,C495&gt;0.000001),MIN(C495,Inputs!$B$41-D495),0)</f>
        <v>0</v>
      </c>
      <c r="F495" s="10" t="n">
        <f aca="false">C495-E495</f>
        <v>1.28693500300869E-010</v>
      </c>
      <c r="G495" s="10" t="n">
        <f aca="false">IF(AND(Inputs!$B$43=1,C495&gt;0.78*Inputs!$B$7,A495&lt;=Inputs!$B$9*6),Inputs!$B$16*Inputs!$B$39/12,0)</f>
        <v>0</v>
      </c>
      <c r="H495" s="10" t="n">
        <f aca="false">IF(B495=1,Inputs!$B$7,INDEX(Annual!$AC$2:$AC$51,B495-1))</f>
        <v>2496530.72652706</v>
      </c>
      <c r="I495" s="10" t="n">
        <f aca="false">Inputs!$B$12*IF(Inputs!$B$35="",H495,MIN(H495,Inputs!$B$7*(1+Inputs!$B$35)^(B495-1)))/12</f>
        <v>1872.3980448953</v>
      </c>
      <c r="J495" s="10" t="n">
        <f aca="false">Inputs!$B$13*Inputs!$B$7*(1+Inputs!$B$22)^(B495-1)/12</f>
        <v>646.362963771744</v>
      </c>
      <c r="K495" s="10" t="n">
        <f aca="false">Inputs!$B$14*Inputs!$B$7*(1+Inputs!$B$22)^(B495-1)/12</f>
        <v>1292.72592754349</v>
      </c>
      <c r="L495" s="10" t="n">
        <f aca="false">Inputs!$B$15*(1+Inputs!$B$22)^(B495-1)</f>
        <v>0</v>
      </c>
      <c r="M495" s="10" t="n">
        <f aca="false">INDEX(Annual!$N$2:$N$51,B495)/12</f>
        <v>0</v>
      </c>
      <c r="N495" s="10" t="n">
        <f aca="false">D495+E495+G495+I495+J495+K495+L495-M495</f>
        <v>3811.48693621053</v>
      </c>
      <c r="O495" s="10" t="n">
        <f aca="false">Inputs!$B$17*(1+Inputs!$B$18)^(B495-1)+Inputs!$B$19*(1+Inputs!$B$22)^(B495-1)</f>
        <v>10291.1226619259</v>
      </c>
      <c r="P495" s="10" t="n">
        <f aca="false">N495-O495</f>
        <v>-6479.63572571537</v>
      </c>
      <c r="Q495" s="10" t="n">
        <f aca="false">Q494*(1+Inputs!$B$42)-U495+MAX(P495,0)</f>
        <v>3185464.45515898</v>
      </c>
      <c r="R495" s="10" t="n">
        <f aca="false">R494+Q494*Inputs!$B$48-U495+MAX(P495,0)</f>
        <v>667122.699963706</v>
      </c>
      <c r="S495" s="10" t="n">
        <f aca="false">S494*(1+Inputs!$B$42)-V495+MAX(-P495,0)</f>
        <v>1342682.07966833</v>
      </c>
      <c r="T495" s="10" t="n">
        <f aca="false">T494+S494*Inputs!$B$48-V495+MAX(-P495,0)</f>
        <v>897713.521866736</v>
      </c>
      <c r="U495" s="10" t="n">
        <f aca="false">Q494*Inputs!$B$48*Inputs!$B$29</f>
        <v>435.598321115418</v>
      </c>
      <c r="V495" s="10" t="n">
        <f aca="false">S494*Inputs!$B$48*Inputs!$B$29</f>
        <v>182.719835504387</v>
      </c>
    </row>
    <row r="496" customFormat="false" ht="15" hidden="false" customHeight="false" outlineLevel="0" collapsed="false">
      <c r="A496" s="16" t="n">
        <v>495</v>
      </c>
      <c r="B496" s="16" t="n">
        <f aca="false">ROUNDUP(A496/12,0)</f>
        <v>42</v>
      </c>
      <c r="C496" s="10" t="n">
        <f aca="false">F495</f>
        <v>1.28693500300869E-010</v>
      </c>
      <c r="D496" s="10" t="n">
        <f aca="false">IF(AND(A496&lt;=Inputs!$B$9*12,C496&gt;0.000001),C496*Inputs!$B$10/12,0)</f>
        <v>0</v>
      </c>
      <c r="E496" s="10" t="n">
        <f aca="false">IF(AND(A496&lt;=Inputs!$B$9*12,C496&gt;0.000001),MIN(C496,Inputs!$B$41-D496),0)</f>
        <v>0</v>
      </c>
      <c r="F496" s="10" t="n">
        <f aca="false">C496-E496</f>
        <v>1.28693500300869E-010</v>
      </c>
      <c r="G496" s="10" t="n">
        <f aca="false">IF(AND(Inputs!$B$43=1,C496&gt;0.78*Inputs!$B$7,A496&lt;=Inputs!$B$9*6),Inputs!$B$16*Inputs!$B$39/12,0)</f>
        <v>0</v>
      </c>
      <c r="H496" s="10" t="n">
        <f aca="false">IF(B496=1,Inputs!$B$7,INDEX(Annual!$AC$2:$AC$51,B496-1))</f>
        <v>2496530.72652706</v>
      </c>
      <c r="I496" s="10" t="n">
        <f aca="false">Inputs!$B$12*IF(Inputs!$B$35="",H496,MIN(H496,Inputs!$B$7*(1+Inputs!$B$35)^(B496-1)))/12</f>
        <v>1872.3980448953</v>
      </c>
      <c r="J496" s="10" t="n">
        <f aca="false">Inputs!$B$13*Inputs!$B$7*(1+Inputs!$B$22)^(B496-1)/12</f>
        <v>646.362963771744</v>
      </c>
      <c r="K496" s="10" t="n">
        <f aca="false">Inputs!$B$14*Inputs!$B$7*(1+Inputs!$B$22)^(B496-1)/12</f>
        <v>1292.72592754349</v>
      </c>
      <c r="L496" s="10" t="n">
        <f aca="false">Inputs!$B$15*(1+Inputs!$B$22)^(B496-1)</f>
        <v>0</v>
      </c>
      <c r="M496" s="10" t="n">
        <f aca="false">INDEX(Annual!$N$2:$N$51,B496)/12</f>
        <v>0</v>
      </c>
      <c r="N496" s="10" t="n">
        <f aca="false">D496+E496+G496+I496+J496+K496+L496-M496</f>
        <v>3811.48693621053</v>
      </c>
      <c r="O496" s="10" t="n">
        <f aca="false">Inputs!$B$17*(1+Inputs!$B$18)^(B496-1)+Inputs!$B$19*(1+Inputs!$B$22)^(B496-1)</f>
        <v>10291.1226619259</v>
      </c>
      <c r="P496" s="10" t="n">
        <f aca="false">N496-O496</f>
        <v>-6479.63572571537</v>
      </c>
      <c r="Q496" s="10" t="n">
        <f aca="false">Q495*(1+Inputs!$B$42)-U496+MAX(P496,0)</f>
        <v>3203037.53295228</v>
      </c>
      <c r="R496" s="10" t="n">
        <f aca="false">R495+Q495*Inputs!$B$48-U496+MAX(P496,0)</f>
        <v>669604.707685018</v>
      </c>
      <c r="S496" s="10" t="n">
        <f aca="false">S495*(1+Inputs!$B$42)-V496+MAX(-P496,0)</f>
        <v>1356568.8162956</v>
      </c>
      <c r="T496" s="10" t="n">
        <f aca="false">T495+S495*Inputs!$B$48-V496+MAX(-P496,0)</f>
        <v>905239.33071286</v>
      </c>
      <c r="U496" s="10" t="n">
        <f aca="false">Q495*Inputs!$B$48*Inputs!$B$29</f>
        <v>438.00136258436</v>
      </c>
      <c r="V496" s="10" t="n">
        <f aca="false">S495*Inputs!$B$48*Inputs!$B$29</f>
        <v>184.618785954395</v>
      </c>
    </row>
    <row r="497" customFormat="false" ht="15" hidden="false" customHeight="false" outlineLevel="0" collapsed="false">
      <c r="A497" s="16" t="n">
        <v>496</v>
      </c>
      <c r="B497" s="16" t="n">
        <f aca="false">ROUNDUP(A497/12,0)</f>
        <v>42</v>
      </c>
      <c r="C497" s="10" t="n">
        <f aca="false">F496</f>
        <v>1.28693500300869E-010</v>
      </c>
      <c r="D497" s="10" t="n">
        <f aca="false">IF(AND(A497&lt;=Inputs!$B$9*12,C497&gt;0.000001),C497*Inputs!$B$10/12,0)</f>
        <v>0</v>
      </c>
      <c r="E497" s="10" t="n">
        <f aca="false">IF(AND(A497&lt;=Inputs!$B$9*12,C497&gt;0.000001),MIN(C497,Inputs!$B$41-D497),0)</f>
        <v>0</v>
      </c>
      <c r="F497" s="10" t="n">
        <f aca="false">C497-E497</f>
        <v>1.28693500300869E-010</v>
      </c>
      <c r="G497" s="10" t="n">
        <f aca="false">IF(AND(Inputs!$B$43=1,C497&gt;0.78*Inputs!$B$7,A497&lt;=Inputs!$B$9*6),Inputs!$B$16*Inputs!$B$39/12,0)</f>
        <v>0</v>
      </c>
      <c r="H497" s="10" t="n">
        <f aca="false">IF(B497=1,Inputs!$B$7,INDEX(Annual!$AC$2:$AC$51,B497-1))</f>
        <v>2496530.72652706</v>
      </c>
      <c r="I497" s="10" t="n">
        <f aca="false">Inputs!$B$12*IF(Inputs!$B$35="",H497,MIN(H497,Inputs!$B$7*(1+Inputs!$B$35)^(B497-1)))/12</f>
        <v>1872.3980448953</v>
      </c>
      <c r="J497" s="10" t="n">
        <f aca="false">Inputs!$B$13*Inputs!$B$7*(1+Inputs!$B$22)^(B497-1)/12</f>
        <v>646.362963771744</v>
      </c>
      <c r="K497" s="10" t="n">
        <f aca="false">Inputs!$B$14*Inputs!$B$7*(1+Inputs!$B$22)^(B497-1)/12</f>
        <v>1292.72592754349</v>
      </c>
      <c r="L497" s="10" t="n">
        <f aca="false">Inputs!$B$15*(1+Inputs!$B$22)^(B497-1)</f>
        <v>0</v>
      </c>
      <c r="M497" s="10" t="n">
        <f aca="false">INDEX(Annual!$N$2:$N$51,B497)/12</f>
        <v>0</v>
      </c>
      <c r="N497" s="10" t="n">
        <f aca="false">D497+E497+G497+I497+J497+K497+L497-M497</f>
        <v>3811.48693621053</v>
      </c>
      <c r="O497" s="10" t="n">
        <f aca="false">Inputs!$B$17*(1+Inputs!$B$18)^(B497-1)+Inputs!$B$19*(1+Inputs!$B$22)^(B497-1)</f>
        <v>10291.1226619259</v>
      </c>
      <c r="P497" s="10" t="n">
        <f aca="false">N497-O497</f>
        <v>-6479.63572571537</v>
      </c>
      <c r="Q497" s="10" t="n">
        <f aca="false">Q496*(1+Inputs!$B$42)-U497+MAX(P497,0)</f>
        <v>3220707.55518413</v>
      </c>
      <c r="R497" s="10" t="n">
        <f aca="false">R496+Q496*Inputs!$B$48-U497+MAX(P497,0)</f>
        <v>672100.407762776</v>
      </c>
      <c r="S497" s="10" t="n">
        <f aca="false">S496*(1+Inputs!$B$42)-V497+MAX(-P497,0)</f>
        <v>1370532.16112443</v>
      </c>
      <c r="T497" s="10" t="n">
        <f aca="false">T496+S496*Inputs!$B$48-V497+MAX(-P497,0)</f>
        <v>912775.959641272</v>
      </c>
      <c r="U497" s="10" t="n">
        <f aca="false">Q496*Inputs!$B$48*Inputs!$B$29</f>
        <v>440.417660780939</v>
      </c>
      <c r="V497" s="10" t="n">
        <f aca="false">S496*Inputs!$B$48*Inputs!$B$29</f>
        <v>186.528212240645</v>
      </c>
    </row>
    <row r="498" customFormat="false" ht="15" hidden="false" customHeight="false" outlineLevel="0" collapsed="false">
      <c r="A498" s="16" t="n">
        <v>497</v>
      </c>
      <c r="B498" s="16" t="n">
        <f aca="false">ROUNDUP(A498/12,0)</f>
        <v>42</v>
      </c>
      <c r="C498" s="10" t="n">
        <f aca="false">F497</f>
        <v>1.28693500300869E-010</v>
      </c>
      <c r="D498" s="10" t="n">
        <f aca="false">IF(AND(A498&lt;=Inputs!$B$9*12,C498&gt;0.000001),C498*Inputs!$B$10/12,0)</f>
        <v>0</v>
      </c>
      <c r="E498" s="10" t="n">
        <f aca="false">IF(AND(A498&lt;=Inputs!$B$9*12,C498&gt;0.000001),MIN(C498,Inputs!$B$41-D498),0)</f>
        <v>0</v>
      </c>
      <c r="F498" s="10" t="n">
        <f aca="false">C498-E498</f>
        <v>1.28693500300869E-010</v>
      </c>
      <c r="G498" s="10" t="n">
        <f aca="false">IF(AND(Inputs!$B$43=1,C498&gt;0.78*Inputs!$B$7,A498&lt;=Inputs!$B$9*6),Inputs!$B$16*Inputs!$B$39/12,0)</f>
        <v>0</v>
      </c>
      <c r="H498" s="10" t="n">
        <f aca="false">IF(B498=1,Inputs!$B$7,INDEX(Annual!$AC$2:$AC$51,B498-1))</f>
        <v>2496530.72652706</v>
      </c>
      <c r="I498" s="10" t="n">
        <f aca="false">Inputs!$B$12*IF(Inputs!$B$35="",H498,MIN(H498,Inputs!$B$7*(1+Inputs!$B$35)^(B498-1)))/12</f>
        <v>1872.3980448953</v>
      </c>
      <c r="J498" s="10" t="n">
        <f aca="false">Inputs!$B$13*Inputs!$B$7*(1+Inputs!$B$22)^(B498-1)/12</f>
        <v>646.362963771744</v>
      </c>
      <c r="K498" s="10" t="n">
        <f aca="false">Inputs!$B$14*Inputs!$B$7*(1+Inputs!$B$22)^(B498-1)/12</f>
        <v>1292.72592754349</v>
      </c>
      <c r="L498" s="10" t="n">
        <f aca="false">Inputs!$B$15*(1+Inputs!$B$22)^(B498-1)</f>
        <v>0</v>
      </c>
      <c r="M498" s="10" t="n">
        <f aca="false">INDEX(Annual!$N$2:$N$51,B498)/12</f>
        <v>0</v>
      </c>
      <c r="N498" s="10" t="n">
        <f aca="false">D498+E498+G498+I498+J498+K498+L498-M498</f>
        <v>3811.48693621053</v>
      </c>
      <c r="O498" s="10" t="n">
        <f aca="false">Inputs!$B$17*(1+Inputs!$B$18)^(B498-1)+Inputs!$B$19*(1+Inputs!$B$22)^(B498-1)</f>
        <v>10291.1226619259</v>
      </c>
      <c r="P498" s="10" t="n">
        <f aca="false">N498-O498</f>
        <v>-6479.63572571537</v>
      </c>
      <c r="Q498" s="10" t="n">
        <f aca="false">Q497*(1+Inputs!$B$42)-U498+MAX(P498,0)</f>
        <v>3238475.05666262</v>
      </c>
      <c r="R498" s="10" t="n">
        <f aca="false">R497+Q497*Inputs!$B$48-U498+MAX(P498,0)</f>
        <v>674609.875732857</v>
      </c>
      <c r="S498" s="10" t="n">
        <f aca="false">S497*(1+Inputs!$B$42)-V498+MAX(-P498,0)</f>
        <v>1384572.5367751</v>
      </c>
      <c r="T498" s="10" t="n">
        <f aca="false">T497+S497*Inputs!$B$48-V498+MAX(-P498,0)</f>
        <v>920323.46834253</v>
      </c>
      <c r="U498" s="10" t="n">
        <f aca="false">Q497*Inputs!$B$48*Inputs!$B$29</f>
        <v>442.847288837818</v>
      </c>
      <c r="V498" s="10" t="n">
        <f aca="false">S497*Inputs!$B$48*Inputs!$B$29</f>
        <v>188.448172154609</v>
      </c>
    </row>
    <row r="499" customFormat="false" ht="15" hidden="false" customHeight="false" outlineLevel="0" collapsed="false">
      <c r="A499" s="16" t="n">
        <v>498</v>
      </c>
      <c r="B499" s="16" t="n">
        <f aca="false">ROUNDUP(A499/12,0)</f>
        <v>42</v>
      </c>
      <c r="C499" s="10" t="n">
        <f aca="false">F498</f>
        <v>1.28693500300869E-010</v>
      </c>
      <c r="D499" s="10" t="n">
        <f aca="false">IF(AND(A499&lt;=Inputs!$B$9*12,C499&gt;0.000001),C499*Inputs!$B$10/12,0)</f>
        <v>0</v>
      </c>
      <c r="E499" s="10" t="n">
        <f aca="false">IF(AND(A499&lt;=Inputs!$B$9*12,C499&gt;0.000001),MIN(C499,Inputs!$B$41-D499),0)</f>
        <v>0</v>
      </c>
      <c r="F499" s="10" t="n">
        <f aca="false">C499-E499</f>
        <v>1.28693500300869E-010</v>
      </c>
      <c r="G499" s="10" t="n">
        <f aca="false">IF(AND(Inputs!$B$43=1,C499&gt;0.78*Inputs!$B$7,A499&lt;=Inputs!$B$9*6),Inputs!$B$16*Inputs!$B$39/12,0)</f>
        <v>0</v>
      </c>
      <c r="H499" s="10" t="n">
        <f aca="false">IF(B499=1,Inputs!$B$7,INDEX(Annual!$AC$2:$AC$51,B499-1))</f>
        <v>2496530.72652706</v>
      </c>
      <c r="I499" s="10" t="n">
        <f aca="false">Inputs!$B$12*IF(Inputs!$B$35="",H499,MIN(H499,Inputs!$B$7*(1+Inputs!$B$35)^(B499-1)))/12</f>
        <v>1872.3980448953</v>
      </c>
      <c r="J499" s="10" t="n">
        <f aca="false">Inputs!$B$13*Inputs!$B$7*(1+Inputs!$B$22)^(B499-1)/12</f>
        <v>646.362963771744</v>
      </c>
      <c r="K499" s="10" t="n">
        <f aca="false">Inputs!$B$14*Inputs!$B$7*(1+Inputs!$B$22)^(B499-1)/12</f>
        <v>1292.72592754349</v>
      </c>
      <c r="L499" s="10" t="n">
        <f aca="false">Inputs!$B$15*(1+Inputs!$B$22)^(B499-1)</f>
        <v>0</v>
      </c>
      <c r="M499" s="10" t="n">
        <f aca="false">INDEX(Annual!$N$2:$N$51,B499)/12</f>
        <v>0</v>
      </c>
      <c r="N499" s="10" t="n">
        <f aca="false">D499+E499+G499+I499+J499+K499+L499-M499</f>
        <v>3811.48693621053</v>
      </c>
      <c r="O499" s="10" t="n">
        <f aca="false">Inputs!$B$17*(1+Inputs!$B$18)^(B499-1)+Inputs!$B$19*(1+Inputs!$B$22)^(B499-1)</f>
        <v>10291.1226619259</v>
      </c>
      <c r="P499" s="10" t="n">
        <f aca="false">N499-O499</f>
        <v>-6479.63572571537</v>
      </c>
      <c r="Q499" s="10" t="n">
        <f aca="false">Q498*(1+Inputs!$B$42)-U499+MAX(P499,0)</f>
        <v>3256340.57514618</v>
      </c>
      <c r="R499" s="10" t="n">
        <f aca="false">R498+Q498*Inputs!$B$48-U499+MAX(P499,0)</f>
        <v>677133.18754784</v>
      </c>
      <c r="S499" s="10" t="n">
        <f aca="false">S498*(1+Inputs!$B$42)-V499+MAX(-P499,0)</f>
        <v>1398690.36819935</v>
      </c>
      <c r="T499" s="10" t="n">
        <f aca="false">T498+S498*Inputs!$B$48-V499+MAX(-P499,0)</f>
        <v>927881.916836483</v>
      </c>
      <c r="U499" s="10" t="n">
        <f aca="false">Q498*Inputs!$B$48*Inputs!$B$29</f>
        <v>445.29032029111</v>
      </c>
      <c r="V499" s="10" t="n">
        <f aca="false">S498*Inputs!$B$48*Inputs!$B$29</f>
        <v>190.378723806576</v>
      </c>
    </row>
    <row r="500" customFormat="false" ht="15" hidden="false" customHeight="false" outlineLevel="0" collapsed="false">
      <c r="A500" s="16" t="n">
        <v>499</v>
      </c>
      <c r="B500" s="16" t="n">
        <f aca="false">ROUNDUP(A500/12,0)</f>
        <v>42</v>
      </c>
      <c r="C500" s="10" t="n">
        <f aca="false">F499</f>
        <v>1.28693500300869E-010</v>
      </c>
      <c r="D500" s="10" t="n">
        <f aca="false">IF(AND(A500&lt;=Inputs!$B$9*12,C500&gt;0.000001),C500*Inputs!$B$10/12,0)</f>
        <v>0</v>
      </c>
      <c r="E500" s="10" t="n">
        <f aca="false">IF(AND(A500&lt;=Inputs!$B$9*12,C500&gt;0.000001),MIN(C500,Inputs!$B$41-D500),0)</f>
        <v>0</v>
      </c>
      <c r="F500" s="10" t="n">
        <f aca="false">C500-E500</f>
        <v>1.28693500300869E-010</v>
      </c>
      <c r="G500" s="10" t="n">
        <f aca="false">IF(AND(Inputs!$B$43=1,C500&gt;0.78*Inputs!$B$7,A500&lt;=Inputs!$B$9*6),Inputs!$B$16*Inputs!$B$39/12,0)</f>
        <v>0</v>
      </c>
      <c r="H500" s="10" t="n">
        <f aca="false">IF(B500=1,Inputs!$B$7,INDEX(Annual!$AC$2:$AC$51,B500-1))</f>
        <v>2496530.72652706</v>
      </c>
      <c r="I500" s="10" t="n">
        <f aca="false">Inputs!$B$12*IF(Inputs!$B$35="",H500,MIN(H500,Inputs!$B$7*(1+Inputs!$B$35)^(B500-1)))/12</f>
        <v>1872.3980448953</v>
      </c>
      <c r="J500" s="10" t="n">
        <f aca="false">Inputs!$B$13*Inputs!$B$7*(1+Inputs!$B$22)^(B500-1)/12</f>
        <v>646.362963771744</v>
      </c>
      <c r="K500" s="10" t="n">
        <f aca="false">Inputs!$B$14*Inputs!$B$7*(1+Inputs!$B$22)^(B500-1)/12</f>
        <v>1292.72592754349</v>
      </c>
      <c r="L500" s="10" t="n">
        <f aca="false">Inputs!$B$15*(1+Inputs!$B$22)^(B500-1)</f>
        <v>0</v>
      </c>
      <c r="M500" s="10" t="n">
        <f aca="false">INDEX(Annual!$N$2:$N$51,B500)/12</f>
        <v>0</v>
      </c>
      <c r="N500" s="10" t="n">
        <f aca="false">D500+E500+G500+I500+J500+K500+L500-M500</f>
        <v>3811.48693621053</v>
      </c>
      <c r="O500" s="10" t="n">
        <f aca="false">Inputs!$B$17*(1+Inputs!$B$18)^(B500-1)+Inputs!$B$19*(1+Inputs!$B$22)^(B500-1)</f>
        <v>10291.1226619259</v>
      </c>
      <c r="P500" s="10" t="n">
        <f aca="false">N500-O500</f>
        <v>-6479.63572571537</v>
      </c>
      <c r="Q500" s="10" t="n">
        <f aca="false">Q499*(1+Inputs!$B$42)-U500+MAX(P500,0)</f>
        <v>3274304.65135988</v>
      </c>
      <c r="R500" s="10" t="n">
        <f aca="false">R499+Q499*Inputs!$B$48-U500+MAX(P500,0)</f>
        <v>679670.419579309</v>
      </c>
      <c r="S500" s="10" t="n">
        <f aca="false">S499*(1+Inputs!$B$42)-V500+MAX(-P500,0)</f>
        <v>1412886.0826932</v>
      </c>
      <c r="T500" s="10" t="n">
        <f aca="false">T499+S499*Inputs!$B$48-V500+MAX(-P500,0)</f>
        <v>935451.365474087</v>
      </c>
      <c r="U500" s="10" t="n">
        <f aca="false">Q499*Inputs!$B$48*Inputs!$B$29</f>
        <v>447.7468290826</v>
      </c>
      <c r="V500" s="10" t="n">
        <f aca="false">S499*Inputs!$B$48*Inputs!$B$29</f>
        <v>192.31992562741</v>
      </c>
    </row>
    <row r="501" customFormat="false" ht="15" hidden="false" customHeight="false" outlineLevel="0" collapsed="false">
      <c r="A501" s="16" t="n">
        <v>500</v>
      </c>
      <c r="B501" s="16" t="n">
        <f aca="false">ROUNDUP(A501/12,0)</f>
        <v>42</v>
      </c>
      <c r="C501" s="10" t="n">
        <f aca="false">F500</f>
        <v>1.28693500300869E-010</v>
      </c>
      <c r="D501" s="10" t="n">
        <f aca="false">IF(AND(A501&lt;=Inputs!$B$9*12,C501&gt;0.000001),C501*Inputs!$B$10/12,0)</f>
        <v>0</v>
      </c>
      <c r="E501" s="10" t="n">
        <f aca="false">IF(AND(A501&lt;=Inputs!$B$9*12,C501&gt;0.000001),MIN(C501,Inputs!$B$41-D501),0)</f>
        <v>0</v>
      </c>
      <c r="F501" s="10" t="n">
        <f aca="false">C501-E501</f>
        <v>1.28693500300869E-010</v>
      </c>
      <c r="G501" s="10" t="n">
        <f aca="false">IF(AND(Inputs!$B$43=1,C501&gt;0.78*Inputs!$B$7,A501&lt;=Inputs!$B$9*6),Inputs!$B$16*Inputs!$B$39/12,0)</f>
        <v>0</v>
      </c>
      <c r="H501" s="10" t="n">
        <f aca="false">IF(B501=1,Inputs!$B$7,INDEX(Annual!$AC$2:$AC$51,B501-1))</f>
        <v>2496530.72652706</v>
      </c>
      <c r="I501" s="10" t="n">
        <f aca="false">Inputs!$B$12*IF(Inputs!$B$35="",H501,MIN(H501,Inputs!$B$7*(1+Inputs!$B$35)^(B501-1)))/12</f>
        <v>1872.3980448953</v>
      </c>
      <c r="J501" s="10" t="n">
        <f aca="false">Inputs!$B$13*Inputs!$B$7*(1+Inputs!$B$22)^(B501-1)/12</f>
        <v>646.362963771744</v>
      </c>
      <c r="K501" s="10" t="n">
        <f aca="false">Inputs!$B$14*Inputs!$B$7*(1+Inputs!$B$22)^(B501-1)/12</f>
        <v>1292.72592754349</v>
      </c>
      <c r="L501" s="10" t="n">
        <f aca="false">Inputs!$B$15*(1+Inputs!$B$22)^(B501-1)</f>
        <v>0</v>
      </c>
      <c r="M501" s="10" t="n">
        <f aca="false">INDEX(Annual!$N$2:$N$51,B501)/12</f>
        <v>0</v>
      </c>
      <c r="N501" s="10" t="n">
        <f aca="false">D501+E501+G501+I501+J501+K501+L501-M501</f>
        <v>3811.48693621053</v>
      </c>
      <c r="O501" s="10" t="n">
        <f aca="false">Inputs!$B$17*(1+Inputs!$B$18)^(B501-1)+Inputs!$B$19*(1+Inputs!$B$22)^(B501-1)</f>
        <v>10291.1226619259</v>
      </c>
      <c r="P501" s="10" t="n">
        <f aca="false">N501-O501</f>
        <v>-6479.63572571537</v>
      </c>
      <c r="Q501" s="10" t="n">
        <f aca="false">Q500*(1+Inputs!$B$42)-U501+MAX(P501,0)</f>
        <v>3292367.82901177</v>
      </c>
      <c r="R501" s="10" t="n">
        <f aca="false">R500+Q500*Inputs!$B$48-U501+MAX(P501,0)</f>
        <v>682221.64862016</v>
      </c>
      <c r="S501" s="10" t="n">
        <f aca="false">S500*(1+Inputs!$B$42)-V501+MAX(-P501,0)</f>
        <v>1427160.10990993</v>
      </c>
      <c r="T501" s="10" t="n">
        <f aca="false">T500+S500*Inputs!$B$48-V501+MAX(-P501,0)</f>
        <v>943031.874939234</v>
      </c>
      <c r="U501" s="10" t="n">
        <f aca="false">Q500*Inputs!$B$48*Inputs!$B$29</f>
        <v>450.216889561984</v>
      </c>
      <c r="V501" s="10" t="n">
        <f aca="false">S500*Inputs!$B$48*Inputs!$B$29</f>
        <v>194.271836370314</v>
      </c>
    </row>
    <row r="502" customFormat="false" ht="15" hidden="false" customHeight="false" outlineLevel="0" collapsed="false">
      <c r="A502" s="16" t="n">
        <v>501</v>
      </c>
      <c r="B502" s="16" t="n">
        <f aca="false">ROUNDUP(A502/12,0)</f>
        <v>42</v>
      </c>
      <c r="C502" s="10" t="n">
        <f aca="false">F501</f>
        <v>1.28693500300869E-010</v>
      </c>
      <c r="D502" s="10" t="n">
        <f aca="false">IF(AND(A502&lt;=Inputs!$B$9*12,C502&gt;0.000001),C502*Inputs!$B$10/12,0)</f>
        <v>0</v>
      </c>
      <c r="E502" s="10" t="n">
        <f aca="false">IF(AND(A502&lt;=Inputs!$B$9*12,C502&gt;0.000001),MIN(C502,Inputs!$B$41-D502),0)</f>
        <v>0</v>
      </c>
      <c r="F502" s="10" t="n">
        <f aca="false">C502-E502</f>
        <v>1.28693500300869E-010</v>
      </c>
      <c r="G502" s="10" t="n">
        <f aca="false">IF(AND(Inputs!$B$43=1,C502&gt;0.78*Inputs!$B$7,A502&lt;=Inputs!$B$9*6),Inputs!$B$16*Inputs!$B$39/12,0)</f>
        <v>0</v>
      </c>
      <c r="H502" s="10" t="n">
        <f aca="false">IF(B502=1,Inputs!$B$7,INDEX(Annual!$AC$2:$AC$51,B502-1))</f>
        <v>2496530.72652706</v>
      </c>
      <c r="I502" s="10" t="n">
        <f aca="false">Inputs!$B$12*IF(Inputs!$B$35="",H502,MIN(H502,Inputs!$B$7*(1+Inputs!$B$35)^(B502-1)))/12</f>
        <v>1872.3980448953</v>
      </c>
      <c r="J502" s="10" t="n">
        <f aca="false">Inputs!$B$13*Inputs!$B$7*(1+Inputs!$B$22)^(B502-1)/12</f>
        <v>646.362963771744</v>
      </c>
      <c r="K502" s="10" t="n">
        <f aca="false">Inputs!$B$14*Inputs!$B$7*(1+Inputs!$B$22)^(B502-1)/12</f>
        <v>1292.72592754349</v>
      </c>
      <c r="L502" s="10" t="n">
        <f aca="false">Inputs!$B$15*(1+Inputs!$B$22)^(B502-1)</f>
        <v>0</v>
      </c>
      <c r="M502" s="10" t="n">
        <f aca="false">INDEX(Annual!$N$2:$N$51,B502)/12</f>
        <v>0</v>
      </c>
      <c r="N502" s="10" t="n">
        <f aca="false">D502+E502+G502+I502+J502+K502+L502-M502</f>
        <v>3811.48693621053</v>
      </c>
      <c r="O502" s="10" t="n">
        <f aca="false">Inputs!$B$17*(1+Inputs!$B$18)^(B502-1)+Inputs!$B$19*(1+Inputs!$B$22)^(B502-1)</f>
        <v>10291.1226619259</v>
      </c>
      <c r="P502" s="10" t="n">
        <f aca="false">N502-O502</f>
        <v>-6479.63572571537</v>
      </c>
      <c r="Q502" s="10" t="n">
        <f aca="false">Q501*(1+Inputs!$B$42)-U502+MAX(P502,0)</f>
        <v>3310530.65480932</v>
      </c>
      <c r="R502" s="10" t="n">
        <f aca="false">R501+Q501*Inputs!$B$48-U502+MAX(P502,0)</f>
        <v>684786.951886931</v>
      </c>
      <c r="S502" s="10" t="n">
        <f aca="false">S501*(1+Inputs!$B$42)-V502+MAX(-P502,0)</f>
        <v>1441512.88187307</v>
      </c>
      <c r="T502" s="10" t="n">
        <f aca="false">T501+S501*Inputs!$B$48-V502+MAX(-P502,0)</f>
        <v>950623.506250588</v>
      </c>
      <c r="U502" s="10" t="n">
        <f aca="false">Q501*Inputs!$B$48*Inputs!$B$29</f>
        <v>452.700576489118</v>
      </c>
      <c r="V502" s="10" t="n">
        <f aca="false">S501*Inputs!$B$48*Inputs!$B$29</f>
        <v>196.234515112615</v>
      </c>
    </row>
    <row r="503" customFormat="false" ht="15" hidden="false" customHeight="false" outlineLevel="0" collapsed="false">
      <c r="A503" s="16" t="n">
        <v>502</v>
      </c>
      <c r="B503" s="16" t="n">
        <f aca="false">ROUNDUP(A503/12,0)</f>
        <v>42</v>
      </c>
      <c r="C503" s="10" t="n">
        <f aca="false">F502</f>
        <v>1.28693500300869E-010</v>
      </c>
      <c r="D503" s="10" t="n">
        <f aca="false">IF(AND(A503&lt;=Inputs!$B$9*12,C503&gt;0.000001),C503*Inputs!$B$10/12,0)</f>
        <v>0</v>
      </c>
      <c r="E503" s="10" t="n">
        <f aca="false">IF(AND(A503&lt;=Inputs!$B$9*12,C503&gt;0.000001),MIN(C503,Inputs!$B$41-D503),0)</f>
        <v>0</v>
      </c>
      <c r="F503" s="10" t="n">
        <f aca="false">C503-E503</f>
        <v>1.28693500300869E-010</v>
      </c>
      <c r="G503" s="10" t="n">
        <f aca="false">IF(AND(Inputs!$B$43=1,C503&gt;0.78*Inputs!$B$7,A503&lt;=Inputs!$B$9*6),Inputs!$B$16*Inputs!$B$39/12,0)</f>
        <v>0</v>
      </c>
      <c r="H503" s="10" t="n">
        <f aca="false">IF(B503=1,Inputs!$B$7,INDEX(Annual!$AC$2:$AC$51,B503-1))</f>
        <v>2496530.72652706</v>
      </c>
      <c r="I503" s="10" t="n">
        <f aca="false">Inputs!$B$12*IF(Inputs!$B$35="",H503,MIN(H503,Inputs!$B$7*(1+Inputs!$B$35)^(B503-1)))/12</f>
        <v>1872.3980448953</v>
      </c>
      <c r="J503" s="10" t="n">
        <f aca="false">Inputs!$B$13*Inputs!$B$7*(1+Inputs!$B$22)^(B503-1)/12</f>
        <v>646.362963771744</v>
      </c>
      <c r="K503" s="10" t="n">
        <f aca="false">Inputs!$B$14*Inputs!$B$7*(1+Inputs!$B$22)^(B503-1)/12</f>
        <v>1292.72592754349</v>
      </c>
      <c r="L503" s="10" t="n">
        <f aca="false">Inputs!$B$15*(1+Inputs!$B$22)^(B503-1)</f>
        <v>0</v>
      </c>
      <c r="M503" s="10" t="n">
        <f aca="false">INDEX(Annual!$N$2:$N$51,B503)/12</f>
        <v>0</v>
      </c>
      <c r="N503" s="10" t="n">
        <f aca="false">D503+E503+G503+I503+J503+K503+L503-M503</f>
        <v>3811.48693621053</v>
      </c>
      <c r="O503" s="10" t="n">
        <f aca="false">Inputs!$B$17*(1+Inputs!$B$18)^(B503-1)+Inputs!$B$19*(1+Inputs!$B$22)^(B503-1)</f>
        <v>10291.1226619259</v>
      </c>
      <c r="P503" s="10" t="n">
        <f aca="false">N503-O503</f>
        <v>-6479.63572571537</v>
      </c>
      <c r="Q503" s="10" t="n">
        <f aca="false">Q502*(1+Inputs!$B$42)-U503+MAX(P503,0)</f>
        <v>3328793.67847604</v>
      </c>
      <c r="R503" s="10" t="n">
        <f aca="false">R502+Q502*Inputs!$B$48-U503+MAX(P503,0)</f>
        <v>687366.407022137</v>
      </c>
      <c r="S503" s="10" t="n">
        <f aca="false">S502*(1+Inputs!$B$42)-V503+MAX(-P503,0)</f>
        <v>1455944.83298945</v>
      </c>
      <c r="T503" s="10" t="n">
        <f aca="false">T502+S502*Inputs!$B$48-V503+MAX(-P503,0)</f>
        <v>958226.320763429</v>
      </c>
      <c r="U503" s="10" t="n">
        <f aca="false">Q502*Inputs!$B$48*Inputs!$B$29</f>
        <v>455.197965036282</v>
      </c>
      <c r="V503" s="10" t="n">
        <f aca="false">S502*Inputs!$B$48*Inputs!$B$29</f>
        <v>198.208021257547</v>
      </c>
    </row>
    <row r="504" customFormat="false" ht="15" hidden="false" customHeight="false" outlineLevel="0" collapsed="false">
      <c r="A504" s="16" t="n">
        <v>503</v>
      </c>
      <c r="B504" s="16" t="n">
        <f aca="false">ROUNDUP(A504/12,0)</f>
        <v>42</v>
      </c>
      <c r="C504" s="10" t="n">
        <f aca="false">F503</f>
        <v>1.28693500300869E-010</v>
      </c>
      <c r="D504" s="10" t="n">
        <f aca="false">IF(AND(A504&lt;=Inputs!$B$9*12,C504&gt;0.000001),C504*Inputs!$B$10/12,0)</f>
        <v>0</v>
      </c>
      <c r="E504" s="10" t="n">
        <f aca="false">IF(AND(A504&lt;=Inputs!$B$9*12,C504&gt;0.000001),MIN(C504,Inputs!$B$41-D504),0)</f>
        <v>0</v>
      </c>
      <c r="F504" s="10" t="n">
        <f aca="false">C504-E504</f>
        <v>1.28693500300869E-010</v>
      </c>
      <c r="G504" s="10" t="n">
        <f aca="false">IF(AND(Inputs!$B$43=1,C504&gt;0.78*Inputs!$B$7,A504&lt;=Inputs!$B$9*6),Inputs!$B$16*Inputs!$B$39/12,0)</f>
        <v>0</v>
      </c>
      <c r="H504" s="10" t="n">
        <f aca="false">IF(B504=1,Inputs!$B$7,INDEX(Annual!$AC$2:$AC$51,B504-1))</f>
        <v>2496530.72652706</v>
      </c>
      <c r="I504" s="10" t="n">
        <f aca="false">Inputs!$B$12*IF(Inputs!$B$35="",H504,MIN(H504,Inputs!$B$7*(1+Inputs!$B$35)^(B504-1)))/12</f>
        <v>1872.3980448953</v>
      </c>
      <c r="J504" s="10" t="n">
        <f aca="false">Inputs!$B$13*Inputs!$B$7*(1+Inputs!$B$22)^(B504-1)/12</f>
        <v>646.362963771744</v>
      </c>
      <c r="K504" s="10" t="n">
        <f aca="false">Inputs!$B$14*Inputs!$B$7*(1+Inputs!$B$22)^(B504-1)/12</f>
        <v>1292.72592754349</v>
      </c>
      <c r="L504" s="10" t="n">
        <f aca="false">Inputs!$B$15*(1+Inputs!$B$22)^(B504-1)</f>
        <v>0</v>
      </c>
      <c r="M504" s="10" t="n">
        <f aca="false">INDEX(Annual!$N$2:$N$51,B504)/12</f>
        <v>0</v>
      </c>
      <c r="N504" s="10" t="n">
        <f aca="false">D504+E504+G504+I504+J504+K504+L504-M504</f>
        <v>3811.48693621053</v>
      </c>
      <c r="O504" s="10" t="n">
        <f aca="false">Inputs!$B$17*(1+Inputs!$B$18)^(B504-1)+Inputs!$B$19*(1+Inputs!$B$22)^(B504-1)</f>
        <v>10291.1226619259</v>
      </c>
      <c r="P504" s="10" t="n">
        <f aca="false">N504-O504</f>
        <v>-6479.63572571537</v>
      </c>
      <c r="Q504" s="10" t="n">
        <f aca="false">Q503*(1+Inputs!$B$42)-U504+MAX(P504,0)</f>
        <v>3347157.45276803</v>
      </c>
      <c r="R504" s="10" t="n">
        <f aca="false">R503+Q503*Inputs!$B$48-U504+MAX(P504,0)</f>
        <v>689960.092096616</v>
      </c>
      <c r="S504" s="10" t="n">
        <f aca="false">S503*(1+Inputs!$B$42)-V504+MAX(-P504,0)</f>
        <v>1470456.4000624</v>
      </c>
      <c r="T504" s="10" t="n">
        <f aca="false">T503+S503*Inputs!$B$48-V504+MAX(-P504,0)</f>
        <v>965840.380171516</v>
      </c>
      <c r="U504" s="10" t="n">
        <f aca="false">Q503*Inputs!$B$48*Inputs!$B$29</f>
        <v>457.709130790456</v>
      </c>
      <c r="V504" s="10" t="n">
        <f aca="false">S503*Inputs!$B$48*Inputs!$B$29</f>
        <v>200.19241453605</v>
      </c>
    </row>
    <row r="505" customFormat="false" ht="15" hidden="false" customHeight="false" outlineLevel="0" collapsed="false">
      <c r="A505" s="16" t="n">
        <v>504</v>
      </c>
      <c r="B505" s="16" t="n">
        <f aca="false">ROUNDUP(A505/12,0)</f>
        <v>42</v>
      </c>
      <c r="C505" s="10" t="n">
        <f aca="false">F504</f>
        <v>1.28693500300869E-010</v>
      </c>
      <c r="D505" s="10" t="n">
        <f aca="false">IF(AND(A505&lt;=Inputs!$B$9*12,C505&gt;0.000001),C505*Inputs!$B$10/12,0)</f>
        <v>0</v>
      </c>
      <c r="E505" s="10" t="n">
        <f aca="false">IF(AND(A505&lt;=Inputs!$B$9*12,C505&gt;0.000001),MIN(C505,Inputs!$B$41-D505),0)</f>
        <v>0</v>
      </c>
      <c r="F505" s="10" t="n">
        <f aca="false">C505-E505</f>
        <v>1.28693500300869E-010</v>
      </c>
      <c r="G505" s="10" t="n">
        <f aca="false">IF(AND(Inputs!$B$43=1,C505&gt;0.78*Inputs!$B$7,A505&lt;=Inputs!$B$9*6),Inputs!$B$16*Inputs!$B$39/12,0)</f>
        <v>0</v>
      </c>
      <c r="H505" s="10" t="n">
        <f aca="false">IF(B505=1,Inputs!$B$7,INDEX(Annual!$AC$2:$AC$51,B505-1))</f>
        <v>2496530.72652706</v>
      </c>
      <c r="I505" s="10" t="n">
        <f aca="false">Inputs!$B$12*IF(Inputs!$B$35="",H505,MIN(H505,Inputs!$B$7*(1+Inputs!$B$35)^(B505-1)))/12</f>
        <v>1872.3980448953</v>
      </c>
      <c r="J505" s="10" t="n">
        <f aca="false">Inputs!$B$13*Inputs!$B$7*(1+Inputs!$B$22)^(B505-1)/12</f>
        <v>646.362963771744</v>
      </c>
      <c r="K505" s="10" t="n">
        <f aca="false">Inputs!$B$14*Inputs!$B$7*(1+Inputs!$B$22)^(B505-1)/12</f>
        <v>1292.72592754349</v>
      </c>
      <c r="L505" s="10" t="n">
        <f aca="false">Inputs!$B$15*(1+Inputs!$B$22)^(B505-1)</f>
        <v>0</v>
      </c>
      <c r="M505" s="10" t="n">
        <f aca="false">INDEX(Annual!$N$2:$N$51,B505)/12</f>
        <v>0</v>
      </c>
      <c r="N505" s="10" t="n">
        <f aca="false">D505+E505+G505+I505+J505+K505+L505-M505</f>
        <v>3811.48693621053</v>
      </c>
      <c r="O505" s="10" t="n">
        <f aca="false">Inputs!$B$17*(1+Inputs!$B$18)^(B505-1)+Inputs!$B$19*(1+Inputs!$B$22)^(B505-1)</f>
        <v>10291.1226619259</v>
      </c>
      <c r="P505" s="10" t="n">
        <f aca="false">N505-O505</f>
        <v>-6479.63572571537</v>
      </c>
      <c r="Q505" s="10" t="n">
        <f aca="false">Q504*(1+Inputs!$B$42)-U505+MAX(P505,0)</f>
        <v>3365622.53349076</v>
      </c>
      <c r="R505" s="10" t="n">
        <f aca="false">R504+Q504*Inputs!$B$48-U505+MAX(P505,0)</f>
        <v>692568.085611898</v>
      </c>
      <c r="S505" s="10" t="n">
        <f aca="false">S504*(1+Inputs!$B$42)-V505+MAX(-P505,0)</f>
        <v>1485048.0223049</v>
      </c>
      <c r="T505" s="10" t="n">
        <f aca="false">T504+S504*Inputs!$B$48-V505+MAX(-P505,0)</f>
        <v>973465.746508946</v>
      </c>
      <c r="U505" s="10" t="n">
        <f aca="false">Q504*Inputs!$B$48*Inputs!$B$29</f>
        <v>460.234149755604</v>
      </c>
      <c r="V505" s="10" t="n">
        <f aca="false">S504*Inputs!$B$48*Inputs!$B$29</f>
        <v>202.18775500858</v>
      </c>
    </row>
    <row r="506" customFormat="false" ht="15" hidden="false" customHeight="false" outlineLevel="0" collapsed="false">
      <c r="A506" s="16" t="n">
        <v>505</v>
      </c>
      <c r="B506" s="16" t="n">
        <f aca="false">ROUNDUP(A506/12,0)</f>
        <v>43</v>
      </c>
      <c r="C506" s="10" t="n">
        <f aca="false">F505</f>
        <v>1.28693500300869E-010</v>
      </c>
      <c r="D506" s="10" t="n">
        <f aca="false">IF(AND(A506&lt;=Inputs!$B$9*12,C506&gt;0.000001),C506*Inputs!$B$10/12,0)</f>
        <v>0</v>
      </c>
      <c r="E506" s="10" t="n">
        <f aca="false">IF(AND(A506&lt;=Inputs!$B$9*12,C506&gt;0.000001),MIN(C506,Inputs!$B$41-D506),0)</f>
        <v>0</v>
      </c>
      <c r="F506" s="10" t="n">
        <f aca="false">C506-E506</f>
        <v>1.28693500300869E-010</v>
      </c>
      <c r="G506" s="10" t="n">
        <f aca="false">IF(AND(Inputs!$B$43=1,C506&gt;0.78*Inputs!$B$7,A506&lt;=Inputs!$B$9*6),Inputs!$B$16*Inputs!$B$39/12,0)</f>
        <v>0</v>
      </c>
      <c r="H506" s="10" t="n">
        <f aca="false">IF(B506=1,Inputs!$B$7,INDEX(Annual!$AC$2:$AC$51,B506-1))</f>
        <v>2596391.95558814</v>
      </c>
      <c r="I506" s="10" t="n">
        <f aca="false">Inputs!$B$12*IF(Inputs!$B$35="",H506,MIN(H506,Inputs!$B$7*(1+Inputs!$B$35)^(B506-1)))/12</f>
        <v>1947.29396669111</v>
      </c>
      <c r="J506" s="10" t="n">
        <f aca="false">Inputs!$B$13*Inputs!$B$7*(1+Inputs!$B$22)^(B506-1)/12</f>
        <v>664.461126757353</v>
      </c>
      <c r="K506" s="10" t="n">
        <f aca="false">Inputs!$B$14*Inputs!$B$7*(1+Inputs!$B$22)^(B506-1)/12</f>
        <v>1328.92225351471</v>
      </c>
      <c r="L506" s="10" t="n">
        <f aca="false">Inputs!$B$15*(1+Inputs!$B$22)^(B506-1)</f>
        <v>0</v>
      </c>
      <c r="M506" s="10" t="n">
        <f aca="false">INDEX(Annual!$N$2:$N$51,B506)/12</f>
        <v>0</v>
      </c>
      <c r="N506" s="10" t="n">
        <f aca="false">D506+E506+G506+I506+J506+K506+L506-M506</f>
        <v>3940.67734696317</v>
      </c>
      <c r="O506" s="10" t="n">
        <f aca="false">Inputs!$B$17*(1+Inputs!$B$18)^(B506-1)+Inputs!$B$19*(1+Inputs!$B$22)^(B506-1)</f>
        <v>10650.9861881596</v>
      </c>
      <c r="P506" s="10" t="n">
        <f aca="false">N506-O506</f>
        <v>-6710.3088411964</v>
      </c>
      <c r="Q506" s="10" t="n">
        <f aca="false">Q505*(1+Inputs!$B$42)-U506+MAX(P506,0)</f>
        <v>3384189.47951589</v>
      </c>
      <c r="R506" s="10" t="n">
        <f aca="false">R505+Q505*Inputs!$B$48-U506+MAX(P506,0)</f>
        <v>695190.466502577</v>
      </c>
      <c r="S506" s="10" t="n">
        <f aca="false">S505*(1+Inputs!$B$42)-V506+MAX(-P506,0)</f>
        <v>1499950.81446842</v>
      </c>
      <c r="T506" s="10" t="n">
        <f aca="false">T505+S505*Inputs!$B$48-V506+MAX(-P506,0)</f>
        <v>981333.155267522</v>
      </c>
      <c r="U506" s="10" t="n">
        <f aca="false">Q505*Inputs!$B$48*Inputs!$B$29</f>
        <v>462.77309835498</v>
      </c>
      <c r="V506" s="10" t="n">
        <f aca="false">S505*Inputs!$B$48*Inputs!$B$29</f>
        <v>204.194103066923</v>
      </c>
    </row>
    <row r="507" customFormat="false" ht="15" hidden="false" customHeight="false" outlineLevel="0" collapsed="false">
      <c r="A507" s="16" t="n">
        <v>506</v>
      </c>
      <c r="B507" s="16" t="n">
        <f aca="false">ROUNDUP(A507/12,0)</f>
        <v>43</v>
      </c>
      <c r="C507" s="10" t="n">
        <f aca="false">F506</f>
        <v>1.28693500300869E-010</v>
      </c>
      <c r="D507" s="10" t="n">
        <f aca="false">IF(AND(A507&lt;=Inputs!$B$9*12,C507&gt;0.000001),C507*Inputs!$B$10/12,0)</f>
        <v>0</v>
      </c>
      <c r="E507" s="10" t="n">
        <f aca="false">IF(AND(A507&lt;=Inputs!$B$9*12,C507&gt;0.000001),MIN(C507,Inputs!$B$41-D507),0)</f>
        <v>0</v>
      </c>
      <c r="F507" s="10" t="n">
        <f aca="false">C507-E507</f>
        <v>1.28693500300869E-010</v>
      </c>
      <c r="G507" s="10" t="n">
        <f aca="false">IF(AND(Inputs!$B$43=1,C507&gt;0.78*Inputs!$B$7,A507&lt;=Inputs!$B$9*6),Inputs!$B$16*Inputs!$B$39/12,0)</f>
        <v>0</v>
      </c>
      <c r="H507" s="10" t="n">
        <f aca="false">IF(B507=1,Inputs!$B$7,INDEX(Annual!$AC$2:$AC$51,B507-1))</f>
        <v>2596391.95558814</v>
      </c>
      <c r="I507" s="10" t="n">
        <f aca="false">Inputs!$B$12*IF(Inputs!$B$35="",H507,MIN(H507,Inputs!$B$7*(1+Inputs!$B$35)^(B507-1)))/12</f>
        <v>1947.29396669111</v>
      </c>
      <c r="J507" s="10" t="n">
        <f aca="false">Inputs!$B$13*Inputs!$B$7*(1+Inputs!$B$22)^(B507-1)/12</f>
        <v>664.461126757353</v>
      </c>
      <c r="K507" s="10" t="n">
        <f aca="false">Inputs!$B$14*Inputs!$B$7*(1+Inputs!$B$22)^(B507-1)/12</f>
        <v>1328.92225351471</v>
      </c>
      <c r="L507" s="10" t="n">
        <f aca="false">Inputs!$B$15*(1+Inputs!$B$22)^(B507-1)</f>
        <v>0</v>
      </c>
      <c r="M507" s="10" t="n">
        <f aca="false">INDEX(Annual!$N$2:$N$51,B507)/12</f>
        <v>0</v>
      </c>
      <c r="N507" s="10" t="n">
        <f aca="false">D507+E507+G507+I507+J507+K507+L507-M507</f>
        <v>3940.67734696317</v>
      </c>
      <c r="O507" s="10" t="n">
        <f aca="false">Inputs!$B$17*(1+Inputs!$B$18)^(B507-1)+Inputs!$B$19*(1+Inputs!$B$22)^(B507-1)</f>
        <v>10650.9861881596</v>
      </c>
      <c r="P507" s="10" t="n">
        <f aca="false">N507-O507</f>
        <v>-6710.3088411964</v>
      </c>
      <c r="Q507" s="10" t="n">
        <f aca="false">Q506*(1+Inputs!$B$42)-U507+MAX(P507,0)</f>
        <v>3402858.85279817</v>
      </c>
      <c r="R507" s="10" t="n">
        <f aca="false">R506+Q506*Inputs!$B$48-U507+MAX(P507,0)</f>
        <v>697827.314138699</v>
      </c>
      <c r="S507" s="10" t="n">
        <f aca="false">S506*(1+Inputs!$B$42)-V507+MAX(-P507,0)</f>
        <v>1514935.82005159</v>
      </c>
      <c r="T507" s="10" t="n">
        <f aca="false">T506+S506*Inputs!$B$48-V507+MAX(-P507,0)</f>
        <v>989212.175784992</v>
      </c>
      <c r="U507" s="10" t="n">
        <f aca="false">Q506*Inputs!$B$48*Inputs!$B$29</f>
        <v>465.326053433435</v>
      </c>
      <c r="V507" s="10" t="n">
        <f aca="false">S506*Inputs!$B$48*Inputs!$B$29</f>
        <v>206.243236989407</v>
      </c>
    </row>
    <row r="508" customFormat="false" ht="15" hidden="false" customHeight="false" outlineLevel="0" collapsed="false">
      <c r="A508" s="16" t="n">
        <v>507</v>
      </c>
      <c r="B508" s="16" t="n">
        <f aca="false">ROUNDUP(A508/12,0)</f>
        <v>43</v>
      </c>
      <c r="C508" s="10" t="n">
        <f aca="false">F507</f>
        <v>1.28693500300869E-010</v>
      </c>
      <c r="D508" s="10" t="n">
        <f aca="false">IF(AND(A508&lt;=Inputs!$B$9*12,C508&gt;0.000001),C508*Inputs!$B$10/12,0)</f>
        <v>0</v>
      </c>
      <c r="E508" s="10" t="n">
        <f aca="false">IF(AND(A508&lt;=Inputs!$B$9*12,C508&gt;0.000001),MIN(C508,Inputs!$B$41-D508),0)</f>
        <v>0</v>
      </c>
      <c r="F508" s="10" t="n">
        <f aca="false">C508-E508</f>
        <v>1.28693500300869E-010</v>
      </c>
      <c r="G508" s="10" t="n">
        <f aca="false">IF(AND(Inputs!$B$43=1,C508&gt;0.78*Inputs!$B$7,A508&lt;=Inputs!$B$9*6),Inputs!$B$16*Inputs!$B$39/12,0)</f>
        <v>0</v>
      </c>
      <c r="H508" s="10" t="n">
        <f aca="false">IF(B508=1,Inputs!$B$7,INDEX(Annual!$AC$2:$AC$51,B508-1))</f>
        <v>2596391.95558814</v>
      </c>
      <c r="I508" s="10" t="n">
        <f aca="false">Inputs!$B$12*IF(Inputs!$B$35="",H508,MIN(H508,Inputs!$B$7*(1+Inputs!$B$35)^(B508-1)))/12</f>
        <v>1947.29396669111</v>
      </c>
      <c r="J508" s="10" t="n">
        <f aca="false">Inputs!$B$13*Inputs!$B$7*(1+Inputs!$B$22)^(B508-1)/12</f>
        <v>664.461126757353</v>
      </c>
      <c r="K508" s="10" t="n">
        <f aca="false">Inputs!$B$14*Inputs!$B$7*(1+Inputs!$B$22)^(B508-1)/12</f>
        <v>1328.92225351471</v>
      </c>
      <c r="L508" s="10" t="n">
        <f aca="false">Inputs!$B$15*(1+Inputs!$B$22)^(B508-1)</f>
        <v>0</v>
      </c>
      <c r="M508" s="10" t="n">
        <f aca="false">INDEX(Annual!$N$2:$N$51,B508)/12</f>
        <v>0</v>
      </c>
      <c r="N508" s="10" t="n">
        <f aca="false">D508+E508+G508+I508+J508+K508+L508-M508</f>
        <v>3940.67734696317</v>
      </c>
      <c r="O508" s="10" t="n">
        <f aca="false">Inputs!$B$17*(1+Inputs!$B$18)^(B508-1)+Inputs!$B$19*(1+Inputs!$B$22)^(B508-1)</f>
        <v>10650.9861881596</v>
      </c>
      <c r="P508" s="10" t="n">
        <f aca="false">N508-O508</f>
        <v>-6710.3088411964</v>
      </c>
      <c r="Q508" s="10" t="n">
        <f aca="false">Q507*(1+Inputs!$B$42)-U508+MAX(P508,0)</f>
        <v>3421631.21839245</v>
      </c>
      <c r="R508" s="10" t="n">
        <f aca="false">R507+Q507*Inputs!$B$48-U508+MAX(P508,0)</f>
        <v>700478.708328171</v>
      </c>
      <c r="S508" s="10" t="n">
        <f aca="false">S507*(1+Inputs!$B$42)-V508+MAX(-P508,0)</f>
        <v>1530003.49259669</v>
      </c>
      <c r="T508" s="10" t="n">
        <f aca="false">T507+S507*Inputs!$B$48-V508+MAX(-P508,0)</f>
        <v>997102.872119311</v>
      </c>
      <c r="U508" s="10" t="n">
        <f aca="false">Q507*Inputs!$B$48*Inputs!$B$29</f>
        <v>467.893092259748</v>
      </c>
      <c r="V508" s="10" t="n">
        <f aca="false">S507*Inputs!$B$48*Inputs!$B$29</f>
        <v>208.303675257093</v>
      </c>
    </row>
    <row r="509" customFormat="false" ht="15" hidden="false" customHeight="false" outlineLevel="0" collapsed="false">
      <c r="A509" s="16" t="n">
        <v>508</v>
      </c>
      <c r="B509" s="16" t="n">
        <f aca="false">ROUNDUP(A509/12,0)</f>
        <v>43</v>
      </c>
      <c r="C509" s="10" t="n">
        <f aca="false">F508</f>
        <v>1.28693500300869E-010</v>
      </c>
      <c r="D509" s="10" t="n">
        <f aca="false">IF(AND(A509&lt;=Inputs!$B$9*12,C509&gt;0.000001),C509*Inputs!$B$10/12,0)</f>
        <v>0</v>
      </c>
      <c r="E509" s="10" t="n">
        <f aca="false">IF(AND(A509&lt;=Inputs!$B$9*12,C509&gt;0.000001),MIN(C509,Inputs!$B$41-D509),0)</f>
        <v>0</v>
      </c>
      <c r="F509" s="10" t="n">
        <f aca="false">C509-E509</f>
        <v>1.28693500300869E-010</v>
      </c>
      <c r="G509" s="10" t="n">
        <f aca="false">IF(AND(Inputs!$B$43=1,C509&gt;0.78*Inputs!$B$7,A509&lt;=Inputs!$B$9*6),Inputs!$B$16*Inputs!$B$39/12,0)</f>
        <v>0</v>
      </c>
      <c r="H509" s="10" t="n">
        <f aca="false">IF(B509=1,Inputs!$B$7,INDEX(Annual!$AC$2:$AC$51,B509-1))</f>
        <v>2596391.95558814</v>
      </c>
      <c r="I509" s="10" t="n">
        <f aca="false">Inputs!$B$12*IF(Inputs!$B$35="",H509,MIN(H509,Inputs!$B$7*(1+Inputs!$B$35)^(B509-1)))/12</f>
        <v>1947.29396669111</v>
      </c>
      <c r="J509" s="10" t="n">
        <f aca="false">Inputs!$B$13*Inputs!$B$7*(1+Inputs!$B$22)^(B509-1)/12</f>
        <v>664.461126757353</v>
      </c>
      <c r="K509" s="10" t="n">
        <f aca="false">Inputs!$B$14*Inputs!$B$7*(1+Inputs!$B$22)^(B509-1)/12</f>
        <v>1328.92225351471</v>
      </c>
      <c r="L509" s="10" t="n">
        <f aca="false">Inputs!$B$15*(1+Inputs!$B$22)^(B509-1)</f>
        <v>0</v>
      </c>
      <c r="M509" s="10" t="n">
        <f aca="false">INDEX(Annual!$N$2:$N$51,B509)/12</f>
        <v>0</v>
      </c>
      <c r="N509" s="10" t="n">
        <f aca="false">D509+E509+G509+I509+J509+K509+L509-M509</f>
        <v>3940.67734696317</v>
      </c>
      <c r="O509" s="10" t="n">
        <f aca="false">Inputs!$B$17*(1+Inputs!$B$18)^(B509-1)+Inputs!$B$19*(1+Inputs!$B$22)^(B509-1)</f>
        <v>10650.9861881596</v>
      </c>
      <c r="P509" s="10" t="n">
        <f aca="false">N509-O509</f>
        <v>-6710.3088411964</v>
      </c>
      <c r="Q509" s="10" t="n">
        <f aca="false">Q508*(1+Inputs!$B$42)-U509+MAX(P509,0)</f>
        <v>3440507.1444708</v>
      </c>
      <c r="R509" s="10" t="n">
        <f aca="false">R508+Q508*Inputs!$B$48-U509+MAX(P509,0)</f>
        <v>703144.729319169</v>
      </c>
      <c r="S509" s="10" t="n">
        <f aca="false">S508*(1+Inputs!$B$42)-V509+MAX(-P509,0)</f>
        <v>1545154.28814803</v>
      </c>
      <c r="T509" s="10" t="n">
        <f aca="false">T508+S508*Inputs!$B$48-V509+MAX(-P509,0)</f>
        <v>1005005.30868182</v>
      </c>
      <c r="U509" s="10" t="n">
        <f aca="false">Q508*Inputs!$B$48*Inputs!$B$29</f>
        <v>470.474292528962</v>
      </c>
      <c r="V509" s="10" t="n">
        <f aca="false">S508*Inputs!$B$48*Inputs!$B$29</f>
        <v>210.375480232044</v>
      </c>
    </row>
    <row r="510" customFormat="false" ht="15" hidden="false" customHeight="false" outlineLevel="0" collapsed="false">
      <c r="A510" s="16" t="n">
        <v>509</v>
      </c>
      <c r="B510" s="16" t="n">
        <f aca="false">ROUNDUP(A510/12,0)</f>
        <v>43</v>
      </c>
      <c r="C510" s="10" t="n">
        <f aca="false">F509</f>
        <v>1.28693500300869E-010</v>
      </c>
      <c r="D510" s="10" t="n">
        <f aca="false">IF(AND(A510&lt;=Inputs!$B$9*12,C510&gt;0.000001),C510*Inputs!$B$10/12,0)</f>
        <v>0</v>
      </c>
      <c r="E510" s="10" t="n">
        <f aca="false">IF(AND(A510&lt;=Inputs!$B$9*12,C510&gt;0.000001),MIN(C510,Inputs!$B$41-D510),0)</f>
        <v>0</v>
      </c>
      <c r="F510" s="10" t="n">
        <f aca="false">C510-E510</f>
        <v>1.28693500300869E-010</v>
      </c>
      <c r="G510" s="10" t="n">
        <f aca="false">IF(AND(Inputs!$B$43=1,C510&gt;0.78*Inputs!$B$7,A510&lt;=Inputs!$B$9*6),Inputs!$B$16*Inputs!$B$39/12,0)</f>
        <v>0</v>
      </c>
      <c r="H510" s="10" t="n">
        <f aca="false">IF(B510=1,Inputs!$B$7,INDEX(Annual!$AC$2:$AC$51,B510-1))</f>
        <v>2596391.95558814</v>
      </c>
      <c r="I510" s="10" t="n">
        <f aca="false">Inputs!$B$12*IF(Inputs!$B$35="",H510,MIN(H510,Inputs!$B$7*(1+Inputs!$B$35)^(B510-1)))/12</f>
        <v>1947.29396669111</v>
      </c>
      <c r="J510" s="10" t="n">
        <f aca="false">Inputs!$B$13*Inputs!$B$7*(1+Inputs!$B$22)^(B510-1)/12</f>
        <v>664.461126757353</v>
      </c>
      <c r="K510" s="10" t="n">
        <f aca="false">Inputs!$B$14*Inputs!$B$7*(1+Inputs!$B$22)^(B510-1)/12</f>
        <v>1328.92225351471</v>
      </c>
      <c r="L510" s="10" t="n">
        <f aca="false">Inputs!$B$15*(1+Inputs!$B$22)^(B510-1)</f>
        <v>0</v>
      </c>
      <c r="M510" s="10" t="n">
        <f aca="false">INDEX(Annual!$N$2:$N$51,B510)/12</f>
        <v>0</v>
      </c>
      <c r="N510" s="10" t="n">
        <f aca="false">D510+E510+G510+I510+J510+K510+L510-M510</f>
        <v>3940.67734696317</v>
      </c>
      <c r="O510" s="10" t="n">
        <f aca="false">Inputs!$B$17*(1+Inputs!$B$18)^(B510-1)+Inputs!$B$19*(1+Inputs!$B$22)^(B510-1)</f>
        <v>10650.9861881596</v>
      </c>
      <c r="P510" s="10" t="n">
        <f aca="false">N510-O510</f>
        <v>-6710.3088411964</v>
      </c>
      <c r="Q510" s="10" t="n">
        <f aca="false">Q509*(1+Inputs!$B$42)-U510+MAX(P510,0)</f>
        <v>3459487.20233968</v>
      </c>
      <c r="R510" s="10" t="n">
        <f aca="false">R509+Q509*Inputs!$B$48-U510+MAX(P510,0)</f>
        <v>705825.457802569</v>
      </c>
      <c r="S510" s="10" t="n">
        <f aca="false">S509*(1+Inputs!$B$42)-V510+MAX(-P510,0)</f>
        <v>1560388.66526577</v>
      </c>
      <c r="T510" s="10" t="n">
        <f aca="false">T509+S509*Inputs!$B$48-V510+MAX(-P510,0)</f>
        <v>1012919.5502392</v>
      </c>
      <c r="U510" s="10" t="n">
        <f aca="false">Q509*Inputs!$B$48*Inputs!$B$29</f>
        <v>473.069732364734</v>
      </c>
      <c r="V510" s="10" t="n">
        <f aca="false">S509*Inputs!$B$48*Inputs!$B$29</f>
        <v>212.458714620354</v>
      </c>
    </row>
    <row r="511" customFormat="false" ht="15" hidden="false" customHeight="false" outlineLevel="0" collapsed="false">
      <c r="A511" s="16" t="n">
        <v>510</v>
      </c>
      <c r="B511" s="16" t="n">
        <f aca="false">ROUNDUP(A511/12,0)</f>
        <v>43</v>
      </c>
      <c r="C511" s="10" t="n">
        <f aca="false">F510</f>
        <v>1.28693500300869E-010</v>
      </c>
      <c r="D511" s="10" t="n">
        <f aca="false">IF(AND(A511&lt;=Inputs!$B$9*12,C511&gt;0.000001),C511*Inputs!$B$10/12,0)</f>
        <v>0</v>
      </c>
      <c r="E511" s="10" t="n">
        <f aca="false">IF(AND(A511&lt;=Inputs!$B$9*12,C511&gt;0.000001),MIN(C511,Inputs!$B$41-D511),0)</f>
        <v>0</v>
      </c>
      <c r="F511" s="10" t="n">
        <f aca="false">C511-E511</f>
        <v>1.28693500300869E-010</v>
      </c>
      <c r="G511" s="10" t="n">
        <f aca="false">IF(AND(Inputs!$B$43=1,C511&gt;0.78*Inputs!$B$7,A511&lt;=Inputs!$B$9*6),Inputs!$B$16*Inputs!$B$39/12,0)</f>
        <v>0</v>
      </c>
      <c r="H511" s="10" t="n">
        <f aca="false">IF(B511=1,Inputs!$B$7,INDEX(Annual!$AC$2:$AC$51,B511-1))</f>
        <v>2596391.95558814</v>
      </c>
      <c r="I511" s="10" t="n">
        <f aca="false">Inputs!$B$12*IF(Inputs!$B$35="",H511,MIN(H511,Inputs!$B$7*(1+Inputs!$B$35)^(B511-1)))/12</f>
        <v>1947.29396669111</v>
      </c>
      <c r="J511" s="10" t="n">
        <f aca="false">Inputs!$B$13*Inputs!$B$7*(1+Inputs!$B$22)^(B511-1)/12</f>
        <v>664.461126757353</v>
      </c>
      <c r="K511" s="10" t="n">
        <f aca="false">Inputs!$B$14*Inputs!$B$7*(1+Inputs!$B$22)^(B511-1)/12</f>
        <v>1328.92225351471</v>
      </c>
      <c r="L511" s="10" t="n">
        <f aca="false">Inputs!$B$15*(1+Inputs!$B$22)^(B511-1)</f>
        <v>0</v>
      </c>
      <c r="M511" s="10" t="n">
        <f aca="false">INDEX(Annual!$N$2:$N$51,B511)/12</f>
        <v>0</v>
      </c>
      <c r="N511" s="10" t="n">
        <f aca="false">D511+E511+G511+I511+J511+K511+L511-M511</f>
        <v>3940.67734696317</v>
      </c>
      <c r="O511" s="10" t="n">
        <f aca="false">Inputs!$B$17*(1+Inputs!$B$18)^(B511-1)+Inputs!$B$19*(1+Inputs!$B$22)^(B511-1)</f>
        <v>10650.9861881596</v>
      </c>
      <c r="P511" s="10" t="n">
        <f aca="false">N511-O511</f>
        <v>-6710.3088411964</v>
      </c>
      <c r="Q511" s="10" t="n">
        <f aca="false">Q510*(1+Inputs!$B$42)-U511+MAX(P511,0)</f>
        <v>3478571.96645725</v>
      </c>
      <c r="R511" s="10" t="n">
        <f aca="false">R510+Q510*Inputs!$B$48-U511+MAX(P511,0)</f>
        <v>708520.974914392</v>
      </c>
      <c r="S511" s="10" t="n">
        <f aca="false">S510*(1+Inputs!$B$42)-V511+MAX(-P511,0)</f>
        <v>1575707.08503976</v>
      </c>
      <c r="T511" s="10" t="n">
        <f aca="false">T510+S510*Inputs!$B$48-V511+MAX(-P511,0)</f>
        <v>1020845.66191542</v>
      </c>
      <c r="U511" s="10" t="n">
        <f aca="false">Q510*Inputs!$B$48*Inputs!$B$29</f>
        <v>475.679490321705</v>
      </c>
      <c r="V511" s="10" t="n">
        <f aca="false">S510*Inputs!$B$48*Inputs!$B$29</f>
        <v>214.553441474043</v>
      </c>
    </row>
    <row r="512" customFormat="false" ht="15" hidden="false" customHeight="false" outlineLevel="0" collapsed="false">
      <c r="A512" s="16" t="n">
        <v>511</v>
      </c>
      <c r="B512" s="16" t="n">
        <f aca="false">ROUNDUP(A512/12,0)</f>
        <v>43</v>
      </c>
      <c r="C512" s="10" t="n">
        <f aca="false">F511</f>
        <v>1.28693500300869E-010</v>
      </c>
      <c r="D512" s="10" t="n">
        <f aca="false">IF(AND(A512&lt;=Inputs!$B$9*12,C512&gt;0.000001),C512*Inputs!$B$10/12,0)</f>
        <v>0</v>
      </c>
      <c r="E512" s="10" t="n">
        <f aca="false">IF(AND(A512&lt;=Inputs!$B$9*12,C512&gt;0.000001),MIN(C512,Inputs!$B$41-D512),0)</f>
        <v>0</v>
      </c>
      <c r="F512" s="10" t="n">
        <f aca="false">C512-E512</f>
        <v>1.28693500300869E-010</v>
      </c>
      <c r="G512" s="10" t="n">
        <f aca="false">IF(AND(Inputs!$B$43=1,C512&gt;0.78*Inputs!$B$7,A512&lt;=Inputs!$B$9*6),Inputs!$B$16*Inputs!$B$39/12,0)</f>
        <v>0</v>
      </c>
      <c r="H512" s="10" t="n">
        <f aca="false">IF(B512=1,Inputs!$B$7,INDEX(Annual!$AC$2:$AC$51,B512-1))</f>
        <v>2596391.95558814</v>
      </c>
      <c r="I512" s="10" t="n">
        <f aca="false">Inputs!$B$12*IF(Inputs!$B$35="",H512,MIN(H512,Inputs!$B$7*(1+Inputs!$B$35)^(B512-1)))/12</f>
        <v>1947.29396669111</v>
      </c>
      <c r="J512" s="10" t="n">
        <f aca="false">Inputs!$B$13*Inputs!$B$7*(1+Inputs!$B$22)^(B512-1)/12</f>
        <v>664.461126757353</v>
      </c>
      <c r="K512" s="10" t="n">
        <f aca="false">Inputs!$B$14*Inputs!$B$7*(1+Inputs!$B$22)^(B512-1)/12</f>
        <v>1328.92225351471</v>
      </c>
      <c r="L512" s="10" t="n">
        <f aca="false">Inputs!$B$15*(1+Inputs!$B$22)^(B512-1)</f>
        <v>0</v>
      </c>
      <c r="M512" s="10" t="n">
        <f aca="false">INDEX(Annual!$N$2:$N$51,B512)/12</f>
        <v>0</v>
      </c>
      <c r="N512" s="10" t="n">
        <f aca="false">D512+E512+G512+I512+J512+K512+L512-M512</f>
        <v>3940.67734696317</v>
      </c>
      <c r="O512" s="10" t="n">
        <f aca="false">Inputs!$B$17*(1+Inputs!$B$18)^(B512-1)+Inputs!$B$19*(1+Inputs!$B$22)^(B512-1)</f>
        <v>10650.9861881596</v>
      </c>
      <c r="P512" s="10" t="n">
        <f aca="false">N512-O512</f>
        <v>-6710.3088411964</v>
      </c>
      <c r="Q512" s="10" t="n">
        <f aca="false">Q511*(1+Inputs!$B$42)-U512+MAX(P512,0)</f>
        <v>3497762.01445076</v>
      </c>
      <c r="R512" s="10" t="n">
        <f aca="false">R511+Q511*Inputs!$B$48-U512+MAX(P512,0)</f>
        <v>711231.362238256</v>
      </c>
      <c r="S512" s="10" t="n">
        <f aca="false">S511*(1+Inputs!$B$42)-V512+MAX(-P512,0)</f>
        <v>1591110.01110354</v>
      </c>
      <c r="T512" s="10" t="n">
        <f aca="false">T511+S511*Inputs!$B$48-V512+MAX(-P512,0)</f>
        <v>1028783.70919371</v>
      </c>
      <c r="U512" s="10" t="n">
        <f aca="false">Q511*Inputs!$B$48*Inputs!$B$29</f>
        <v>478.303645387872</v>
      </c>
      <c r="V512" s="10" t="n">
        <f aca="false">S511*Inputs!$B$48*Inputs!$B$29</f>
        <v>216.659724192967</v>
      </c>
    </row>
    <row r="513" customFormat="false" ht="15" hidden="false" customHeight="false" outlineLevel="0" collapsed="false">
      <c r="A513" s="16" t="n">
        <v>512</v>
      </c>
      <c r="B513" s="16" t="n">
        <f aca="false">ROUNDUP(A513/12,0)</f>
        <v>43</v>
      </c>
      <c r="C513" s="10" t="n">
        <f aca="false">F512</f>
        <v>1.28693500300869E-010</v>
      </c>
      <c r="D513" s="10" t="n">
        <f aca="false">IF(AND(A513&lt;=Inputs!$B$9*12,C513&gt;0.000001),C513*Inputs!$B$10/12,0)</f>
        <v>0</v>
      </c>
      <c r="E513" s="10" t="n">
        <f aca="false">IF(AND(A513&lt;=Inputs!$B$9*12,C513&gt;0.000001),MIN(C513,Inputs!$B$41-D513),0)</f>
        <v>0</v>
      </c>
      <c r="F513" s="10" t="n">
        <f aca="false">C513-E513</f>
        <v>1.28693500300869E-010</v>
      </c>
      <c r="G513" s="10" t="n">
        <f aca="false">IF(AND(Inputs!$B$43=1,C513&gt;0.78*Inputs!$B$7,A513&lt;=Inputs!$B$9*6),Inputs!$B$16*Inputs!$B$39/12,0)</f>
        <v>0</v>
      </c>
      <c r="H513" s="10" t="n">
        <f aca="false">IF(B513=1,Inputs!$B$7,INDEX(Annual!$AC$2:$AC$51,B513-1))</f>
        <v>2596391.95558814</v>
      </c>
      <c r="I513" s="10" t="n">
        <f aca="false">Inputs!$B$12*IF(Inputs!$B$35="",H513,MIN(H513,Inputs!$B$7*(1+Inputs!$B$35)^(B513-1)))/12</f>
        <v>1947.29396669111</v>
      </c>
      <c r="J513" s="10" t="n">
        <f aca="false">Inputs!$B$13*Inputs!$B$7*(1+Inputs!$B$22)^(B513-1)/12</f>
        <v>664.461126757353</v>
      </c>
      <c r="K513" s="10" t="n">
        <f aca="false">Inputs!$B$14*Inputs!$B$7*(1+Inputs!$B$22)^(B513-1)/12</f>
        <v>1328.92225351471</v>
      </c>
      <c r="L513" s="10" t="n">
        <f aca="false">Inputs!$B$15*(1+Inputs!$B$22)^(B513-1)</f>
        <v>0</v>
      </c>
      <c r="M513" s="10" t="n">
        <f aca="false">INDEX(Annual!$N$2:$N$51,B513)/12</f>
        <v>0</v>
      </c>
      <c r="N513" s="10" t="n">
        <f aca="false">D513+E513+G513+I513+J513+K513+L513-M513</f>
        <v>3940.67734696317</v>
      </c>
      <c r="O513" s="10" t="n">
        <f aca="false">Inputs!$B$17*(1+Inputs!$B$18)^(B513-1)+Inputs!$B$19*(1+Inputs!$B$22)^(B513-1)</f>
        <v>10650.9861881596</v>
      </c>
      <c r="P513" s="10" t="n">
        <f aca="false">N513-O513</f>
        <v>-6710.3088411964</v>
      </c>
      <c r="Q513" s="10" t="n">
        <f aca="false">Q512*(1+Inputs!$B$42)-U513+MAX(P513,0)</f>
        <v>3517057.92713403</v>
      </c>
      <c r="R513" s="10" t="n">
        <f aca="false">R512+Q512*Inputs!$B$48-U513+MAX(P513,0)</f>
        <v>713956.701807849</v>
      </c>
      <c r="S513" s="10" t="n">
        <f aca="false">S512*(1+Inputs!$B$42)-V513+MAX(-P513,0)</f>
        <v>1606597.90964835</v>
      </c>
      <c r="T513" s="10" t="n">
        <f aca="false">T512+S512*Inputs!$B$48-V513+MAX(-P513,0)</f>
        <v>1036733.75791855</v>
      </c>
      <c r="U513" s="10" t="n">
        <f aca="false">Q512*Inputs!$B$48*Inputs!$B$29</f>
        <v>480.94227698698</v>
      </c>
      <c r="V513" s="10" t="n">
        <f aca="false">S512*Inputs!$B$48*Inputs!$B$29</f>
        <v>218.777626526737</v>
      </c>
    </row>
    <row r="514" customFormat="false" ht="15" hidden="false" customHeight="false" outlineLevel="0" collapsed="false">
      <c r="A514" s="16" t="n">
        <v>513</v>
      </c>
      <c r="B514" s="16" t="n">
        <f aca="false">ROUNDUP(A514/12,0)</f>
        <v>43</v>
      </c>
      <c r="C514" s="10" t="n">
        <f aca="false">F513</f>
        <v>1.28693500300869E-010</v>
      </c>
      <c r="D514" s="10" t="n">
        <f aca="false">IF(AND(A514&lt;=Inputs!$B$9*12,C514&gt;0.000001),C514*Inputs!$B$10/12,0)</f>
        <v>0</v>
      </c>
      <c r="E514" s="10" t="n">
        <f aca="false">IF(AND(A514&lt;=Inputs!$B$9*12,C514&gt;0.000001),MIN(C514,Inputs!$B$41-D514),0)</f>
        <v>0</v>
      </c>
      <c r="F514" s="10" t="n">
        <f aca="false">C514-E514</f>
        <v>1.28693500300869E-010</v>
      </c>
      <c r="G514" s="10" t="n">
        <f aca="false">IF(AND(Inputs!$B$43=1,C514&gt;0.78*Inputs!$B$7,A514&lt;=Inputs!$B$9*6),Inputs!$B$16*Inputs!$B$39/12,0)</f>
        <v>0</v>
      </c>
      <c r="H514" s="10" t="n">
        <f aca="false">IF(B514=1,Inputs!$B$7,INDEX(Annual!$AC$2:$AC$51,B514-1))</f>
        <v>2596391.95558814</v>
      </c>
      <c r="I514" s="10" t="n">
        <f aca="false">Inputs!$B$12*IF(Inputs!$B$35="",H514,MIN(H514,Inputs!$B$7*(1+Inputs!$B$35)^(B514-1)))/12</f>
        <v>1947.29396669111</v>
      </c>
      <c r="J514" s="10" t="n">
        <f aca="false">Inputs!$B$13*Inputs!$B$7*(1+Inputs!$B$22)^(B514-1)/12</f>
        <v>664.461126757353</v>
      </c>
      <c r="K514" s="10" t="n">
        <f aca="false">Inputs!$B$14*Inputs!$B$7*(1+Inputs!$B$22)^(B514-1)/12</f>
        <v>1328.92225351471</v>
      </c>
      <c r="L514" s="10" t="n">
        <f aca="false">Inputs!$B$15*(1+Inputs!$B$22)^(B514-1)</f>
        <v>0</v>
      </c>
      <c r="M514" s="10" t="n">
        <f aca="false">INDEX(Annual!$N$2:$N$51,B514)/12</f>
        <v>0</v>
      </c>
      <c r="N514" s="10" t="n">
        <f aca="false">D514+E514+G514+I514+J514+K514+L514-M514</f>
        <v>3940.67734696317</v>
      </c>
      <c r="O514" s="10" t="n">
        <f aca="false">Inputs!$B$17*(1+Inputs!$B$18)^(B514-1)+Inputs!$B$19*(1+Inputs!$B$22)^(B514-1)</f>
        <v>10650.9861881596</v>
      </c>
      <c r="P514" s="10" t="n">
        <f aca="false">N514-O514</f>
        <v>-6710.3088411964</v>
      </c>
      <c r="Q514" s="10" t="n">
        <f aca="false">Q513*(1+Inputs!$B$42)-U514+MAX(P514,0)</f>
        <v>3536460.28852499</v>
      </c>
      <c r="R514" s="10" t="n">
        <f aca="false">R513+Q513*Inputs!$B$48-U514+MAX(P514,0)</f>
        <v>716697.076109408</v>
      </c>
      <c r="S514" s="10" t="n">
        <f aca="false">S513*(1+Inputs!$B$42)-V514+MAX(-P514,0)</f>
        <v>1622171.24943722</v>
      </c>
      <c r="T514" s="10" t="n">
        <f aca="false">T513+S513*Inputs!$B$48-V514+MAX(-P514,0)</f>
        <v>1044695.87429769</v>
      </c>
      <c r="U514" s="10" t="n">
        <f aca="false">Q513*Inputs!$B$48*Inputs!$B$29</f>
        <v>483.595464980928</v>
      </c>
      <c r="V514" s="10" t="n">
        <f aca="false">S513*Inputs!$B$48*Inputs!$B$29</f>
        <v>220.907212576648</v>
      </c>
    </row>
    <row r="515" customFormat="false" ht="15" hidden="false" customHeight="false" outlineLevel="0" collapsed="false">
      <c r="A515" s="16" t="n">
        <v>514</v>
      </c>
      <c r="B515" s="16" t="n">
        <f aca="false">ROUNDUP(A515/12,0)</f>
        <v>43</v>
      </c>
      <c r="C515" s="10" t="n">
        <f aca="false">F514</f>
        <v>1.28693500300869E-010</v>
      </c>
      <c r="D515" s="10" t="n">
        <f aca="false">IF(AND(A515&lt;=Inputs!$B$9*12,C515&gt;0.000001),C515*Inputs!$B$10/12,0)</f>
        <v>0</v>
      </c>
      <c r="E515" s="10" t="n">
        <f aca="false">IF(AND(A515&lt;=Inputs!$B$9*12,C515&gt;0.000001),MIN(C515,Inputs!$B$41-D515),0)</f>
        <v>0</v>
      </c>
      <c r="F515" s="10" t="n">
        <f aca="false">C515-E515</f>
        <v>1.28693500300869E-010</v>
      </c>
      <c r="G515" s="10" t="n">
        <f aca="false">IF(AND(Inputs!$B$43=1,C515&gt;0.78*Inputs!$B$7,A515&lt;=Inputs!$B$9*6),Inputs!$B$16*Inputs!$B$39/12,0)</f>
        <v>0</v>
      </c>
      <c r="H515" s="10" t="n">
        <f aca="false">IF(B515=1,Inputs!$B$7,INDEX(Annual!$AC$2:$AC$51,B515-1))</f>
        <v>2596391.95558814</v>
      </c>
      <c r="I515" s="10" t="n">
        <f aca="false">Inputs!$B$12*IF(Inputs!$B$35="",H515,MIN(H515,Inputs!$B$7*(1+Inputs!$B$35)^(B515-1)))/12</f>
        <v>1947.29396669111</v>
      </c>
      <c r="J515" s="10" t="n">
        <f aca="false">Inputs!$B$13*Inputs!$B$7*(1+Inputs!$B$22)^(B515-1)/12</f>
        <v>664.461126757353</v>
      </c>
      <c r="K515" s="10" t="n">
        <f aca="false">Inputs!$B$14*Inputs!$B$7*(1+Inputs!$B$22)^(B515-1)/12</f>
        <v>1328.92225351471</v>
      </c>
      <c r="L515" s="10" t="n">
        <f aca="false">Inputs!$B$15*(1+Inputs!$B$22)^(B515-1)</f>
        <v>0</v>
      </c>
      <c r="M515" s="10" t="n">
        <f aca="false">INDEX(Annual!$N$2:$N$51,B515)/12</f>
        <v>0</v>
      </c>
      <c r="N515" s="10" t="n">
        <f aca="false">D515+E515+G515+I515+J515+K515+L515-M515</f>
        <v>3940.67734696317</v>
      </c>
      <c r="O515" s="10" t="n">
        <f aca="false">Inputs!$B$17*(1+Inputs!$B$18)^(B515-1)+Inputs!$B$19*(1+Inputs!$B$22)^(B515-1)</f>
        <v>10650.9861881596</v>
      </c>
      <c r="P515" s="10" t="n">
        <f aca="false">N515-O515</f>
        <v>-6710.3088411964</v>
      </c>
      <c r="Q515" s="10" t="n">
        <f aca="false">Q514*(1+Inputs!$B$42)-U515+MAX(P515,0)</f>
        <v>3555969.68586342</v>
      </c>
      <c r="R515" s="10" t="n">
        <f aca="false">R514+Q514*Inputs!$B$48-U515+MAX(P515,0)</f>
        <v>719452.568084217</v>
      </c>
      <c r="S515" s="10" t="n">
        <f aca="false">S514*(1+Inputs!$B$42)-V515+MAX(-P515,0)</f>
        <v>1637830.50181921</v>
      </c>
      <c r="T515" s="10" t="n">
        <f aca="false">T514+S514*Inputs!$B$48-V515+MAX(-P515,0)</f>
        <v>1052670.12490407</v>
      </c>
      <c r="U515" s="10" t="n">
        <f aca="false">Q514*Inputs!$B$48*Inputs!$B$29</f>
        <v>486.263289672185</v>
      </c>
      <c r="V515" s="10" t="n">
        <f aca="false">S514*Inputs!$B$48*Inputs!$B$29</f>
        <v>223.048546797618</v>
      </c>
    </row>
    <row r="516" customFormat="false" ht="15" hidden="false" customHeight="false" outlineLevel="0" collapsed="false">
      <c r="A516" s="16" t="n">
        <v>515</v>
      </c>
      <c r="B516" s="16" t="n">
        <f aca="false">ROUNDUP(A516/12,0)</f>
        <v>43</v>
      </c>
      <c r="C516" s="10" t="n">
        <f aca="false">F515</f>
        <v>1.28693500300869E-010</v>
      </c>
      <c r="D516" s="10" t="n">
        <f aca="false">IF(AND(A516&lt;=Inputs!$B$9*12,C516&gt;0.000001),C516*Inputs!$B$10/12,0)</f>
        <v>0</v>
      </c>
      <c r="E516" s="10" t="n">
        <f aca="false">IF(AND(A516&lt;=Inputs!$B$9*12,C516&gt;0.000001),MIN(C516,Inputs!$B$41-D516),0)</f>
        <v>0</v>
      </c>
      <c r="F516" s="10" t="n">
        <f aca="false">C516-E516</f>
        <v>1.28693500300869E-010</v>
      </c>
      <c r="G516" s="10" t="n">
        <f aca="false">IF(AND(Inputs!$B$43=1,C516&gt;0.78*Inputs!$B$7,A516&lt;=Inputs!$B$9*6),Inputs!$B$16*Inputs!$B$39/12,0)</f>
        <v>0</v>
      </c>
      <c r="H516" s="10" t="n">
        <f aca="false">IF(B516=1,Inputs!$B$7,INDEX(Annual!$AC$2:$AC$51,B516-1))</f>
        <v>2596391.95558814</v>
      </c>
      <c r="I516" s="10" t="n">
        <f aca="false">Inputs!$B$12*IF(Inputs!$B$35="",H516,MIN(H516,Inputs!$B$7*(1+Inputs!$B$35)^(B516-1)))/12</f>
        <v>1947.29396669111</v>
      </c>
      <c r="J516" s="10" t="n">
        <f aca="false">Inputs!$B$13*Inputs!$B$7*(1+Inputs!$B$22)^(B516-1)/12</f>
        <v>664.461126757353</v>
      </c>
      <c r="K516" s="10" t="n">
        <f aca="false">Inputs!$B$14*Inputs!$B$7*(1+Inputs!$B$22)^(B516-1)/12</f>
        <v>1328.92225351471</v>
      </c>
      <c r="L516" s="10" t="n">
        <f aca="false">Inputs!$B$15*(1+Inputs!$B$22)^(B516-1)</f>
        <v>0</v>
      </c>
      <c r="M516" s="10" t="n">
        <f aca="false">INDEX(Annual!$N$2:$N$51,B516)/12</f>
        <v>0</v>
      </c>
      <c r="N516" s="10" t="n">
        <f aca="false">D516+E516+G516+I516+J516+K516+L516-M516</f>
        <v>3940.67734696317</v>
      </c>
      <c r="O516" s="10" t="n">
        <f aca="false">Inputs!$B$17*(1+Inputs!$B$18)^(B516-1)+Inputs!$B$19*(1+Inputs!$B$22)^(B516-1)</f>
        <v>10650.9861881596</v>
      </c>
      <c r="P516" s="10" t="n">
        <f aca="false">N516-O516</f>
        <v>-6710.3088411964</v>
      </c>
      <c r="Q516" s="10" t="n">
        <f aca="false">Q515*(1+Inputs!$B$42)-U516+MAX(P516,0)</f>
        <v>3575586.70962869</v>
      </c>
      <c r="R516" s="10" t="n">
        <f aca="false">R515+Q515*Inputs!$B$48-U516+MAX(P516,0)</f>
        <v>722223.261131119</v>
      </c>
      <c r="S516" s="10" t="n">
        <f aca="false">S515*(1+Inputs!$B$42)-V516+MAX(-P516,0)</f>
        <v>1653576.14074362</v>
      </c>
      <c r="T516" s="10" t="n">
        <f aca="false">T515+S515*Inputs!$B$48-V516+MAX(-P516,0)</f>
        <v>1060656.57667793</v>
      </c>
      <c r="U516" s="10" t="n">
        <f aca="false">Q515*Inputs!$B$48*Inputs!$B$29</f>
        <v>488.94583180622</v>
      </c>
      <c r="V516" s="10" t="n">
        <f aca="false">S515*Inputs!$B$48*Inputs!$B$29</f>
        <v>225.201694000141</v>
      </c>
    </row>
    <row r="517" customFormat="false" ht="15" hidden="false" customHeight="false" outlineLevel="0" collapsed="false">
      <c r="A517" s="16" t="n">
        <v>516</v>
      </c>
      <c r="B517" s="16" t="n">
        <f aca="false">ROUNDUP(A517/12,0)</f>
        <v>43</v>
      </c>
      <c r="C517" s="10" t="n">
        <f aca="false">F516</f>
        <v>1.28693500300869E-010</v>
      </c>
      <c r="D517" s="10" t="n">
        <f aca="false">IF(AND(A517&lt;=Inputs!$B$9*12,C517&gt;0.000001),C517*Inputs!$B$10/12,0)</f>
        <v>0</v>
      </c>
      <c r="E517" s="10" t="n">
        <f aca="false">IF(AND(A517&lt;=Inputs!$B$9*12,C517&gt;0.000001),MIN(C517,Inputs!$B$41-D517),0)</f>
        <v>0</v>
      </c>
      <c r="F517" s="10" t="n">
        <f aca="false">C517-E517</f>
        <v>1.28693500300869E-010</v>
      </c>
      <c r="G517" s="10" t="n">
        <f aca="false">IF(AND(Inputs!$B$43=1,C517&gt;0.78*Inputs!$B$7,A517&lt;=Inputs!$B$9*6),Inputs!$B$16*Inputs!$B$39/12,0)</f>
        <v>0</v>
      </c>
      <c r="H517" s="10" t="n">
        <f aca="false">IF(B517=1,Inputs!$B$7,INDEX(Annual!$AC$2:$AC$51,B517-1))</f>
        <v>2596391.95558814</v>
      </c>
      <c r="I517" s="10" t="n">
        <f aca="false">Inputs!$B$12*IF(Inputs!$B$35="",H517,MIN(H517,Inputs!$B$7*(1+Inputs!$B$35)^(B517-1)))/12</f>
        <v>1947.29396669111</v>
      </c>
      <c r="J517" s="10" t="n">
        <f aca="false">Inputs!$B$13*Inputs!$B$7*(1+Inputs!$B$22)^(B517-1)/12</f>
        <v>664.461126757353</v>
      </c>
      <c r="K517" s="10" t="n">
        <f aca="false">Inputs!$B$14*Inputs!$B$7*(1+Inputs!$B$22)^(B517-1)/12</f>
        <v>1328.92225351471</v>
      </c>
      <c r="L517" s="10" t="n">
        <f aca="false">Inputs!$B$15*(1+Inputs!$B$22)^(B517-1)</f>
        <v>0</v>
      </c>
      <c r="M517" s="10" t="n">
        <f aca="false">INDEX(Annual!$N$2:$N$51,B517)/12</f>
        <v>0</v>
      </c>
      <c r="N517" s="10" t="n">
        <f aca="false">D517+E517+G517+I517+J517+K517+L517-M517</f>
        <v>3940.67734696317</v>
      </c>
      <c r="O517" s="10" t="n">
        <f aca="false">Inputs!$B$17*(1+Inputs!$B$18)^(B517-1)+Inputs!$B$19*(1+Inputs!$B$22)^(B517-1)</f>
        <v>10650.9861881596</v>
      </c>
      <c r="P517" s="10" t="n">
        <f aca="false">N517-O517</f>
        <v>-6710.3088411964</v>
      </c>
      <c r="Q517" s="10" t="n">
        <f aca="false">Q516*(1+Inputs!$B$42)-U517+MAX(P517,0)</f>
        <v>3595311.95355763</v>
      </c>
      <c r="R517" s="10" t="n">
        <f aca="false">R516+Q516*Inputs!$B$48-U517+MAX(P517,0)</f>
        <v>725009.239109038</v>
      </c>
      <c r="S517" s="10" t="n">
        <f aca="false">S516*(1+Inputs!$B$42)-V517+MAX(-P517,0)</f>
        <v>1669408.64277437</v>
      </c>
      <c r="T517" s="10" t="n">
        <f aca="false">T516+S516*Inputs!$B$48-V517+MAX(-P517,0)</f>
        <v>1068655.29692879</v>
      </c>
      <c r="U517" s="10" t="n">
        <f aca="false">Q516*Inputs!$B$48*Inputs!$B$29</f>
        <v>491.643172573945</v>
      </c>
      <c r="V517" s="10" t="n">
        <f aca="false">S516*Inputs!$B$48*Inputs!$B$29</f>
        <v>227.366719352247</v>
      </c>
    </row>
    <row r="518" customFormat="false" ht="15" hidden="false" customHeight="false" outlineLevel="0" collapsed="false">
      <c r="A518" s="16" t="n">
        <v>517</v>
      </c>
      <c r="B518" s="16" t="n">
        <f aca="false">ROUNDUP(A518/12,0)</f>
        <v>44</v>
      </c>
      <c r="C518" s="10" t="n">
        <f aca="false">F517</f>
        <v>1.28693500300869E-010</v>
      </c>
      <c r="D518" s="10" t="n">
        <f aca="false">IF(AND(A518&lt;=Inputs!$B$9*12,C518&gt;0.000001),C518*Inputs!$B$10/12,0)</f>
        <v>0</v>
      </c>
      <c r="E518" s="10" t="n">
        <f aca="false">IF(AND(A518&lt;=Inputs!$B$9*12,C518&gt;0.000001),MIN(C518,Inputs!$B$41-D518),0)</f>
        <v>0</v>
      </c>
      <c r="F518" s="10" t="n">
        <f aca="false">C518-E518</f>
        <v>1.28693500300869E-010</v>
      </c>
      <c r="G518" s="10" t="n">
        <f aca="false">IF(AND(Inputs!$B$43=1,C518&gt;0.78*Inputs!$B$7,A518&lt;=Inputs!$B$9*6),Inputs!$B$16*Inputs!$B$39/12,0)</f>
        <v>0</v>
      </c>
      <c r="H518" s="10" t="n">
        <f aca="false">IF(B518=1,Inputs!$B$7,INDEX(Annual!$AC$2:$AC$51,B518-1))</f>
        <v>2700247.63381167</v>
      </c>
      <c r="I518" s="10" t="n">
        <f aca="false">Inputs!$B$12*IF(Inputs!$B$35="",H518,MIN(H518,Inputs!$B$7*(1+Inputs!$B$35)^(B518-1)))/12</f>
        <v>2025.18572535875</v>
      </c>
      <c r="J518" s="10" t="n">
        <f aca="false">Inputs!$B$13*Inputs!$B$7*(1+Inputs!$B$22)^(B518-1)/12</f>
        <v>683.066038306559</v>
      </c>
      <c r="K518" s="10" t="n">
        <f aca="false">Inputs!$B$14*Inputs!$B$7*(1+Inputs!$B$22)^(B518-1)/12</f>
        <v>1366.13207661312</v>
      </c>
      <c r="L518" s="10" t="n">
        <f aca="false">Inputs!$B$15*(1+Inputs!$B$22)^(B518-1)</f>
        <v>0</v>
      </c>
      <c r="M518" s="10" t="n">
        <f aca="false">INDEX(Annual!$N$2:$N$51,B518)/12</f>
        <v>0</v>
      </c>
      <c r="N518" s="10" t="n">
        <f aca="false">D518+E518+G518+I518+J518+K518+L518-M518</f>
        <v>4074.38384027843</v>
      </c>
      <c r="O518" s="10" t="n">
        <f aca="false">Inputs!$B$17*(1+Inputs!$B$18)^(B518-1)+Inputs!$B$19*(1+Inputs!$B$22)^(B518-1)</f>
        <v>11023.4358163373</v>
      </c>
      <c r="P518" s="10" t="n">
        <f aca="false">N518-O518</f>
        <v>-6949.05197605884</v>
      </c>
      <c r="Q518" s="10" t="n">
        <f aca="false">Q517*(1+Inputs!$B$42)-U518+MAX(P518,0)</f>
        <v>3615146.01466251</v>
      </c>
      <c r="R518" s="10" t="n">
        <f aca="false">R517+Q517*Inputs!$B$48-U518+MAX(P518,0)</f>
        <v>727810.586339518</v>
      </c>
      <c r="S518" s="10" t="n">
        <f aca="false">S517*(1+Inputs!$B$42)-V518+MAX(-P518,0)</f>
        <v>1685567.23023928</v>
      </c>
      <c r="T518" s="10" t="n">
        <f aca="false">T517+S517*Inputs!$B$48-V518+MAX(-P518,0)</f>
        <v>1076905.09647235</v>
      </c>
      <c r="U518" s="10" t="n">
        <f aca="false">Q517*Inputs!$B$48*Inputs!$B$29</f>
        <v>494.355393614174</v>
      </c>
      <c r="V518" s="10" t="n">
        <f aca="false">S517*Inputs!$B$48*Inputs!$B$29</f>
        <v>229.543688381476</v>
      </c>
    </row>
    <row r="519" customFormat="false" ht="15" hidden="false" customHeight="false" outlineLevel="0" collapsed="false">
      <c r="A519" s="16" t="n">
        <v>518</v>
      </c>
      <c r="B519" s="16" t="n">
        <f aca="false">ROUNDUP(A519/12,0)</f>
        <v>44</v>
      </c>
      <c r="C519" s="10" t="n">
        <f aca="false">F518</f>
        <v>1.28693500300869E-010</v>
      </c>
      <c r="D519" s="10" t="n">
        <f aca="false">IF(AND(A519&lt;=Inputs!$B$9*12,C519&gt;0.000001),C519*Inputs!$B$10/12,0)</f>
        <v>0</v>
      </c>
      <c r="E519" s="10" t="n">
        <f aca="false">IF(AND(A519&lt;=Inputs!$B$9*12,C519&gt;0.000001),MIN(C519,Inputs!$B$41-D519),0)</f>
        <v>0</v>
      </c>
      <c r="F519" s="10" t="n">
        <f aca="false">C519-E519</f>
        <v>1.28693500300869E-010</v>
      </c>
      <c r="G519" s="10" t="n">
        <f aca="false">IF(AND(Inputs!$B$43=1,C519&gt;0.78*Inputs!$B$7,A519&lt;=Inputs!$B$9*6),Inputs!$B$16*Inputs!$B$39/12,0)</f>
        <v>0</v>
      </c>
      <c r="H519" s="10" t="n">
        <f aca="false">IF(B519=1,Inputs!$B$7,INDEX(Annual!$AC$2:$AC$51,B519-1))</f>
        <v>2700247.63381167</v>
      </c>
      <c r="I519" s="10" t="n">
        <f aca="false">Inputs!$B$12*IF(Inputs!$B$35="",H519,MIN(H519,Inputs!$B$7*(1+Inputs!$B$35)^(B519-1)))/12</f>
        <v>2025.18572535875</v>
      </c>
      <c r="J519" s="10" t="n">
        <f aca="false">Inputs!$B$13*Inputs!$B$7*(1+Inputs!$B$22)^(B519-1)/12</f>
        <v>683.066038306559</v>
      </c>
      <c r="K519" s="10" t="n">
        <f aca="false">Inputs!$B$14*Inputs!$B$7*(1+Inputs!$B$22)^(B519-1)/12</f>
        <v>1366.13207661312</v>
      </c>
      <c r="L519" s="10" t="n">
        <f aca="false">Inputs!$B$15*(1+Inputs!$B$22)^(B519-1)</f>
        <v>0</v>
      </c>
      <c r="M519" s="10" t="n">
        <f aca="false">INDEX(Annual!$N$2:$N$51,B519)/12</f>
        <v>0</v>
      </c>
      <c r="N519" s="10" t="n">
        <f aca="false">D519+E519+G519+I519+J519+K519+L519-M519</f>
        <v>4074.38384027843</v>
      </c>
      <c r="O519" s="10" t="n">
        <f aca="false">Inputs!$B$17*(1+Inputs!$B$18)^(B519-1)+Inputs!$B$19*(1+Inputs!$B$22)^(B519-1)</f>
        <v>11023.4358163373</v>
      </c>
      <c r="P519" s="10" t="n">
        <f aca="false">N519-O519</f>
        <v>-6949.05197605884</v>
      </c>
      <c r="Q519" s="10" t="n">
        <f aca="false">Q518*(1+Inputs!$B$42)-U519+MAX(P519,0)</f>
        <v>3635089.49324909</v>
      </c>
      <c r="R519" s="10" t="n">
        <f aca="false">R518+Q518*Inputs!$B$48-U519+MAX(P519,0)</f>
        <v>730627.387609276</v>
      </c>
      <c r="S519" s="10" t="n">
        <f aca="false">S518*(1+Inputs!$B$42)-V519+MAX(-P519,0)</f>
        <v>1701814.9589012</v>
      </c>
      <c r="T519" s="10" t="n">
        <f aca="false">T518+S518*Inputs!$B$48-V519+MAX(-P519,0)</f>
        <v>1085167.48624863</v>
      </c>
      <c r="U519" s="10" t="n">
        <f aca="false">Q518*Inputs!$B$48*Inputs!$B$29</f>
        <v>497.082577016095</v>
      </c>
      <c r="V519" s="10" t="n">
        <f aca="false">S518*Inputs!$B$48*Inputs!$B$29</f>
        <v>231.765494157902</v>
      </c>
    </row>
    <row r="520" customFormat="false" ht="15" hidden="false" customHeight="false" outlineLevel="0" collapsed="false">
      <c r="A520" s="16" t="n">
        <v>519</v>
      </c>
      <c r="B520" s="16" t="n">
        <f aca="false">ROUNDUP(A520/12,0)</f>
        <v>44</v>
      </c>
      <c r="C520" s="10" t="n">
        <f aca="false">F519</f>
        <v>1.28693500300869E-010</v>
      </c>
      <c r="D520" s="10" t="n">
        <f aca="false">IF(AND(A520&lt;=Inputs!$B$9*12,C520&gt;0.000001),C520*Inputs!$B$10/12,0)</f>
        <v>0</v>
      </c>
      <c r="E520" s="10" t="n">
        <f aca="false">IF(AND(A520&lt;=Inputs!$B$9*12,C520&gt;0.000001),MIN(C520,Inputs!$B$41-D520),0)</f>
        <v>0</v>
      </c>
      <c r="F520" s="10" t="n">
        <f aca="false">C520-E520</f>
        <v>1.28693500300869E-010</v>
      </c>
      <c r="G520" s="10" t="n">
        <f aca="false">IF(AND(Inputs!$B$43=1,C520&gt;0.78*Inputs!$B$7,A520&lt;=Inputs!$B$9*6),Inputs!$B$16*Inputs!$B$39/12,0)</f>
        <v>0</v>
      </c>
      <c r="H520" s="10" t="n">
        <f aca="false">IF(B520=1,Inputs!$B$7,INDEX(Annual!$AC$2:$AC$51,B520-1))</f>
        <v>2700247.63381167</v>
      </c>
      <c r="I520" s="10" t="n">
        <f aca="false">Inputs!$B$12*IF(Inputs!$B$35="",H520,MIN(H520,Inputs!$B$7*(1+Inputs!$B$35)^(B520-1)))/12</f>
        <v>2025.18572535875</v>
      </c>
      <c r="J520" s="10" t="n">
        <f aca="false">Inputs!$B$13*Inputs!$B$7*(1+Inputs!$B$22)^(B520-1)/12</f>
        <v>683.066038306559</v>
      </c>
      <c r="K520" s="10" t="n">
        <f aca="false">Inputs!$B$14*Inputs!$B$7*(1+Inputs!$B$22)^(B520-1)/12</f>
        <v>1366.13207661312</v>
      </c>
      <c r="L520" s="10" t="n">
        <f aca="false">Inputs!$B$15*(1+Inputs!$B$22)^(B520-1)</f>
        <v>0</v>
      </c>
      <c r="M520" s="10" t="n">
        <f aca="false">INDEX(Annual!$N$2:$N$51,B520)/12</f>
        <v>0</v>
      </c>
      <c r="N520" s="10" t="n">
        <f aca="false">D520+E520+G520+I520+J520+K520+L520-M520</f>
        <v>4074.38384027843</v>
      </c>
      <c r="O520" s="10" t="n">
        <f aca="false">Inputs!$B$17*(1+Inputs!$B$18)^(B520-1)+Inputs!$B$19*(1+Inputs!$B$22)^(B520-1)</f>
        <v>11023.4358163373</v>
      </c>
      <c r="P520" s="10" t="n">
        <f aca="false">N520-O520</f>
        <v>-6949.05197605884</v>
      </c>
      <c r="Q520" s="10" t="n">
        <f aca="false">Q519*(1+Inputs!$B$42)-U520+MAX(P520,0)</f>
        <v>3655142.99293483</v>
      </c>
      <c r="R520" s="10" t="n">
        <f aca="false">R519+Q519*Inputs!$B$48-U520+MAX(P520,0)</f>
        <v>733459.728172766</v>
      </c>
      <c r="S520" s="10" t="n">
        <f aca="false">S519*(1+Inputs!$B$42)-V520+MAX(-P520,0)</f>
        <v>1718152.3205205</v>
      </c>
      <c r="T520" s="10" t="n">
        <f aca="false">T519+S519*Inputs!$B$48-V520+MAX(-P520,0)</f>
        <v>1093442.5357135</v>
      </c>
      <c r="U520" s="10" t="n">
        <f aca="false">Q519*Inputs!$B$48*Inputs!$B$29</f>
        <v>499.82480532175</v>
      </c>
      <c r="V520" s="10" t="n">
        <f aca="false">S519*Inputs!$B$48*Inputs!$B$29</f>
        <v>233.999556848916</v>
      </c>
    </row>
    <row r="521" customFormat="false" ht="15" hidden="false" customHeight="false" outlineLevel="0" collapsed="false">
      <c r="A521" s="16" t="n">
        <v>520</v>
      </c>
      <c r="B521" s="16" t="n">
        <f aca="false">ROUNDUP(A521/12,0)</f>
        <v>44</v>
      </c>
      <c r="C521" s="10" t="n">
        <f aca="false">F520</f>
        <v>1.28693500300869E-010</v>
      </c>
      <c r="D521" s="10" t="n">
        <f aca="false">IF(AND(A521&lt;=Inputs!$B$9*12,C521&gt;0.000001),C521*Inputs!$B$10/12,0)</f>
        <v>0</v>
      </c>
      <c r="E521" s="10" t="n">
        <f aca="false">IF(AND(A521&lt;=Inputs!$B$9*12,C521&gt;0.000001),MIN(C521,Inputs!$B$41-D521),0)</f>
        <v>0</v>
      </c>
      <c r="F521" s="10" t="n">
        <f aca="false">C521-E521</f>
        <v>1.28693500300869E-010</v>
      </c>
      <c r="G521" s="10" t="n">
        <f aca="false">IF(AND(Inputs!$B$43=1,C521&gt;0.78*Inputs!$B$7,A521&lt;=Inputs!$B$9*6),Inputs!$B$16*Inputs!$B$39/12,0)</f>
        <v>0</v>
      </c>
      <c r="H521" s="10" t="n">
        <f aca="false">IF(B521=1,Inputs!$B$7,INDEX(Annual!$AC$2:$AC$51,B521-1))</f>
        <v>2700247.63381167</v>
      </c>
      <c r="I521" s="10" t="n">
        <f aca="false">Inputs!$B$12*IF(Inputs!$B$35="",H521,MIN(H521,Inputs!$B$7*(1+Inputs!$B$35)^(B521-1)))/12</f>
        <v>2025.18572535875</v>
      </c>
      <c r="J521" s="10" t="n">
        <f aca="false">Inputs!$B$13*Inputs!$B$7*(1+Inputs!$B$22)^(B521-1)/12</f>
        <v>683.066038306559</v>
      </c>
      <c r="K521" s="10" t="n">
        <f aca="false">Inputs!$B$14*Inputs!$B$7*(1+Inputs!$B$22)^(B521-1)/12</f>
        <v>1366.13207661312</v>
      </c>
      <c r="L521" s="10" t="n">
        <f aca="false">Inputs!$B$15*(1+Inputs!$B$22)^(B521-1)</f>
        <v>0</v>
      </c>
      <c r="M521" s="10" t="n">
        <f aca="false">INDEX(Annual!$N$2:$N$51,B521)/12</f>
        <v>0</v>
      </c>
      <c r="N521" s="10" t="n">
        <f aca="false">D521+E521+G521+I521+J521+K521+L521-M521</f>
        <v>4074.38384027843</v>
      </c>
      <c r="O521" s="10" t="n">
        <f aca="false">Inputs!$B$17*(1+Inputs!$B$18)^(B521-1)+Inputs!$B$19*(1+Inputs!$B$22)^(B521-1)</f>
        <v>11023.4358163373</v>
      </c>
      <c r="P521" s="10" t="n">
        <f aca="false">N521-O521</f>
        <v>-6949.05197605884</v>
      </c>
      <c r="Q521" s="10" t="n">
        <f aca="false">Q520*(1+Inputs!$B$42)-U521+MAX(P521,0)</f>
        <v>3675307.12066711</v>
      </c>
      <c r="R521" s="10" t="n">
        <f aca="false">R520+Q520*Inputs!$B$48-U521+MAX(P521,0)</f>
        <v>736307.693754761</v>
      </c>
      <c r="S521" s="10" t="n">
        <f aca="false">S520*(1+Inputs!$B$42)-V521+MAX(-P521,0)</f>
        <v>1734579.80957042</v>
      </c>
      <c r="T521" s="10" t="n">
        <f aca="false">T520+S520*Inputs!$B$48-V521+MAX(-P521,0)</f>
        <v>1101730.31470597</v>
      </c>
      <c r="U521" s="10" t="n">
        <f aca="false">Q520*Inputs!$B$48*Inputs!$B$29</f>
        <v>502.582161528539</v>
      </c>
      <c r="V521" s="10" t="n">
        <f aca="false">S520*Inputs!$B$48*Inputs!$B$29</f>
        <v>236.245944071569</v>
      </c>
    </row>
    <row r="522" customFormat="false" ht="15" hidden="false" customHeight="false" outlineLevel="0" collapsed="false">
      <c r="A522" s="16" t="n">
        <v>521</v>
      </c>
      <c r="B522" s="16" t="n">
        <f aca="false">ROUNDUP(A522/12,0)</f>
        <v>44</v>
      </c>
      <c r="C522" s="10" t="n">
        <f aca="false">F521</f>
        <v>1.28693500300869E-010</v>
      </c>
      <c r="D522" s="10" t="n">
        <f aca="false">IF(AND(A522&lt;=Inputs!$B$9*12,C522&gt;0.000001),C522*Inputs!$B$10/12,0)</f>
        <v>0</v>
      </c>
      <c r="E522" s="10" t="n">
        <f aca="false">IF(AND(A522&lt;=Inputs!$B$9*12,C522&gt;0.000001),MIN(C522,Inputs!$B$41-D522),0)</f>
        <v>0</v>
      </c>
      <c r="F522" s="10" t="n">
        <f aca="false">C522-E522</f>
        <v>1.28693500300869E-010</v>
      </c>
      <c r="G522" s="10" t="n">
        <f aca="false">IF(AND(Inputs!$B$43=1,C522&gt;0.78*Inputs!$B$7,A522&lt;=Inputs!$B$9*6),Inputs!$B$16*Inputs!$B$39/12,0)</f>
        <v>0</v>
      </c>
      <c r="H522" s="10" t="n">
        <f aca="false">IF(B522=1,Inputs!$B$7,INDEX(Annual!$AC$2:$AC$51,B522-1))</f>
        <v>2700247.63381167</v>
      </c>
      <c r="I522" s="10" t="n">
        <f aca="false">Inputs!$B$12*IF(Inputs!$B$35="",H522,MIN(H522,Inputs!$B$7*(1+Inputs!$B$35)^(B522-1)))/12</f>
        <v>2025.18572535875</v>
      </c>
      <c r="J522" s="10" t="n">
        <f aca="false">Inputs!$B$13*Inputs!$B$7*(1+Inputs!$B$22)^(B522-1)/12</f>
        <v>683.066038306559</v>
      </c>
      <c r="K522" s="10" t="n">
        <f aca="false">Inputs!$B$14*Inputs!$B$7*(1+Inputs!$B$22)^(B522-1)/12</f>
        <v>1366.13207661312</v>
      </c>
      <c r="L522" s="10" t="n">
        <f aca="false">Inputs!$B$15*(1+Inputs!$B$22)^(B522-1)</f>
        <v>0</v>
      </c>
      <c r="M522" s="10" t="n">
        <f aca="false">INDEX(Annual!$N$2:$N$51,B522)/12</f>
        <v>0</v>
      </c>
      <c r="N522" s="10" t="n">
        <f aca="false">D522+E522+G522+I522+J522+K522+L522-M522</f>
        <v>4074.38384027843</v>
      </c>
      <c r="O522" s="10" t="n">
        <f aca="false">Inputs!$B$17*(1+Inputs!$B$18)^(B522-1)+Inputs!$B$19*(1+Inputs!$B$22)^(B522-1)</f>
        <v>11023.4358163373</v>
      </c>
      <c r="P522" s="10" t="n">
        <f aca="false">N522-O522</f>
        <v>-6949.05197605884</v>
      </c>
      <c r="Q522" s="10" t="n">
        <f aca="false">Q521*(1+Inputs!$B$42)-U522+MAX(P522,0)</f>
        <v>3695582.48674164</v>
      </c>
      <c r="R522" s="10" t="n">
        <f aca="false">R521+Q521*Inputs!$B$48-U522+MAX(P522,0)</f>
        <v>739171.370552947</v>
      </c>
      <c r="S522" s="10" t="n">
        <f aca="false">S521*(1+Inputs!$B$42)-V522+MAX(-P522,0)</f>
        <v>1751097.92325203</v>
      </c>
      <c r="T522" s="10" t="n">
        <f aca="false">T521+S521*Inputs!$B$48-V522+MAX(-P522,0)</f>
        <v>1110030.89345032</v>
      </c>
      <c r="U522" s="10" t="n">
        <f aca="false">Q521*Inputs!$B$48*Inputs!$B$29</f>
        <v>505.354729091728</v>
      </c>
      <c r="V522" s="10" t="n">
        <f aca="false">S521*Inputs!$B$48*Inputs!$B$29</f>
        <v>238.504723815933</v>
      </c>
    </row>
    <row r="523" customFormat="false" ht="15" hidden="false" customHeight="false" outlineLevel="0" collapsed="false">
      <c r="A523" s="16" t="n">
        <v>522</v>
      </c>
      <c r="B523" s="16" t="n">
        <f aca="false">ROUNDUP(A523/12,0)</f>
        <v>44</v>
      </c>
      <c r="C523" s="10" t="n">
        <f aca="false">F522</f>
        <v>1.28693500300869E-010</v>
      </c>
      <c r="D523" s="10" t="n">
        <f aca="false">IF(AND(A523&lt;=Inputs!$B$9*12,C523&gt;0.000001),C523*Inputs!$B$10/12,0)</f>
        <v>0</v>
      </c>
      <c r="E523" s="10" t="n">
        <f aca="false">IF(AND(A523&lt;=Inputs!$B$9*12,C523&gt;0.000001),MIN(C523,Inputs!$B$41-D523),0)</f>
        <v>0</v>
      </c>
      <c r="F523" s="10" t="n">
        <f aca="false">C523-E523</f>
        <v>1.28693500300869E-010</v>
      </c>
      <c r="G523" s="10" t="n">
        <f aca="false">IF(AND(Inputs!$B$43=1,C523&gt;0.78*Inputs!$B$7,A523&lt;=Inputs!$B$9*6),Inputs!$B$16*Inputs!$B$39/12,0)</f>
        <v>0</v>
      </c>
      <c r="H523" s="10" t="n">
        <f aca="false">IF(B523=1,Inputs!$B$7,INDEX(Annual!$AC$2:$AC$51,B523-1))</f>
        <v>2700247.63381167</v>
      </c>
      <c r="I523" s="10" t="n">
        <f aca="false">Inputs!$B$12*IF(Inputs!$B$35="",H523,MIN(H523,Inputs!$B$7*(1+Inputs!$B$35)^(B523-1)))/12</f>
        <v>2025.18572535875</v>
      </c>
      <c r="J523" s="10" t="n">
        <f aca="false">Inputs!$B$13*Inputs!$B$7*(1+Inputs!$B$22)^(B523-1)/12</f>
        <v>683.066038306559</v>
      </c>
      <c r="K523" s="10" t="n">
        <f aca="false">Inputs!$B$14*Inputs!$B$7*(1+Inputs!$B$22)^(B523-1)/12</f>
        <v>1366.13207661312</v>
      </c>
      <c r="L523" s="10" t="n">
        <f aca="false">Inputs!$B$15*(1+Inputs!$B$22)^(B523-1)</f>
        <v>0</v>
      </c>
      <c r="M523" s="10" t="n">
        <f aca="false">INDEX(Annual!$N$2:$N$51,B523)/12</f>
        <v>0</v>
      </c>
      <c r="N523" s="10" t="n">
        <f aca="false">D523+E523+G523+I523+J523+K523+L523-M523</f>
        <v>4074.38384027843</v>
      </c>
      <c r="O523" s="10" t="n">
        <f aca="false">Inputs!$B$17*(1+Inputs!$B$18)^(B523-1)+Inputs!$B$19*(1+Inputs!$B$22)^(B523-1)</f>
        <v>11023.4358163373</v>
      </c>
      <c r="P523" s="10" t="n">
        <f aca="false">N523-O523</f>
        <v>-6949.05197605884</v>
      </c>
      <c r="Q523" s="10" t="n">
        <f aca="false">Q522*(1+Inputs!$B$42)-U523+MAX(P523,0)</f>
        <v>3715969.7048209</v>
      </c>
      <c r="R523" s="10" t="n">
        <f aca="false">R522+Q522*Inputs!$B$48-U523+MAX(P523,0)</f>
        <v>742050.845240534</v>
      </c>
      <c r="S523" s="10" t="n">
        <f aca="false">S522*(1+Inputs!$B$42)-V523+MAX(-P523,0)</f>
        <v>1767707.16150929</v>
      </c>
      <c r="T523" s="10" t="n">
        <f aca="false">T522+S522*Inputs!$B$48-V523+MAX(-P523,0)</f>
        <v>1118344.34255824</v>
      </c>
      <c r="U523" s="10" t="n">
        <f aca="false">Q522*Inputs!$B$48*Inputs!$B$29</f>
        <v>508.142591926975</v>
      </c>
      <c r="V523" s="10" t="n">
        <f aca="false">S522*Inputs!$B$48*Inputs!$B$29</f>
        <v>240.775964447154</v>
      </c>
    </row>
    <row r="524" customFormat="false" ht="15" hidden="false" customHeight="false" outlineLevel="0" collapsed="false">
      <c r="A524" s="16" t="n">
        <v>523</v>
      </c>
      <c r="B524" s="16" t="n">
        <f aca="false">ROUNDUP(A524/12,0)</f>
        <v>44</v>
      </c>
      <c r="C524" s="10" t="n">
        <f aca="false">F523</f>
        <v>1.28693500300869E-010</v>
      </c>
      <c r="D524" s="10" t="n">
        <f aca="false">IF(AND(A524&lt;=Inputs!$B$9*12,C524&gt;0.000001),C524*Inputs!$B$10/12,0)</f>
        <v>0</v>
      </c>
      <c r="E524" s="10" t="n">
        <f aca="false">IF(AND(A524&lt;=Inputs!$B$9*12,C524&gt;0.000001),MIN(C524,Inputs!$B$41-D524),0)</f>
        <v>0</v>
      </c>
      <c r="F524" s="10" t="n">
        <f aca="false">C524-E524</f>
        <v>1.28693500300869E-010</v>
      </c>
      <c r="G524" s="10" t="n">
        <f aca="false">IF(AND(Inputs!$B$43=1,C524&gt;0.78*Inputs!$B$7,A524&lt;=Inputs!$B$9*6),Inputs!$B$16*Inputs!$B$39/12,0)</f>
        <v>0</v>
      </c>
      <c r="H524" s="10" t="n">
        <f aca="false">IF(B524=1,Inputs!$B$7,INDEX(Annual!$AC$2:$AC$51,B524-1))</f>
        <v>2700247.63381167</v>
      </c>
      <c r="I524" s="10" t="n">
        <f aca="false">Inputs!$B$12*IF(Inputs!$B$35="",H524,MIN(H524,Inputs!$B$7*(1+Inputs!$B$35)^(B524-1)))/12</f>
        <v>2025.18572535875</v>
      </c>
      <c r="J524" s="10" t="n">
        <f aca="false">Inputs!$B$13*Inputs!$B$7*(1+Inputs!$B$22)^(B524-1)/12</f>
        <v>683.066038306559</v>
      </c>
      <c r="K524" s="10" t="n">
        <f aca="false">Inputs!$B$14*Inputs!$B$7*(1+Inputs!$B$22)^(B524-1)/12</f>
        <v>1366.13207661312</v>
      </c>
      <c r="L524" s="10" t="n">
        <f aca="false">Inputs!$B$15*(1+Inputs!$B$22)^(B524-1)</f>
        <v>0</v>
      </c>
      <c r="M524" s="10" t="n">
        <f aca="false">INDEX(Annual!$N$2:$N$51,B524)/12</f>
        <v>0</v>
      </c>
      <c r="N524" s="10" t="n">
        <f aca="false">D524+E524+G524+I524+J524+K524+L524-M524</f>
        <v>4074.38384027843</v>
      </c>
      <c r="O524" s="10" t="n">
        <f aca="false">Inputs!$B$17*(1+Inputs!$B$18)^(B524-1)+Inputs!$B$19*(1+Inputs!$B$22)^(B524-1)</f>
        <v>11023.4358163373</v>
      </c>
      <c r="P524" s="10" t="n">
        <f aca="false">N524-O524</f>
        <v>-6949.05197605884</v>
      </c>
      <c r="Q524" s="10" t="n">
        <f aca="false">Q523*(1+Inputs!$B$42)-U524+MAX(P524,0)</f>
        <v>3736469.39195273</v>
      </c>
      <c r="R524" s="10" t="n">
        <f aca="false">R523+Q523*Inputs!$B$48-U524+MAX(P524,0)</f>
        <v>744946.204968873</v>
      </c>
      <c r="S524" s="10" t="n">
        <f aca="false">S523*(1+Inputs!$B$42)-V524+MAX(-P524,0)</f>
        <v>1784408.02704418</v>
      </c>
      <c r="T524" s="10" t="n">
        <f aca="false">T523+S523*Inputs!$B$48-V524+MAX(-P524,0)</f>
        <v>1126670.73303098</v>
      </c>
      <c r="U524" s="10" t="n">
        <f aca="false">Q523*Inputs!$B$48*Inputs!$B$29</f>
        <v>510.945834412873</v>
      </c>
      <c r="V524" s="10" t="n">
        <f aca="false">S523*Inputs!$B$48*Inputs!$B$29</f>
        <v>243.059734707528</v>
      </c>
    </row>
    <row r="525" customFormat="false" ht="15" hidden="false" customHeight="false" outlineLevel="0" collapsed="false">
      <c r="A525" s="16" t="n">
        <v>524</v>
      </c>
      <c r="B525" s="16" t="n">
        <f aca="false">ROUNDUP(A525/12,0)</f>
        <v>44</v>
      </c>
      <c r="C525" s="10" t="n">
        <f aca="false">F524</f>
        <v>1.28693500300869E-010</v>
      </c>
      <c r="D525" s="10" t="n">
        <f aca="false">IF(AND(A525&lt;=Inputs!$B$9*12,C525&gt;0.000001),C525*Inputs!$B$10/12,0)</f>
        <v>0</v>
      </c>
      <c r="E525" s="10" t="n">
        <f aca="false">IF(AND(A525&lt;=Inputs!$B$9*12,C525&gt;0.000001),MIN(C525,Inputs!$B$41-D525),0)</f>
        <v>0</v>
      </c>
      <c r="F525" s="10" t="n">
        <f aca="false">C525-E525</f>
        <v>1.28693500300869E-010</v>
      </c>
      <c r="G525" s="10" t="n">
        <f aca="false">IF(AND(Inputs!$B$43=1,C525&gt;0.78*Inputs!$B$7,A525&lt;=Inputs!$B$9*6),Inputs!$B$16*Inputs!$B$39/12,0)</f>
        <v>0</v>
      </c>
      <c r="H525" s="10" t="n">
        <f aca="false">IF(B525=1,Inputs!$B$7,INDEX(Annual!$AC$2:$AC$51,B525-1))</f>
        <v>2700247.63381167</v>
      </c>
      <c r="I525" s="10" t="n">
        <f aca="false">Inputs!$B$12*IF(Inputs!$B$35="",H525,MIN(H525,Inputs!$B$7*(1+Inputs!$B$35)^(B525-1)))/12</f>
        <v>2025.18572535875</v>
      </c>
      <c r="J525" s="10" t="n">
        <f aca="false">Inputs!$B$13*Inputs!$B$7*(1+Inputs!$B$22)^(B525-1)/12</f>
        <v>683.066038306559</v>
      </c>
      <c r="K525" s="10" t="n">
        <f aca="false">Inputs!$B$14*Inputs!$B$7*(1+Inputs!$B$22)^(B525-1)/12</f>
        <v>1366.13207661312</v>
      </c>
      <c r="L525" s="10" t="n">
        <f aca="false">Inputs!$B$15*(1+Inputs!$B$22)^(B525-1)</f>
        <v>0</v>
      </c>
      <c r="M525" s="10" t="n">
        <f aca="false">INDEX(Annual!$N$2:$N$51,B525)/12</f>
        <v>0</v>
      </c>
      <c r="N525" s="10" t="n">
        <f aca="false">D525+E525+G525+I525+J525+K525+L525-M525</f>
        <v>4074.38384027843</v>
      </c>
      <c r="O525" s="10" t="n">
        <f aca="false">Inputs!$B$17*(1+Inputs!$B$18)^(B525-1)+Inputs!$B$19*(1+Inputs!$B$22)^(B525-1)</f>
        <v>11023.4358163373</v>
      </c>
      <c r="P525" s="10" t="n">
        <f aca="false">N525-O525</f>
        <v>-6949.05197605884</v>
      </c>
      <c r="Q525" s="10" t="n">
        <f aca="false">Q524*(1+Inputs!$B$42)-U525+MAX(P525,0)</f>
        <v>3757082.16858903</v>
      </c>
      <c r="R525" s="10" t="n">
        <f aca="false">R524+Q524*Inputs!$B$48-U525+MAX(P525,0)</f>
        <v>747857.537370103</v>
      </c>
      <c r="S525" s="10" t="n">
        <f aca="false">S524*(1+Inputs!$B$42)-V525+MAX(-P525,0)</f>
        <v>1801201.02533188</v>
      </c>
      <c r="T525" s="10" t="n">
        <f aca="false">T524+S524*Inputs!$B$48-V525+MAX(-P525,0)</f>
        <v>1135010.13626144</v>
      </c>
      <c r="U525" s="10" t="n">
        <f aca="false">Q524*Inputs!$B$48*Inputs!$B$29</f>
        <v>513.764541393501</v>
      </c>
      <c r="V525" s="10" t="n">
        <f aca="false">S524*Inputs!$B$48*Inputs!$B$29</f>
        <v>245.356103718574</v>
      </c>
    </row>
    <row r="526" customFormat="false" ht="15" hidden="false" customHeight="false" outlineLevel="0" collapsed="false">
      <c r="A526" s="16" t="n">
        <v>525</v>
      </c>
      <c r="B526" s="16" t="n">
        <f aca="false">ROUNDUP(A526/12,0)</f>
        <v>44</v>
      </c>
      <c r="C526" s="10" t="n">
        <f aca="false">F525</f>
        <v>1.28693500300869E-010</v>
      </c>
      <c r="D526" s="10" t="n">
        <f aca="false">IF(AND(A526&lt;=Inputs!$B$9*12,C526&gt;0.000001),C526*Inputs!$B$10/12,0)</f>
        <v>0</v>
      </c>
      <c r="E526" s="10" t="n">
        <f aca="false">IF(AND(A526&lt;=Inputs!$B$9*12,C526&gt;0.000001),MIN(C526,Inputs!$B$41-D526),0)</f>
        <v>0</v>
      </c>
      <c r="F526" s="10" t="n">
        <f aca="false">C526-E526</f>
        <v>1.28693500300869E-010</v>
      </c>
      <c r="G526" s="10" t="n">
        <f aca="false">IF(AND(Inputs!$B$43=1,C526&gt;0.78*Inputs!$B$7,A526&lt;=Inputs!$B$9*6),Inputs!$B$16*Inputs!$B$39/12,0)</f>
        <v>0</v>
      </c>
      <c r="H526" s="10" t="n">
        <f aca="false">IF(B526=1,Inputs!$B$7,INDEX(Annual!$AC$2:$AC$51,B526-1))</f>
        <v>2700247.63381167</v>
      </c>
      <c r="I526" s="10" t="n">
        <f aca="false">Inputs!$B$12*IF(Inputs!$B$35="",H526,MIN(H526,Inputs!$B$7*(1+Inputs!$B$35)^(B526-1)))/12</f>
        <v>2025.18572535875</v>
      </c>
      <c r="J526" s="10" t="n">
        <f aca="false">Inputs!$B$13*Inputs!$B$7*(1+Inputs!$B$22)^(B526-1)/12</f>
        <v>683.066038306559</v>
      </c>
      <c r="K526" s="10" t="n">
        <f aca="false">Inputs!$B$14*Inputs!$B$7*(1+Inputs!$B$22)^(B526-1)/12</f>
        <v>1366.13207661312</v>
      </c>
      <c r="L526" s="10" t="n">
        <f aca="false">Inputs!$B$15*(1+Inputs!$B$22)^(B526-1)</f>
        <v>0</v>
      </c>
      <c r="M526" s="10" t="n">
        <f aca="false">INDEX(Annual!$N$2:$N$51,B526)/12</f>
        <v>0</v>
      </c>
      <c r="N526" s="10" t="n">
        <f aca="false">D526+E526+G526+I526+J526+K526+L526-M526</f>
        <v>4074.38384027843</v>
      </c>
      <c r="O526" s="10" t="n">
        <f aca="false">Inputs!$B$17*(1+Inputs!$B$18)^(B526-1)+Inputs!$B$19*(1+Inputs!$B$22)^(B526-1)</f>
        <v>11023.4358163373</v>
      </c>
      <c r="P526" s="10" t="n">
        <f aca="false">N526-O526</f>
        <v>-6949.05197605884</v>
      </c>
      <c r="Q526" s="10" t="n">
        <f aca="false">Q525*(1+Inputs!$B$42)-U526+MAX(P526,0)</f>
        <v>3777808.65860448</v>
      </c>
      <c r="R526" s="10" t="n">
        <f aca="false">R525+Q525*Inputs!$B$48-U526+MAX(P526,0)</f>
        <v>750784.930559795</v>
      </c>
      <c r="S526" s="10" t="n">
        <f aca="false">S525*(1+Inputs!$B$42)-V526+MAX(-P526,0)</f>
        <v>1818086.66463612</v>
      </c>
      <c r="T526" s="10" t="n">
        <f aca="false">T525+S525*Inputs!$B$48-V526+MAX(-P526,0)</f>
        <v>1143362.6240364</v>
      </c>
      <c r="U526" s="10" t="n">
        <f aca="false">Q525*Inputs!$B$48*Inputs!$B$29</f>
        <v>516.598798180992</v>
      </c>
      <c r="V526" s="10" t="n">
        <f aca="false">S525*Inputs!$B$48*Inputs!$B$29</f>
        <v>247.665140983133</v>
      </c>
    </row>
    <row r="527" customFormat="false" ht="15" hidden="false" customHeight="false" outlineLevel="0" collapsed="false">
      <c r="A527" s="16" t="n">
        <v>526</v>
      </c>
      <c r="B527" s="16" t="n">
        <f aca="false">ROUNDUP(A527/12,0)</f>
        <v>44</v>
      </c>
      <c r="C527" s="10" t="n">
        <f aca="false">F526</f>
        <v>1.28693500300869E-010</v>
      </c>
      <c r="D527" s="10" t="n">
        <f aca="false">IF(AND(A527&lt;=Inputs!$B$9*12,C527&gt;0.000001),C527*Inputs!$B$10/12,0)</f>
        <v>0</v>
      </c>
      <c r="E527" s="10" t="n">
        <f aca="false">IF(AND(A527&lt;=Inputs!$B$9*12,C527&gt;0.000001),MIN(C527,Inputs!$B$41-D527),0)</f>
        <v>0</v>
      </c>
      <c r="F527" s="10" t="n">
        <f aca="false">C527-E527</f>
        <v>1.28693500300869E-010</v>
      </c>
      <c r="G527" s="10" t="n">
        <f aca="false">IF(AND(Inputs!$B$43=1,C527&gt;0.78*Inputs!$B$7,A527&lt;=Inputs!$B$9*6),Inputs!$B$16*Inputs!$B$39/12,0)</f>
        <v>0</v>
      </c>
      <c r="H527" s="10" t="n">
        <f aca="false">IF(B527=1,Inputs!$B$7,INDEX(Annual!$AC$2:$AC$51,B527-1))</f>
        <v>2700247.63381167</v>
      </c>
      <c r="I527" s="10" t="n">
        <f aca="false">Inputs!$B$12*IF(Inputs!$B$35="",H527,MIN(H527,Inputs!$B$7*(1+Inputs!$B$35)^(B527-1)))/12</f>
        <v>2025.18572535875</v>
      </c>
      <c r="J527" s="10" t="n">
        <f aca="false">Inputs!$B$13*Inputs!$B$7*(1+Inputs!$B$22)^(B527-1)/12</f>
        <v>683.066038306559</v>
      </c>
      <c r="K527" s="10" t="n">
        <f aca="false">Inputs!$B$14*Inputs!$B$7*(1+Inputs!$B$22)^(B527-1)/12</f>
        <v>1366.13207661312</v>
      </c>
      <c r="L527" s="10" t="n">
        <f aca="false">Inputs!$B$15*(1+Inputs!$B$22)^(B527-1)</f>
        <v>0</v>
      </c>
      <c r="M527" s="10" t="n">
        <f aca="false">INDEX(Annual!$N$2:$N$51,B527)/12</f>
        <v>0</v>
      </c>
      <c r="N527" s="10" t="n">
        <f aca="false">D527+E527+G527+I527+J527+K527+L527-M527</f>
        <v>4074.38384027843</v>
      </c>
      <c r="O527" s="10" t="n">
        <f aca="false">Inputs!$B$17*(1+Inputs!$B$18)^(B527-1)+Inputs!$B$19*(1+Inputs!$B$22)^(B527-1)</f>
        <v>11023.4358163373</v>
      </c>
      <c r="P527" s="10" t="n">
        <f aca="false">N527-O527</f>
        <v>-6949.05197605884</v>
      </c>
      <c r="Q527" s="10" t="n">
        <f aca="false">Q526*(1+Inputs!$B$42)-U527+MAX(P527,0)</f>
        <v>3798649.48931547</v>
      </c>
      <c r="R527" s="10" t="n">
        <f aca="false">R526+Q526*Inputs!$B$48-U527+MAX(P527,0)</f>
        <v>753728.473139625</v>
      </c>
      <c r="S527" s="10" t="n">
        <f aca="false">S526*(1+Inputs!$B$42)-V527+MAX(-P527,0)</f>
        <v>1835065.45602455</v>
      </c>
      <c r="T527" s="10" t="n">
        <f aca="false">T526+S526*Inputs!$B$48-V527+MAX(-P527,0)</f>
        <v>1151728.26853866</v>
      </c>
      <c r="U527" s="10" t="n">
        <f aca="false">Q526*Inputs!$B$48*Inputs!$B$29</f>
        <v>519.448690558116</v>
      </c>
      <c r="V527" s="10" t="n">
        <f aca="false">S526*Inputs!$B$48*Inputs!$B$29</f>
        <v>249.986916387467</v>
      </c>
    </row>
    <row r="528" customFormat="false" ht="15" hidden="false" customHeight="false" outlineLevel="0" collapsed="false">
      <c r="A528" s="16" t="n">
        <v>527</v>
      </c>
      <c r="B528" s="16" t="n">
        <f aca="false">ROUNDUP(A528/12,0)</f>
        <v>44</v>
      </c>
      <c r="C528" s="10" t="n">
        <f aca="false">F527</f>
        <v>1.28693500300869E-010</v>
      </c>
      <c r="D528" s="10" t="n">
        <f aca="false">IF(AND(A528&lt;=Inputs!$B$9*12,C528&gt;0.000001),C528*Inputs!$B$10/12,0)</f>
        <v>0</v>
      </c>
      <c r="E528" s="10" t="n">
        <f aca="false">IF(AND(A528&lt;=Inputs!$B$9*12,C528&gt;0.000001),MIN(C528,Inputs!$B$41-D528),0)</f>
        <v>0</v>
      </c>
      <c r="F528" s="10" t="n">
        <f aca="false">C528-E528</f>
        <v>1.28693500300869E-010</v>
      </c>
      <c r="G528" s="10" t="n">
        <f aca="false">IF(AND(Inputs!$B$43=1,C528&gt;0.78*Inputs!$B$7,A528&lt;=Inputs!$B$9*6),Inputs!$B$16*Inputs!$B$39/12,0)</f>
        <v>0</v>
      </c>
      <c r="H528" s="10" t="n">
        <f aca="false">IF(B528=1,Inputs!$B$7,INDEX(Annual!$AC$2:$AC$51,B528-1))</f>
        <v>2700247.63381167</v>
      </c>
      <c r="I528" s="10" t="n">
        <f aca="false">Inputs!$B$12*IF(Inputs!$B$35="",H528,MIN(H528,Inputs!$B$7*(1+Inputs!$B$35)^(B528-1)))/12</f>
        <v>2025.18572535875</v>
      </c>
      <c r="J528" s="10" t="n">
        <f aca="false">Inputs!$B$13*Inputs!$B$7*(1+Inputs!$B$22)^(B528-1)/12</f>
        <v>683.066038306559</v>
      </c>
      <c r="K528" s="10" t="n">
        <f aca="false">Inputs!$B$14*Inputs!$B$7*(1+Inputs!$B$22)^(B528-1)/12</f>
        <v>1366.13207661312</v>
      </c>
      <c r="L528" s="10" t="n">
        <f aca="false">Inputs!$B$15*(1+Inputs!$B$22)^(B528-1)</f>
        <v>0</v>
      </c>
      <c r="M528" s="10" t="n">
        <f aca="false">INDEX(Annual!$N$2:$N$51,B528)/12</f>
        <v>0</v>
      </c>
      <c r="N528" s="10" t="n">
        <f aca="false">D528+E528+G528+I528+J528+K528+L528-M528</f>
        <v>4074.38384027843</v>
      </c>
      <c r="O528" s="10" t="n">
        <f aca="false">Inputs!$B$17*(1+Inputs!$B$18)^(B528-1)+Inputs!$B$19*(1+Inputs!$B$22)^(B528-1)</f>
        <v>11023.4358163373</v>
      </c>
      <c r="P528" s="10" t="n">
        <f aca="false">N528-O528</f>
        <v>-6949.05197605884</v>
      </c>
      <c r="Q528" s="10" t="n">
        <f aca="false">Q527*(1+Inputs!$B$42)-U528+MAX(P528,0)</f>
        <v>3819605.29149907</v>
      </c>
      <c r="R528" s="10" t="n">
        <f aca="false">R527+Q527*Inputs!$B$48-U528+MAX(P528,0)</f>
        <v>756688.25420005</v>
      </c>
      <c r="S528" s="10" t="n">
        <f aca="false">S527*(1+Inputs!$B$42)-V528+MAX(-P528,0)</f>
        <v>1852137.91338417</v>
      </c>
      <c r="T528" s="10" t="n">
        <f aca="false">T527+S527*Inputs!$B$48-V528+MAX(-P528,0)</f>
        <v>1160107.1423492</v>
      </c>
      <c r="U528" s="10" t="n">
        <f aca="false">Q527*Inputs!$B$48*Inputs!$B$29</f>
        <v>522.314304780877</v>
      </c>
      <c r="V528" s="10" t="n">
        <f aca="false">S527*Inputs!$B$48*Inputs!$B$29</f>
        <v>252.321500203376</v>
      </c>
    </row>
    <row r="529" customFormat="false" ht="15" hidden="false" customHeight="false" outlineLevel="0" collapsed="false">
      <c r="A529" s="16" t="n">
        <v>528</v>
      </c>
      <c r="B529" s="16" t="n">
        <f aca="false">ROUNDUP(A529/12,0)</f>
        <v>44</v>
      </c>
      <c r="C529" s="10" t="n">
        <f aca="false">F528</f>
        <v>1.28693500300869E-010</v>
      </c>
      <c r="D529" s="10" t="n">
        <f aca="false">IF(AND(A529&lt;=Inputs!$B$9*12,C529&gt;0.000001),C529*Inputs!$B$10/12,0)</f>
        <v>0</v>
      </c>
      <c r="E529" s="10" t="n">
        <f aca="false">IF(AND(A529&lt;=Inputs!$B$9*12,C529&gt;0.000001),MIN(C529,Inputs!$B$41-D529),0)</f>
        <v>0</v>
      </c>
      <c r="F529" s="10" t="n">
        <f aca="false">C529-E529</f>
        <v>1.28693500300869E-010</v>
      </c>
      <c r="G529" s="10" t="n">
        <f aca="false">IF(AND(Inputs!$B$43=1,C529&gt;0.78*Inputs!$B$7,A529&lt;=Inputs!$B$9*6),Inputs!$B$16*Inputs!$B$39/12,0)</f>
        <v>0</v>
      </c>
      <c r="H529" s="10" t="n">
        <f aca="false">IF(B529=1,Inputs!$B$7,INDEX(Annual!$AC$2:$AC$51,B529-1))</f>
        <v>2700247.63381167</v>
      </c>
      <c r="I529" s="10" t="n">
        <f aca="false">Inputs!$B$12*IF(Inputs!$B$35="",H529,MIN(H529,Inputs!$B$7*(1+Inputs!$B$35)^(B529-1)))/12</f>
        <v>2025.18572535875</v>
      </c>
      <c r="J529" s="10" t="n">
        <f aca="false">Inputs!$B$13*Inputs!$B$7*(1+Inputs!$B$22)^(B529-1)/12</f>
        <v>683.066038306559</v>
      </c>
      <c r="K529" s="10" t="n">
        <f aca="false">Inputs!$B$14*Inputs!$B$7*(1+Inputs!$B$22)^(B529-1)/12</f>
        <v>1366.13207661312</v>
      </c>
      <c r="L529" s="10" t="n">
        <f aca="false">Inputs!$B$15*(1+Inputs!$B$22)^(B529-1)</f>
        <v>0</v>
      </c>
      <c r="M529" s="10" t="n">
        <f aca="false">INDEX(Annual!$N$2:$N$51,B529)/12</f>
        <v>0</v>
      </c>
      <c r="N529" s="10" t="n">
        <f aca="false">D529+E529+G529+I529+J529+K529+L529-M529</f>
        <v>4074.38384027843</v>
      </c>
      <c r="O529" s="10" t="n">
        <f aca="false">Inputs!$B$17*(1+Inputs!$B$18)^(B529-1)+Inputs!$B$19*(1+Inputs!$B$22)^(B529-1)</f>
        <v>11023.4358163373</v>
      </c>
      <c r="P529" s="10" t="n">
        <f aca="false">N529-O529</f>
        <v>-6949.05197605884</v>
      </c>
      <c r="Q529" s="10" t="n">
        <f aca="false">Q528*(1+Inputs!$B$42)-U529+MAX(P529,0)</f>
        <v>3840676.69941213</v>
      </c>
      <c r="R529" s="10" t="n">
        <f aca="false">R528+Q528*Inputs!$B$48-U529+MAX(P529,0)</f>
        <v>759664.363323009</v>
      </c>
      <c r="S529" s="10" t="n">
        <f aca="false">S528*(1+Inputs!$B$42)-V529+MAX(-P529,0)</f>
        <v>1869304.55343694</v>
      </c>
      <c r="T529" s="10" t="n">
        <f aca="false">T528+S528*Inputs!$B$48-V529+MAX(-P529,0)</f>
        <v>1168499.31844944</v>
      </c>
      <c r="U529" s="10" t="n">
        <f aca="false">Q528*Inputs!$B$48*Inputs!$B$29</f>
        <v>525.195727581122</v>
      </c>
      <c r="V529" s="10" t="n">
        <f aca="false">S528*Inputs!$B$48*Inputs!$B$29</f>
        <v>254.668963090324</v>
      </c>
    </row>
    <row r="530" customFormat="false" ht="15" hidden="false" customHeight="false" outlineLevel="0" collapsed="false">
      <c r="A530" s="16" t="n">
        <v>529</v>
      </c>
      <c r="B530" s="16" t="n">
        <f aca="false">ROUNDUP(A530/12,0)</f>
        <v>45</v>
      </c>
      <c r="C530" s="10" t="n">
        <f aca="false">F529</f>
        <v>1.28693500300869E-010</v>
      </c>
      <c r="D530" s="10" t="n">
        <f aca="false">IF(AND(A530&lt;=Inputs!$B$9*12,C530&gt;0.000001),C530*Inputs!$B$10/12,0)</f>
        <v>0</v>
      </c>
      <c r="E530" s="10" t="n">
        <f aca="false">IF(AND(A530&lt;=Inputs!$B$9*12,C530&gt;0.000001),MIN(C530,Inputs!$B$41-D530),0)</f>
        <v>0</v>
      </c>
      <c r="F530" s="10" t="n">
        <f aca="false">C530-E530</f>
        <v>1.28693500300869E-010</v>
      </c>
      <c r="G530" s="10" t="n">
        <f aca="false">IF(AND(Inputs!$B$43=1,C530&gt;0.78*Inputs!$B$7,A530&lt;=Inputs!$B$9*6),Inputs!$B$16*Inputs!$B$39/12,0)</f>
        <v>0</v>
      </c>
      <c r="H530" s="10" t="n">
        <f aca="false">IF(B530=1,Inputs!$B$7,INDEX(Annual!$AC$2:$AC$51,B530-1))</f>
        <v>2808257.53916414</v>
      </c>
      <c r="I530" s="10" t="n">
        <f aca="false">Inputs!$B$12*IF(Inputs!$B$35="",H530,MIN(H530,Inputs!$B$7*(1+Inputs!$B$35)^(B530-1)))/12</f>
        <v>2106.1931543731</v>
      </c>
      <c r="J530" s="10" t="n">
        <f aca="false">Inputs!$B$13*Inputs!$B$7*(1+Inputs!$B$22)^(B530-1)/12</f>
        <v>702.191887379142</v>
      </c>
      <c r="K530" s="10" t="n">
        <f aca="false">Inputs!$B$14*Inputs!$B$7*(1+Inputs!$B$22)^(B530-1)/12</f>
        <v>1404.38377475828</v>
      </c>
      <c r="L530" s="10" t="n">
        <f aca="false">Inputs!$B$15*(1+Inputs!$B$22)^(B530-1)</f>
        <v>0</v>
      </c>
      <c r="M530" s="10" t="n">
        <f aca="false">INDEX(Annual!$N$2:$N$51,B530)/12</f>
        <v>0</v>
      </c>
      <c r="N530" s="10" t="n">
        <f aca="false">D530+E530+G530+I530+J530+K530+L530-M530</f>
        <v>4212.76881651053</v>
      </c>
      <c r="O530" s="10" t="n">
        <f aca="false">Inputs!$B$17*(1+Inputs!$B$18)^(B530-1)+Inputs!$B$19*(1+Inputs!$B$22)^(B530-1)</f>
        <v>11408.9118046258</v>
      </c>
      <c r="P530" s="10" t="n">
        <f aca="false">N530-O530</f>
        <v>-7196.14298811523</v>
      </c>
      <c r="Q530" s="10" t="n">
        <f aca="false">Q529*(1+Inputs!$B$42)-U530+MAX(P530,0)</f>
        <v>3861864.35081046</v>
      </c>
      <c r="R530" s="10" t="n">
        <f aca="false">R529+Q529*Inputs!$B$48-U530+MAX(P530,0)</f>
        <v>762656.890584635</v>
      </c>
      <c r="S530" s="10" t="n">
        <f aca="false">S529*(1+Inputs!$B$42)-V530+MAX(-P530,0)</f>
        <v>1886812.98676743</v>
      </c>
      <c r="T530" s="10" t="n">
        <f aca="false">T529+S529*Inputs!$B$48-V530+MAX(-P530,0)</f>
        <v>1177151.96123544</v>
      </c>
      <c r="U530" s="10" t="n">
        <f aca="false">Q529*Inputs!$B$48*Inputs!$B$29</f>
        <v>528.093046169168</v>
      </c>
      <c r="V530" s="10" t="n">
        <f aca="false">S529*Inputs!$B$48*Inputs!$B$29</f>
        <v>257.02937609758</v>
      </c>
    </row>
    <row r="531" customFormat="false" ht="15" hidden="false" customHeight="false" outlineLevel="0" collapsed="false">
      <c r="A531" s="16" t="n">
        <v>530</v>
      </c>
      <c r="B531" s="16" t="n">
        <f aca="false">ROUNDUP(A531/12,0)</f>
        <v>45</v>
      </c>
      <c r="C531" s="10" t="n">
        <f aca="false">F530</f>
        <v>1.28693500300869E-010</v>
      </c>
      <c r="D531" s="10" t="n">
        <f aca="false">IF(AND(A531&lt;=Inputs!$B$9*12,C531&gt;0.000001),C531*Inputs!$B$10/12,0)</f>
        <v>0</v>
      </c>
      <c r="E531" s="10" t="n">
        <f aca="false">IF(AND(A531&lt;=Inputs!$B$9*12,C531&gt;0.000001),MIN(C531,Inputs!$B$41-D531),0)</f>
        <v>0</v>
      </c>
      <c r="F531" s="10" t="n">
        <f aca="false">C531-E531</f>
        <v>1.28693500300869E-010</v>
      </c>
      <c r="G531" s="10" t="n">
        <f aca="false">IF(AND(Inputs!$B$43=1,C531&gt;0.78*Inputs!$B$7,A531&lt;=Inputs!$B$9*6),Inputs!$B$16*Inputs!$B$39/12,0)</f>
        <v>0</v>
      </c>
      <c r="H531" s="10" t="n">
        <f aca="false">IF(B531=1,Inputs!$B$7,INDEX(Annual!$AC$2:$AC$51,B531-1))</f>
        <v>2808257.53916414</v>
      </c>
      <c r="I531" s="10" t="n">
        <f aca="false">Inputs!$B$12*IF(Inputs!$B$35="",H531,MIN(H531,Inputs!$B$7*(1+Inputs!$B$35)^(B531-1)))/12</f>
        <v>2106.1931543731</v>
      </c>
      <c r="J531" s="10" t="n">
        <f aca="false">Inputs!$B$13*Inputs!$B$7*(1+Inputs!$B$22)^(B531-1)/12</f>
        <v>702.191887379142</v>
      </c>
      <c r="K531" s="10" t="n">
        <f aca="false">Inputs!$B$14*Inputs!$B$7*(1+Inputs!$B$22)^(B531-1)/12</f>
        <v>1404.38377475828</v>
      </c>
      <c r="L531" s="10" t="n">
        <f aca="false">Inputs!$B$15*(1+Inputs!$B$22)^(B531-1)</f>
        <v>0</v>
      </c>
      <c r="M531" s="10" t="n">
        <f aca="false">INDEX(Annual!$N$2:$N$51,B531)/12</f>
        <v>0</v>
      </c>
      <c r="N531" s="10" t="n">
        <f aca="false">D531+E531+G531+I531+J531+K531+L531-M531</f>
        <v>4212.76881651053</v>
      </c>
      <c r="O531" s="10" t="n">
        <f aca="false">Inputs!$B$17*(1+Inputs!$B$18)^(B531-1)+Inputs!$B$19*(1+Inputs!$B$22)^(B531-1)</f>
        <v>11408.9118046258</v>
      </c>
      <c r="P531" s="10" t="n">
        <f aca="false">N531-O531</f>
        <v>-7196.14298811523</v>
      </c>
      <c r="Q531" s="10" t="n">
        <f aca="false">Q530*(1+Inputs!$B$42)-U531+MAX(P531,0)</f>
        <v>3883168.88696814</v>
      </c>
      <c r="R531" s="10" t="n">
        <f aca="false">R530+Q530*Inputs!$B$48-U531+MAX(P531,0)</f>
        <v>765665.926557974</v>
      </c>
      <c r="S531" s="10" t="n">
        <f aca="false">S530*(1+Inputs!$B$42)-V531+MAX(-P531,0)</f>
        <v>1904418.00791589</v>
      </c>
      <c r="T531" s="10" t="n">
        <f aca="false">T530+S530*Inputs!$B$48-V531+MAX(-P531,0)</f>
        <v>1185818.24600908</v>
      </c>
      <c r="U531" s="10" t="n">
        <f aca="false">Q530*Inputs!$B$48*Inputs!$B$29</f>
        <v>531.006348236438</v>
      </c>
      <c r="V531" s="10" t="n">
        <f aca="false">S530*Inputs!$B$48*Inputs!$B$29</f>
        <v>259.436785680522</v>
      </c>
    </row>
    <row r="532" customFormat="false" ht="15" hidden="false" customHeight="false" outlineLevel="0" collapsed="false">
      <c r="A532" s="16" t="n">
        <v>531</v>
      </c>
      <c r="B532" s="16" t="n">
        <f aca="false">ROUNDUP(A532/12,0)</f>
        <v>45</v>
      </c>
      <c r="C532" s="10" t="n">
        <f aca="false">F531</f>
        <v>1.28693500300869E-010</v>
      </c>
      <c r="D532" s="10" t="n">
        <f aca="false">IF(AND(A532&lt;=Inputs!$B$9*12,C532&gt;0.000001),C532*Inputs!$B$10/12,0)</f>
        <v>0</v>
      </c>
      <c r="E532" s="10" t="n">
        <f aca="false">IF(AND(A532&lt;=Inputs!$B$9*12,C532&gt;0.000001),MIN(C532,Inputs!$B$41-D532),0)</f>
        <v>0</v>
      </c>
      <c r="F532" s="10" t="n">
        <f aca="false">C532-E532</f>
        <v>1.28693500300869E-010</v>
      </c>
      <c r="G532" s="10" t="n">
        <f aca="false">IF(AND(Inputs!$B$43=1,C532&gt;0.78*Inputs!$B$7,A532&lt;=Inputs!$B$9*6),Inputs!$B$16*Inputs!$B$39/12,0)</f>
        <v>0</v>
      </c>
      <c r="H532" s="10" t="n">
        <f aca="false">IF(B532=1,Inputs!$B$7,INDEX(Annual!$AC$2:$AC$51,B532-1))</f>
        <v>2808257.53916414</v>
      </c>
      <c r="I532" s="10" t="n">
        <f aca="false">Inputs!$B$12*IF(Inputs!$B$35="",H532,MIN(H532,Inputs!$B$7*(1+Inputs!$B$35)^(B532-1)))/12</f>
        <v>2106.1931543731</v>
      </c>
      <c r="J532" s="10" t="n">
        <f aca="false">Inputs!$B$13*Inputs!$B$7*(1+Inputs!$B$22)^(B532-1)/12</f>
        <v>702.191887379142</v>
      </c>
      <c r="K532" s="10" t="n">
        <f aca="false">Inputs!$B$14*Inputs!$B$7*(1+Inputs!$B$22)^(B532-1)/12</f>
        <v>1404.38377475828</v>
      </c>
      <c r="L532" s="10" t="n">
        <f aca="false">Inputs!$B$15*(1+Inputs!$B$22)^(B532-1)</f>
        <v>0</v>
      </c>
      <c r="M532" s="10" t="n">
        <f aca="false">INDEX(Annual!$N$2:$N$51,B532)/12</f>
        <v>0</v>
      </c>
      <c r="N532" s="10" t="n">
        <f aca="false">D532+E532+G532+I532+J532+K532+L532-M532</f>
        <v>4212.76881651053</v>
      </c>
      <c r="O532" s="10" t="n">
        <f aca="false">Inputs!$B$17*(1+Inputs!$B$18)^(B532-1)+Inputs!$B$19*(1+Inputs!$B$22)^(B532-1)</f>
        <v>11408.9118046258</v>
      </c>
      <c r="P532" s="10" t="n">
        <f aca="false">N532-O532</f>
        <v>-7196.14298811523</v>
      </c>
      <c r="Q532" s="10" t="n">
        <f aca="false">Q531*(1+Inputs!$B$42)-U532+MAX(P532,0)</f>
        <v>3904590.95269695</v>
      </c>
      <c r="R532" s="10" t="n">
        <f aca="false">R531+Q531*Inputs!$B$48-U532+MAX(P532,0)</f>
        <v>768691.562315737</v>
      </c>
      <c r="S532" s="10" t="n">
        <f aca="false">S531*(1+Inputs!$B$42)-V532+MAX(-P532,0)</f>
        <v>1922120.14972307</v>
      </c>
      <c r="T532" s="10" t="n">
        <f aca="false">T531+S531*Inputs!$B$48-V532+MAX(-P532,0)</f>
        <v>1194498.24802836</v>
      </c>
      <c r="U532" s="10" t="n">
        <f aca="false">Q531*Inputs!$B$48*Inputs!$B$29</f>
        <v>533.935721958119</v>
      </c>
      <c r="V532" s="10" t="n">
        <f aca="false">S531*Inputs!$B$48*Inputs!$B$29</f>
        <v>261.857476088435</v>
      </c>
    </row>
    <row r="533" customFormat="false" ht="15" hidden="false" customHeight="false" outlineLevel="0" collapsed="false">
      <c r="A533" s="16" t="n">
        <v>532</v>
      </c>
      <c r="B533" s="16" t="n">
        <f aca="false">ROUNDUP(A533/12,0)</f>
        <v>45</v>
      </c>
      <c r="C533" s="10" t="n">
        <f aca="false">F532</f>
        <v>1.28693500300869E-010</v>
      </c>
      <c r="D533" s="10" t="n">
        <f aca="false">IF(AND(A533&lt;=Inputs!$B$9*12,C533&gt;0.000001),C533*Inputs!$B$10/12,0)</f>
        <v>0</v>
      </c>
      <c r="E533" s="10" t="n">
        <f aca="false">IF(AND(A533&lt;=Inputs!$B$9*12,C533&gt;0.000001),MIN(C533,Inputs!$B$41-D533),0)</f>
        <v>0</v>
      </c>
      <c r="F533" s="10" t="n">
        <f aca="false">C533-E533</f>
        <v>1.28693500300869E-010</v>
      </c>
      <c r="G533" s="10" t="n">
        <f aca="false">IF(AND(Inputs!$B$43=1,C533&gt;0.78*Inputs!$B$7,A533&lt;=Inputs!$B$9*6),Inputs!$B$16*Inputs!$B$39/12,0)</f>
        <v>0</v>
      </c>
      <c r="H533" s="10" t="n">
        <f aca="false">IF(B533=1,Inputs!$B$7,INDEX(Annual!$AC$2:$AC$51,B533-1))</f>
        <v>2808257.53916414</v>
      </c>
      <c r="I533" s="10" t="n">
        <f aca="false">Inputs!$B$12*IF(Inputs!$B$35="",H533,MIN(H533,Inputs!$B$7*(1+Inputs!$B$35)^(B533-1)))/12</f>
        <v>2106.1931543731</v>
      </c>
      <c r="J533" s="10" t="n">
        <f aca="false">Inputs!$B$13*Inputs!$B$7*(1+Inputs!$B$22)^(B533-1)/12</f>
        <v>702.191887379142</v>
      </c>
      <c r="K533" s="10" t="n">
        <f aca="false">Inputs!$B$14*Inputs!$B$7*(1+Inputs!$B$22)^(B533-1)/12</f>
        <v>1404.38377475828</v>
      </c>
      <c r="L533" s="10" t="n">
        <f aca="false">Inputs!$B$15*(1+Inputs!$B$22)^(B533-1)</f>
        <v>0</v>
      </c>
      <c r="M533" s="10" t="n">
        <f aca="false">INDEX(Annual!$N$2:$N$51,B533)/12</f>
        <v>0</v>
      </c>
      <c r="N533" s="10" t="n">
        <f aca="false">D533+E533+G533+I533+J533+K533+L533-M533</f>
        <v>4212.76881651053</v>
      </c>
      <c r="O533" s="10" t="n">
        <f aca="false">Inputs!$B$17*(1+Inputs!$B$18)^(B533-1)+Inputs!$B$19*(1+Inputs!$B$22)^(B533-1)</f>
        <v>11408.9118046258</v>
      </c>
      <c r="P533" s="10" t="n">
        <f aca="false">N533-O533</f>
        <v>-7196.14298811523</v>
      </c>
      <c r="Q533" s="10" t="n">
        <f aca="false">Q532*(1+Inputs!$B$42)-U533+MAX(P533,0)</f>
        <v>3926131.19636585</v>
      </c>
      <c r="R533" s="10" t="n">
        <f aca="false">R532+Q532*Inputs!$B$48-U533+MAX(P533,0)</f>
        <v>771733.889433047</v>
      </c>
      <c r="S533" s="10" t="n">
        <f aca="false">S532*(1+Inputs!$B$42)-V533+MAX(-P533,0)</f>
        <v>1939919.94796919</v>
      </c>
      <c r="T533" s="10" t="n">
        <f aca="false">T532+S532*Inputs!$B$48-V533+MAX(-P533,0)</f>
        <v>1203192.04296647</v>
      </c>
      <c r="U533" s="10" t="n">
        <f aca="false">Q532*Inputs!$B$48*Inputs!$B$29</f>
        <v>536.88125599583</v>
      </c>
      <c r="V533" s="10" t="n">
        <f aca="false">S532*Inputs!$B$48*Inputs!$B$29</f>
        <v>264.291520586922</v>
      </c>
    </row>
    <row r="534" customFormat="false" ht="15" hidden="false" customHeight="false" outlineLevel="0" collapsed="false">
      <c r="A534" s="16" t="n">
        <v>533</v>
      </c>
      <c r="B534" s="16" t="n">
        <f aca="false">ROUNDUP(A534/12,0)</f>
        <v>45</v>
      </c>
      <c r="C534" s="10" t="n">
        <f aca="false">F533</f>
        <v>1.28693500300869E-010</v>
      </c>
      <c r="D534" s="10" t="n">
        <f aca="false">IF(AND(A534&lt;=Inputs!$B$9*12,C534&gt;0.000001),C534*Inputs!$B$10/12,0)</f>
        <v>0</v>
      </c>
      <c r="E534" s="10" t="n">
        <f aca="false">IF(AND(A534&lt;=Inputs!$B$9*12,C534&gt;0.000001),MIN(C534,Inputs!$B$41-D534),0)</f>
        <v>0</v>
      </c>
      <c r="F534" s="10" t="n">
        <f aca="false">C534-E534</f>
        <v>1.28693500300869E-010</v>
      </c>
      <c r="G534" s="10" t="n">
        <f aca="false">IF(AND(Inputs!$B$43=1,C534&gt;0.78*Inputs!$B$7,A534&lt;=Inputs!$B$9*6),Inputs!$B$16*Inputs!$B$39/12,0)</f>
        <v>0</v>
      </c>
      <c r="H534" s="10" t="n">
        <f aca="false">IF(B534=1,Inputs!$B$7,INDEX(Annual!$AC$2:$AC$51,B534-1))</f>
        <v>2808257.53916414</v>
      </c>
      <c r="I534" s="10" t="n">
        <f aca="false">Inputs!$B$12*IF(Inputs!$B$35="",H534,MIN(H534,Inputs!$B$7*(1+Inputs!$B$35)^(B534-1)))/12</f>
        <v>2106.1931543731</v>
      </c>
      <c r="J534" s="10" t="n">
        <f aca="false">Inputs!$B$13*Inputs!$B$7*(1+Inputs!$B$22)^(B534-1)/12</f>
        <v>702.191887379142</v>
      </c>
      <c r="K534" s="10" t="n">
        <f aca="false">Inputs!$B$14*Inputs!$B$7*(1+Inputs!$B$22)^(B534-1)/12</f>
        <v>1404.38377475828</v>
      </c>
      <c r="L534" s="10" t="n">
        <f aca="false">Inputs!$B$15*(1+Inputs!$B$22)^(B534-1)</f>
        <v>0</v>
      </c>
      <c r="M534" s="10" t="n">
        <f aca="false">INDEX(Annual!$N$2:$N$51,B534)/12</f>
        <v>0</v>
      </c>
      <c r="N534" s="10" t="n">
        <f aca="false">D534+E534+G534+I534+J534+K534+L534-M534</f>
        <v>4212.76881651053</v>
      </c>
      <c r="O534" s="10" t="n">
        <f aca="false">Inputs!$B$17*(1+Inputs!$B$18)^(B534-1)+Inputs!$B$19*(1+Inputs!$B$22)^(B534-1)</f>
        <v>11408.9118046258</v>
      </c>
      <c r="P534" s="10" t="n">
        <f aca="false">N534-O534</f>
        <v>-7196.14298811523</v>
      </c>
      <c r="Q534" s="10" t="n">
        <f aca="false">Q533*(1+Inputs!$B$42)-U534+MAX(P534,0)</f>
        <v>3947790.26992063</v>
      </c>
      <c r="R534" s="10" t="n">
        <f aca="false">R533+Q533*Inputs!$B$48-U534+MAX(P534,0)</f>
        <v>774792.999990215</v>
      </c>
      <c r="S534" s="10" t="n">
        <f aca="false">S533*(1+Inputs!$B$42)-V534+MAX(-P534,0)</f>
        <v>1957817.94139021</v>
      </c>
      <c r="T534" s="10" t="n">
        <f aca="false">T533+S533*Inputs!$B$48-V534+MAX(-P534,0)</f>
        <v>1211899.70691405</v>
      </c>
      <c r="U534" s="10" t="n">
        <f aca="false">Q533*Inputs!$B$48*Inputs!$B$29</f>
        <v>539.843039500304</v>
      </c>
      <c r="V534" s="10" t="n">
        <f aca="false">S533*Inputs!$B$48*Inputs!$B$29</f>
        <v>266.738992845764</v>
      </c>
    </row>
    <row r="535" customFormat="false" ht="15" hidden="false" customHeight="false" outlineLevel="0" collapsed="false">
      <c r="A535" s="16" t="n">
        <v>534</v>
      </c>
      <c r="B535" s="16" t="n">
        <f aca="false">ROUNDUP(A535/12,0)</f>
        <v>45</v>
      </c>
      <c r="C535" s="10" t="n">
        <f aca="false">F534</f>
        <v>1.28693500300869E-010</v>
      </c>
      <c r="D535" s="10" t="n">
        <f aca="false">IF(AND(A535&lt;=Inputs!$B$9*12,C535&gt;0.000001),C535*Inputs!$B$10/12,0)</f>
        <v>0</v>
      </c>
      <c r="E535" s="10" t="n">
        <f aca="false">IF(AND(A535&lt;=Inputs!$B$9*12,C535&gt;0.000001),MIN(C535,Inputs!$B$41-D535),0)</f>
        <v>0</v>
      </c>
      <c r="F535" s="10" t="n">
        <f aca="false">C535-E535</f>
        <v>1.28693500300869E-010</v>
      </c>
      <c r="G535" s="10" t="n">
        <f aca="false">IF(AND(Inputs!$B$43=1,C535&gt;0.78*Inputs!$B$7,A535&lt;=Inputs!$B$9*6),Inputs!$B$16*Inputs!$B$39/12,0)</f>
        <v>0</v>
      </c>
      <c r="H535" s="10" t="n">
        <f aca="false">IF(B535=1,Inputs!$B$7,INDEX(Annual!$AC$2:$AC$51,B535-1))</f>
        <v>2808257.53916414</v>
      </c>
      <c r="I535" s="10" t="n">
        <f aca="false">Inputs!$B$12*IF(Inputs!$B$35="",H535,MIN(H535,Inputs!$B$7*(1+Inputs!$B$35)^(B535-1)))/12</f>
        <v>2106.1931543731</v>
      </c>
      <c r="J535" s="10" t="n">
        <f aca="false">Inputs!$B$13*Inputs!$B$7*(1+Inputs!$B$22)^(B535-1)/12</f>
        <v>702.191887379142</v>
      </c>
      <c r="K535" s="10" t="n">
        <f aca="false">Inputs!$B$14*Inputs!$B$7*(1+Inputs!$B$22)^(B535-1)/12</f>
        <v>1404.38377475828</v>
      </c>
      <c r="L535" s="10" t="n">
        <f aca="false">Inputs!$B$15*(1+Inputs!$B$22)^(B535-1)</f>
        <v>0</v>
      </c>
      <c r="M535" s="10" t="n">
        <f aca="false">INDEX(Annual!$N$2:$N$51,B535)/12</f>
        <v>0</v>
      </c>
      <c r="N535" s="10" t="n">
        <f aca="false">D535+E535+G535+I535+J535+K535+L535-M535</f>
        <v>4212.76881651053</v>
      </c>
      <c r="O535" s="10" t="n">
        <f aca="false">Inputs!$B$17*(1+Inputs!$B$18)^(B535-1)+Inputs!$B$19*(1+Inputs!$B$22)^(B535-1)</f>
        <v>11408.9118046258</v>
      </c>
      <c r="P535" s="10" t="n">
        <f aca="false">N535-O535</f>
        <v>-7196.14298811523</v>
      </c>
      <c r="Q535" s="10" t="n">
        <f aca="false">Q534*(1+Inputs!$B$42)-U535+MAX(P535,0)</f>
        <v>3969568.82890363</v>
      </c>
      <c r="R535" s="10" t="n">
        <f aca="false">R534+Q534*Inputs!$B$48-U535+MAX(P535,0)</f>
        <v>777868.986575528</v>
      </c>
      <c r="S535" s="10" t="n">
        <f aca="false">S534*(1+Inputs!$B$42)-V535+MAX(-P535,0)</f>
        <v>1975814.67169407</v>
      </c>
      <c r="T535" s="10" t="n">
        <f aca="false">T534+S534*Inputs!$B$48-V535+MAX(-P535,0)</f>
        <v>1220621.31638149</v>
      </c>
      <c r="U535" s="10" t="n">
        <f aca="false">Q534*Inputs!$B$48*Inputs!$B$29</f>
        <v>542.821162114086</v>
      </c>
      <c r="V535" s="10" t="n">
        <f aca="false">S534*Inputs!$B$48*Inputs!$B$29</f>
        <v>269.199966941154</v>
      </c>
    </row>
    <row r="536" customFormat="false" ht="15" hidden="false" customHeight="false" outlineLevel="0" collapsed="false">
      <c r="A536" s="16" t="n">
        <v>535</v>
      </c>
      <c r="B536" s="16" t="n">
        <f aca="false">ROUNDUP(A536/12,0)</f>
        <v>45</v>
      </c>
      <c r="C536" s="10" t="n">
        <f aca="false">F535</f>
        <v>1.28693500300869E-010</v>
      </c>
      <c r="D536" s="10" t="n">
        <f aca="false">IF(AND(A536&lt;=Inputs!$B$9*12,C536&gt;0.000001),C536*Inputs!$B$10/12,0)</f>
        <v>0</v>
      </c>
      <c r="E536" s="10" t="n">
        <f aca="false">IF(AND(A536&lt;=Inputs!$B$9*12,C536&gt;0.000001),MIN(C536,Inputs!$B$41-D536),0)</f>
        <v>0</v>
      </c>
      <c r="F536" s="10" t="n">
        <f aca="false">C536-E536</f>
        <v>1.28693500300869E-010</v>
      </c>
      <c r="G536" s="10" t="n">
        <f aca="false">IF(AND(Inputs!$B$43=1,C536&gt;0.78*Inputs!$B$7,A536&lt;=Inputs!$B$9*6),Inputs!$B$16*Inputs!$B$39/12,0)</f>
        <v>0</v>
      </c>
      <c r="H536" s="10" t="n">
        <f aca="false">IF(B536=1,Inputs!$B$7,INDEX(Annual!$AC$2:$AC$51,B536-1))</f>
        <v>2808257.53916414</v>
      </c>
      <c r="I536" s="10" t="n">
        <f aca="false">Inputs!$B$12*IF(Inputs!$B$35="",H536,MIN(H536,Inputs!$B$7*(1+Inputs!$B$35)^(B536-1)))/12</f>
        <v>2106.1931543731</v>
      </c>
      <c r="J536" s="10" t="n">
        <f aca="false">Inputs!$B$13*Inputs!$B$7*(1+Inputs!$B$22)^(B536-1)/12</f>
        <v>702.191887379142</v>
      </c>
      <c r="K536" s="10" t="n">
        <f aca="false">Inputs!$B$14*Inputs!$B$7*(1+Inputs!$B$22)^(B536-1)/12</f>
        <v>1404.38377475828</v>
      </c>
      <c r="L536" s="10" t="n">
        <f aca="false">Inputs!$B$15*(1+Inputs!$B$22)^(B536-1)</f>
        <v>0</v>
      </c>
      <c r="M536" s="10" t="n">
        <f aca="false">INDEX(Annual!$N$2:$N$51,B536)/12</f>
        <v>0</v>
      </c>
      <c r="N536" s="10" t="n">
        <f aca="false">D536+E536+G536+I536+J536+K536+L536-M536</f>
        <v>4212.76881651053</v>
      </c>
      <c r="O536" s="10" t="n">
        <f aca="false">Inputs!$B$17*(1+Inputs!$B$18)^(B536-1)+Inputs!$B$19*(1+Inputs!$B$22)^(B536-1)</f>
        <v>11408.9118046258</v>
      </c>
      <c r="P536" s="10" t="n">
        <f aca="false">N536-O536</f>
        <v>-7196.14298811523</v>
      </c>
      <c r="Q536" s="10" t="n">
        <f aca="false">Q535*(1+Inputs!$B$42)-U536+MAX(P536,0)</f>
        <v>3991467.53247359</v>
      </c>
      <c r="R536" s="10" t="n">
        <f aca="false">R535+Q535*Inputs!$B$48-U536+MAX(P536,0)</f>
        <v>780961.942288049</v>
      </c>
      <c r="S536" s="10" t="n">
        <f aca="false">S535*(1+Inputs!$B$42)-V536+MAX(-P536,0)</f>
        <v>1993910.68357716</v>
      </c>
      <c r="T536" s="10" t="n">
        <f aca="false">T535+S535*Inputs!$B$48-V536+MAX(-P536,0)</f>
        <v>1229356.9483013</v>
      </c>
      <c r="U536" s="10" t="n">
        <f aca="false">Q535*Inputs!$B$48*Inputs!$B$29</f>
        <v>545.815713974249</v>
      </c>
      <c r="V536" s="10" t="n">
        <f aca="false">S535*Inputs!$B$48*Inputs!$B$29</f>
        <v>271.674517357935</v>
      </c>
    </row>
    <row r="537" customFormat="false" ht="15" hidden="false" customHeight="false" outlineLevel="0" collapsed="false">
      <c r="A537" s="16" t="n">
        <v>536</v>
      </c>
      <c r="B537" s="16" t="n">
        <f aca="false">ROUNDUP(A537/12,0)</f>
        <v>45</v>
      </c>
      <c r="C537" s="10" t="n">
        <f aca="false">F536</f>
        <v>1.28693500300869E-010</v>
      </c>
      <c r="D537" s="10" t="n">
        <f aca="false">IF(AND(A537&lt;=Inputs!$B$9*12,C537&gt;0.000001),C537*Inputs!$B$10/12,0)</f>
        <v>0</v>
      </c>
      <c r="E537" s="10" t="n">
        <f aca="false">IF(AND(A537&lt;=Inputs!$B$9*12,C537&gt;0.000001),MIN(C537,Inputs!$B$41-D537),0)</f>
        <v>0</v>
      </c>
      <c r="F537" s="10" t="n">
        <f aca="false">C537-E537</f>
        <v>1.28693500300869E-010</v>
      </c>
      <c r="G537" s="10" t="n">
        <f aca="false">IF(AND(Inputs!$B$43=1,C537&gt;0.78*Inputs!$B$7,A537&lt;=Inputs!$B$9*6),Inputs!$B$16*Inputs!$B$39/12,0)</f>
        <v>0</v>
      </c>
      <c r="H537" s="10" t="n">
        <f aca="false">IF(B537=1,Inputs!$B$7,INDEX(Annual!$AC$2:$AC$51,B537-1))</f>
        <v>2808257.53916414</v>
      </c>
      <c r="I537" s="10" t="n">
        <f aca="false">Inputs!$B$12*IF(Inputs!$B$35="",H537,MIN(H537,Inputs!$B$7*(1+Inputs!$B$35)^(B537-1)))/12</f>
        <v>2106.1931543731</v>
      </c>
      <c r="J537" s="10" t="n">
        <f aca="false">Inputs!$B$13*Inputs!$B$7*(1+Inputs!$B$22)^(B537-1)/12</f>
        <v>702.191887379142</v>
      </c>
      <c r="K537" s="10" t="n">
        <f aca="false">Inputs!$B$14*Inputs!$B$7*(1+Inputs!$B$22)^(B537-1)/12</f>
        <v>1404.38377475828</v>
      </c>
      <c r="L537" s="10" t="n">
        <f aca="false">Inputs!$B$15*(1+Inputs!$B$22)^(B537-1)</f>
        <v>0</v>
      </c>
      <c r="M537" s="10" t="n">
        <f aca="false">INDEX(Annual!$N$2:$N$51,B537)/12</f>
        <v>0</v>
      </c>
      <c r="N537" s="10" t="n">
        <f aca="false">D537+E537+G537+I537+J537+K537+L537-M537</f>
        <v>4212.76881651053</v>
      </c>
      <c r="O537" s="10" t="n">
        <f aca="false">Inputs!$B$17*(1+Inputs!$B$18)^(B537-1)+Inputs!$B$19*(1+Inputs!$B$22)^(B537-1)</f>
        <v>11408.9118046258</v>
      </c>
      <c r="P537" s="10" t="n">
        <f aca="false">N537-O537</f>
        <v>-7196.14298811523</v>
      </c>
      <c r="Q537" s="10" t="n">
        <f aca="false">Q536*(1+Inputs!$B$42)-U537+MAX(P537,0)</f>
        <v>4013487.04342559</v>
      </c>
      <c r="R537" s="10" t="n">
        <f aca="false">R536+Q536*Inputs!$B$48-U537+MAX(P537,0)</f>
        <v>784071.960740435</v>
      </c>
      <c r="S537" s="10" t="n">
        <f aca="false">S536*(1+Inputs!$B$42)-V537+MAX(-P537,0)</f>
        <v>2012106.52474073</v>
      </c>
      <c r="T537" s="10" t="n">
        <f aca="false">T536+S536*Inputs!$B$48-V537+MAX(-P537,0)</f>
        <v>1238106.68003037</v>
      </c>
      <c r="U537" s="10" t="n">
        <f aca="false">Q536*Inputs!$B$48*Inputs!$B$29</f>
        <v>548.826785715118</v>
      </c>
      <c r="V537" s="10" t="n">
        <f aca="false">S536*Inputs!$B$48*Inputs!$B$29</f>
        <v>274.162718991859</v>
      </c>
    </row>
    <row r="538" customFormat="false" ht="15" hidden="false" customHeight="false" outlineLevel="0" collapsed="false">
      <c r="A538" s="16" t="n">
        <v>537</v>
      </c>
      <c r="B538" s="16" t="n">
        <f aca="false">ROUNDUP(A538/12,0)</f>
        <v>45</v>
      </c>
      <c r="C538" s="10" t="n">
        <f aca="false">F537</f>
        <v>1.28693500300869E-010</v>
      </c>
      <c r="D538" s="10" t="n">
        <f aca="false">IF(AND(A538&lt;=Inputs!$B$9*12,C538&gt;0.000001),C538*Inputs!$B$10/12,0)</f>
        <v>0</v>
      </c>
      <c r="E538" s="10" t="n">
        <f aca="false">IF(AND(A538&lt;=Inputs!$B$9*12,C538&gt;0.000001),MIN(C538,Inputs!$B$41-D538),0)</f>
        <v>0</v>
      </c>
      <c r="F538" s="10" t="n">
        <f aca="false">C538-E538</f>
        <v>1.28693500300869E-010</v>
      </c>
      <c r="G538" s="10" t="n">
        <f aca="false">IF(AND(Inputs!$B$43=1,C538&gt;0.78*Inputs!$B$7,A538&lt;=Inputs!$B$9*6),Inputs!$B$16*Inputs!$B$39/12,0)</f>
        <v>0</v>
      </c>
      <c r="H538" s="10" t="n">
        <f aca="false">IF(B538=1,Inputs!$B$7,INDEX(Annual!$AC$2:$AC$51,B538-1))</f>
        <v>2808257.53916414</v>
      </c>
      <c r="I538" s="10" t="n">
        <f aca="false">Inputs!$B$12*IF(Inputs!$B$35="",H538,MIN(H538,Inputs!$B$7*(1+Inputs!$B$35)^(B538-1)))/12</f>
        <v>2106.1931543731</v>
      </c>
      <c r="J538" s="10" t="n">
        <f aca="false">Inputs!$B$13*Inputs!$B$7*(1+Inputs!$B$22)^(B538-1)/12</f>
        <v>702.191887379142</v>
      </c>
      <c r="K538" s="10" t="n">
        <f aca="false">Inputs!$B$14*Inputs!$B$7*(1+Inputs!$B$22)^(B538-1)/12</f>
        <v>1404.38377475828</v>
      </c>
      <c r="L538" s="10" t="n">
        <f aca="false">Inputs!$B$15*(1+Inputs!$B$22)^(B538-1)</f>
        <v>0</v>
      </c>
      <c r="M538" s="10" t="n">
        <f aca="false">INDEX(Annual!$N$2:$N$51,B538)/12</f>
        <v>0</v>
      </c>
      <c r="N538" s="10" t="n">
        <f aca="false">D538+E538+G538+I538+J538+K538+L538-M538</f>
        <v>4212.76881651053</v>
      </c>
      <c r="O538" s="10" t="n">
        <f aca="false">Inputs!$B$17*(1+Inputs!$B$18)^(B538-1)+Inputs!$B$19*(1+Inputs!$B$22)^(B538-1)</f>
        <v>11408.9118046258</v>
      </c>
      <c r="P538" s="10" t="n">
        <f aca="false">N538-O538</f>
        <v>-7196.14298811523</v>
      </c>
      <c r="Q538" s="10" t="n">
        <f aca="false">Q537*(1+Inputs!$B$42)-U538+MAX(P538,0)</f>
        <v>4035628.02821111</v>
      </c>
      <c r="R538" s="10" t="n">
        <f aca="false">R537+Q537*Inputs!$B$48-U538+MAX(P538,0)</f>
        <v>787199.136061771</v>
      </c>
      <c r="S538" s="10" t="n">
        <f aca="false">S537*(1+Inputs!$B$42)-V538+MAX(-P538,0)</f>
        <v>2030402.74590752</v>
      </c>
      <c r="T538" s="10" t="n">
        <f aca="false">T537+S537*Inputs!$B$48-V538+MAX(-P538,0)</f>
        <v>1246870.58935235</v>
      </c>
      <c r="U538" s="10" t="n">
        <f aca="false">Q537*Inputs!$B$48*Inputs!$B$29</f>
        <v>551.854468471018</v>
      </c>
      <c r="V538" s="10" t="n">
        <f aca="false">S537*Inputs!$B$48*Inputs!$B$29</f>
        <v>276.66464715185</v>
      </c>
    </row>
    <row r="539" customFormat="false" ht="15" hidden="false" customHeight="false" outlineLevel="0" collapsed="false">
      <c r="A539" s="16" t="n">
        <v>538</v>
      </c>
      <c r="B539" s="16" t="n">
        <f aca="false">ROUNDUP(A539/12,0)</f>
        <v>45</v>
      </c>
      <c r="C539" s="10" t="n">
        <f aca="false">F538</f>
        <v>1.28693500300869E-010</v>
      </c>
      <c r="D539" s="10" t="n">
        <f aca="false">IF(AND(A539&lt;=Inputs!$B$9*12,C539&gt;0.000001),C539*Inputs!$B$10/12,0)</f>
        <v>0</v>
      </c>
      <c r="E539" s="10" t="n">
        <f aca="false">IF(AND(A539&lt;=Inputs!$B$9*12,C539&gt;0.000001),MIN(C539,Inputs!$B$41-D539),0)</f>
        <v>0</v>
      </c>
      <c r="F539" s="10" t="n">
        <f aca="false">C539-E539</f>
        <v>1.28693500300869E-010</v>
      </c>
      <c r="G539" s="10" t="n">
        <f aca="false">IF(AND(Inputs!$B$43=1,C539&gt;0.78*Inputs!$B$7,A539&lt;=Inputs!$B$9*6),Inputs!$B$16*Inputs!$B$39/12,0)</f>
        <v>0</v>
      </c>
      <c r="H539" s="10" t="n">
        <f aca="false">IF(B539=1,Inputs!$B$7,INDEX(Annual!$AC$2:$AC$51,B539-1))</f>
        <v>2808257.53916414</v>
      </c>
      <c r="I539" s="10" t="n">
        <f aca="false">Inputs!$B$12*IF(Inputs!$B$35="",H539,MIN(H539,Inputs!$B$7*(1+Inputs!$B$35)^(B539-1)))/12</f>
        <v>2106.1931543731</v>
      </c>
      <c r="J539" s="10" t="n">
        <f aca="false">Inputs!$B$13*Inputs!$B$7*(1+Inputs!$B$22)^(B539-1)/12</f>
        <v>702.191887379142</v>
      </c>
      <c r="K539" s="10" t="n">
        <f aca="false">Inputs!$B$14*Inputs!$B$7*(1+Inputs!$B$22)^(B539-1)/12</f>
        <v>1404.38377475828</v>
      </c>
      <c r="L539" s="10" t="n">
        <f aca="false">Inputs!$B$15*(1+Inputs!$B$22)^(B539-1)</f>
        <v>0</v>
      </c>
      <c r="M539" s="10" t="n">
        <f aca="false">INDEX(Annual!$N$2:$N$51,B539)/12</f>
        <v>0</v>
      </c>
      <c r="N539" s="10" t="n">
        <f aca="false">D539+E539+G539+I539+J539+K539+L539-M539</f>
        <v>4212.76881651053</v>
      </c>
      <c r="O539" s="10" t="n">
        <f aca="false">Inputs!$B$17*(1+Inputs!$B$18)^(B539-1)+Inputs!$B$19*(1+Inputs!$B$22)^(B539-1)</f>
        <v>11408.9118046258</v>
      </c>
      <c r="P539" s="10" t="n">
        <f aca="false">N539-O539</f>
        <v>-7196.14298811523</v>
      </c>
      <c r="Q539" s="10" t="n">
        <f aca="false">Q538*(1+Inputs!$B$42)-U539+MAX(P539,0)</f>
        <v>4057891.15695822</v>
      </c>
      <c r="R539" s="10" t="n">
        <f aca="false">R538+Q538*Inputs!$B$48-U539+MAX(P539,0)</f>
        <v>790343.562900418</v>
      </c>
      <c r="S539" s="10" t="n">
        <f aca="false">S538*(1+Inputs!$B$42)-V539+MAX(-P539,0)</f>
        <v>2048799.90083842</v>
      </c>
      <c r="T539" s="10" t="n">
        <f aca="false">T538+S538*Inputs!$B$48-V539+MAX(-P539,0)</f>
        <v>1255648.75447998</v>
      </c>
      <c r="U539" s="10" t="n">
        <f aca="false">Q538*Inputs!$B$48*Inputs!$B$29</f>
        <v>554.898853879028</v>
      </c>
      <c r="V539" s="10" t="n">
        <f aca="false">S538*Inputs!$B$48*Inputs!$B$29</f>
        <v>279.180377562284</v>
      </c>
    </row>
    <row r="540" customFormat="false" ht="15" hidden="false" customHeight="false" outlineLevel="0" collapsed="false">
      <c r="A540" s="16" t="n">
        <v>539</v>
      </c>
      <c r="B540" s="16" t="n">
        <f aca="false">ROUNDUP(A540/12,0)</f>
        <v>45</v>
      </c>
      <c r="C540" s="10" t="n">
        <f aca="false">F539</f>
        <v>1.28693500300869E-010</v>
      </c>
      <c r="D540" s="10" t="n">
        <f aca="false">IF(AND(A540&lt;=Inputs!$B$9*12,C540&gt;0.000001),C540*Inputs!$B$10/12,0)</f>
        <v>0</v>
      </c>
      <c r="E540" s="10" t="n">
        <f aca="false">IF(AND(A540&lt;=Inputs!$B$9*12,C540&gt;0.000001),MIN(C540,Inputs!$B$41-D540),0)</f>
        <v>0</v>
      </c>
      <c r="F540" s="10" t="n">
        <f aca="false">C540-E540</f>
        <v>1.28693500300869E-010</v>
      </c>
      <c r="G540" s="10" t="n">
        <f aca="false">IF(AND(Inputs!$B$43=1,C540&gt;0.78*Inputs!$B$7,A540&lt;=Inputs!$B$9*6),Inputs!$B$16*Inputs!$B$39/12,0)</f>
        <v>0</v>
      </c>
      <c r="H540" s="10" t="n">
        <f aca="false">IF(B540=1,Inputs!$B$7,INDEX(Annual!$AC$2:$AC$51,B540-1))</f>
        <v>2808257.53916414</v>
      </c>
      <c r="I540" s="10" t="n">
        <f aca="false">Inputs!$B$12*IF(Inputs!$B$35="",H540,MIN(H540,Inputs!$B$7*(1+Inputs!$B$35)^(B540-1)))/12</f>
        <v>2106.1931543731</v>
      </c>
      <c r="J540" s="10" t="n">
        <f aca="false">Inputs!$B$13*Inputs!$B$7*(1+Inputs!$B$22)^(B540-1)/12</f>
        <v>702.191887379142</v>
      </c>
      <c r="K540" s="10" t="n">
        <f aca="false">Inputs!$B$14*Inputs!$B$7*(1+Inputs!$B$22)^(B540-1)/12</f>
        <v>1404.38377475828</v>
      </c>
      <c r="L540" s="10" t="n">
        <f aca="false">Inputs!$B$15*(1+Inputs!$B$22)^(B540-1)</f>
        <v>0</v>
      </c>
      <c r="M540" s="10" t="n">
        <f aca="false">INDEX(Annual!$N$2:$N$51,B540)/12</f>
        <v>0</v>
      </c>
      <c r="N540" s="10" t="n">
        <f aca="false">D540+E540+G540+I540+J540+K540+L540-M540</f>
        <v>4212.76881651053</v>
      </c>
      <c r="O540" s="10" t="n">
        <f aca="false">Inputs!$B$17*(1+Inputs!$B$18)^(B540-1)+Inputs!$B$19*(1+Inputs!$B$22)^(B540-1)</f>
        <v>11408.9118046258</v>
      </c>
      <c r="P540" s="10" t="n">
        <f aca="false">N540-O540</f>
        <v>-7196.14298811523</v>
      </c>
      <c r="Q540" s="10" t="n">
        <f aca="false">Q539*(1+Inputs!$B$42)-U540+MAX(P540,0)</f>
        <v>4080277.10349185</v>
      </c>
      <c r="R540" s="10" t="n">
        <f aca="false">R539+Q539*Inputs!$B$48-U540+MAX(P540,0)</f>
        <v>793505.336426882</v>
      </c>
      <c r="S540" s="10" t="n">
        <f aca="false">S539*(1+Inputs!$B$42)-V540+MAX(-P540,0)</f>
        <v>2067298.54634921</v>
      </c>
      <c r="T540" s="10" t="n">
        <f aca="false">T539+S539*Inputs!$B$48-V540+MAX(-P540,0)</f>
        <v>1264441.2540575</v>
      </c>
      <c r="U540" s="10" t="n">
        <f aca="false">Q539*Inputs!$B$48*Inputs!$B$29</f>
        <v>557.960034081756</v>
      </c>
      <c r="V540" s="10" t="n">
        <f aca="false">S539*Inputs!$B$48*Inputs!$B$29</f>
        <v>281.709986365283</v>
      </c>
    </row>
    <row r="541" customFormat="false" ht="15" hidden="false" customHeight="false" outlineLevel="0" collapsed="false">
      <c r="A541" s="16" t="n">
        <v>540</v>
      </c>
      <c r="B541" s="16" t="n">
        <f aca="false">ROUNDUP(A541/12,0)</f>
        <v>45</v>
      </c>
      <c r="C541" s="10" t="n">
        <f aca="false">F540</f>
        <v>1.28693500300869E-010</v>
      </c>
      <c r="D541" s="10" t="n">
        <f aca="false">IF(AND(A541&lt;=Inputs!$B$9*12,C541&gt;0.000001),C541*Inputs!$B$10/12,0)</f>
        <v>0</v>
      </c>
      <c r="E541" s="10" t="n">
        <f aca="false">IF(AND(A541&lt;=Inputs!$B$9*12,C541&gt;0.000001),MIN(C541,Inputs!$B$41-D541),0)</f>
        <v>0</v>
      </c>
      <c r="F541" s="10" t="n">
        <f aca="false">C541-E541</f>
        <v>1.28693500300869E-010</v>
      </c>
      <c r="G541" s="10" t="n">
        <f aca="false">IF(AND(Inputs!$B$43=1,C541&gt;0.78*Inputs!$B$7,A541&lt;=Inputs!$B$9*6),Inputs!$B$16*Inputs!$B$39/12,0)</f>
        <v>0</v>
      </c>
      <c r="H541" s="10" t="n">
        <f aca="false">IF(B541=1,Inputs!$B$7,INDEX(Annual!$AC$2:$AC$51,B541-1))</f>
        <v>2808257.53916414</v>
      </c>
      <c r="I541" s="10" t="n">
        <f aca="false">Inputs!$B$12*IF(Inputs!$B$35="",H541,MIN(H541,Inputs!$B$7*(1+Inputs!$B$35)^(B541-1)))/12</f>
        <v>2106.1931543731</v>
      </c>
      <c r="J541" s="10" t="n">
        <f aca="false">Inputs!$B$13*Inputs!$B$7*(1+Inputs!$B$22)^(B541-1)/12</f>
        <v>702.191887379142</v>
      </c>
      <c r="K541" s="10" t="n">
        <f aca="false">Inputs!$B$14*Inputs!$B$7*(1+Inputs!$B$22)^(B541-1)/12</f>
        <v>1404.38377475828</v>
      </c>
      <c r="L541" s="10" t="n">
        <f aca="false">Inputs!$B$15*(1+Inputs!$B$22)^(B541-1)</f>
        <v>0</v>
      </c>
      <c r="M541" s="10" t="n">
        <f aca="false">INDEX(Annual!$N$2:$N$51,B541)/12</f>
        <v>0</v>
      </c>
      <c r="N541" s="10" t="n">
        <f aca="false">D541+E541+G541+I541+J541+K541+L541-M541</f>
        <v>4212.76881651053</v>
      </c>
      <c r="O541" s="10" t="n">
        <f aca="false">Inputs!$B$17*(1+Inputs!$B$18)^(B541-1)+Inputs!$B$19*(1+Inputs!$B$22)^(B541-1)</f>
        <v>11408.9118046258</v>
      </c>
      <c r="P541" s="10" t="n">
        <f aca="false">N541-O541</f>
        <v>-7196.14298811523</v>
      </c>
      <c r="Q541" s="10" t="n">
        <f aca="false">Q540*(1+Inputs!$B$42)-U541+MAX(P541,0)</f>
        <v>4102786.54535416</v>
      </c>
      <c r="R541" s="10" t="n">
        <f aca="false">R540+Q540*Inputs!$B$48-U541+MAX(P541,0)</f>
        <v>796684.552336686</v>
      </c>
      <c r="S541" s="10" t="n">
        <f aca="false">S540*(1+Inputs!$B$42)-V541+MAX(-P541,0)</f>
        <v>2085899.24232744</v>
      </c>
      <c r="T541" s="10" t="n">
        <f aca="false">T540+S540*Inputs!$B$48-V541+MAX(-P541,0)</f>
        <v>1273248.16716298</v>
      </c>
      <c r="U541" s="10" t="n">
        <f aca="false">Q540*Inputs!$B$48*Inputs!$B$29</f>
        <v>561.038101730129</v>
      </c>
      <c r="V541" s="10" t="n">
        <f aca="false">S540*Inputs!$B$48*Inputs!$B$29</f>
        <v>284.253550123017</v>
      </c>
    </row>
    <row r="542" customFormat="false" ht="15" hidden="false" customHeight="false" outlineLevel="0" collapsed="false">
      <c r="A542" s="16" t="n">
        <v>541</v>
      </c>
      <c r="B542" s="16" t="n">
        <f aca="false">ROUNDUP(A542/12,0)</f>
        <v>46</v>
      </c>
      <c r="C542" s="10" t="n">
        <f aca="false">F541</f>
        <v>1.28693500300869E-010</v>
      </c>
      <c r="D542" s="10" t="n">
        <f aca="false">IF(AND(A542&lt;=Inputs!$B$9*12,C542&gt;0.000001),C542*Inputs!$B$10/12,0)</f>
        <v>0</v>
      </c>
      <c r="E542" s="10" t="n">
        <f aca="false">IF(AND(A542&lt;=Inputs!$B$9*12,C542&gt;0.000001),MIN(C542,Inputs!$B$41-D542),0)</f>
        <v>0</v>
      </c>
      <c r="F542" s="10" t="n">
        <f aca="false">C542-E542</f>
        <v>1.28693500300869E-010</v>
      </c>
      <c r="G542" s="10" t="n">
        <f aca="false">IF(AND(Inputs!$B$43=1,C542&gt;0.78*Inputs!$B$7,A542&lt;=Inputs!$B$9*6),Inputs!$B$16*Inputs!$B$39/12,0)</f>
        <v>0</v>
      </c>
      <c r="H542" s="10" t="n">
        <f aca="false">IF(B542=1,Inputs!$B$7,INDEX(Annual!$AC$2:$AC$51,B542-1))</f>
        <v>2920587.8407307</v>
      </c>
      <c r="I542" s="10" t="n">
        <f aca="false">Inputs!$B$12*IF(Inputs!$B$35="",H542,MIN(H542,Inputs!$B$7*(1+Inputs!$B$35)^(B542-1)))/12</f>
        <v>2190.44088054803</v>
      </c>
      <c r="J542" s="10" t="n">
        <f aca="false">Inputs!$B$13*Inputs!$B$7*(1+Inputs!$B$22)^(B542-1)/12</f>
        <v>721.853260225758</v>
      </c>
      <c r="K542" s="10" t="n">
        <f aca="false">Inputs!$B$14*Inputs!$B$7*(1+Inputs!$B$22)^(B542-1)/12</f>
        <v>1443.70652045152</v>
      </c>
      <c r="L542" s="10" t="n">
        <f aca="false">Inputs!$B$15*(1+Inputs!$B$22)^(B542-1)</f>
        <v>0</v>
      </c>
      <c r="M542" s="10" t="n">
        <f aca="false">INDEX(Annual!$N$2:$N$51,B542)/12</f>
        <v>0</v>
      </c>
      <c r="N542" s="10" t="n">
        <f aca="false">D542+E542+G542+I542+J542+K542+L542-M542</f>
        <v>4356.0006612253</v>
      </c>
      <c r="O542" s="10" t="n">
        <f aca="false">Inputs!$B$17*(1+Inputs!$B$18)^(B542-1)+Inputs!$B$19*(1+Inputs!$B$22)^(B542-1)</f>
        <v>11807.8698130764</v>
      </c>
      <c r="P542" s="10" t="n">
        <f aca="false">N542-O542</f>
        <v>-7451.86915185112</v>
      </c>
      <c r="Q542" s="10" t="n">
        <f aca="false">Q541*(1+Inputs!$B$42)-U542+MAX(P542,0)</f>
        <v>4125420.1638251</v>
      </c>
      <c r="R542" s="10" t="n">
        <f aca="false">R541+Q541*Inputs!$B$48-U542+MAX(P542,0)</f>
        <v>799881.306853274</v>
      </c>
      <c r="S542" s="10" t="n">
        <f aca="false">S541*(1+Inputs!$B$42)-V542+MAX(-P542,0)</f>
        <v>2104858.27791306</v>
      </c>
      <c r="T542" s="10" t="n">
        <f aca="false">T541+S541*Inputs!$B$48-V542+MAX(-P542,0)</f>
        <v>1282325.29947448</v>
      </c>
      <c r="U542" s="10" t="n">
        <f aca="false">Q541*Inputs!$B$48*Inputs!$B$29</f>
        <v>564.133149986198</v>
      </c>
      <c r="V542" s="10" t="n">
        <f aca="false">S541*Inputs!$B$48*Inputs!$B$29</f>
        <v>286.811145820022</v>
      </c>
    </row>
    <row r="543" customFormat="false" ht="15" hidden="false" customHeight="false" outlineLevel="0" collapsed="false">
      <c r="A543" s="16" t="n">
        <v>542</v>
      </c>
      <c r="B543" s="16" t="n">
        <f aca="false">ROUNDUP(A543/12,0)</f>
        <v>46</v>
      </c>
      <c r="C543" s="10" t="n">
        <f aca="false">F542</f>
        <v>1.28693500300869E-010</v>
      </c>
      <c r="D543" s="10" t="n">
        <f aca="false">IF(AND(A543&lt;=Inputs!$B$9*12,C543&gt;0.000001),C543*Inputs!$B$10/12,0)</f>
        <v>0</v>
      </c>
      <c r="E543" s="10" t="n">
        <f aca="false">IF(AND(A543&lt;=Inputs!$B$9*12,C543&gt;0.000001),MIN(C543,Inputs!$B$41-D543),0)</f>
        <v>0</v>
      </c>
      <c r="F543" s="10" t="n">
        <f aca="false">C543-E543</f>
        <v>1.28693500300869E-010</v>
      </c>
      <c r="G543" s="10" t="n">
        <f aca="false">IF(AND(Inputs!$B$43=1,C543&gt;0.78*Inputs!$B$7,A543&lt;=Inputs!$B$9*6),Inputs!$B$16*Inputs!$B$39/12,0)</f>
        <v>0</v>
      </c>
      <c r="H543" s="10" t="n">
        <f aca="false">IF(B543=1,Inputs!$B$7,INDEX(Annual!$AC$2:$AC$51,B543-1))</f>
        <v>2920587.8407307</v>
      </c>
      <c r="I543" s="10" t="n">
        <f aca="false">Inputs!$B$12*IF(Inputs!$B$35="",H543,MIN(H543,Inputs!$B$7*(1+Inputs!$B$35)^(B543-1)))/12</f>
        <v>2190.44088054803</v>
      </c>
      <c r="J543" s="10" t="n">
        <f aca="false">Inputs!$B$13*Inputs!$B$7*(1+Inputs!$B$22)^(B543-1)/12</f>
        <v>721.853260225758</v>
      </c>
      <c r="K543" s="10" t="n">
        <f aca="false">Inputs!$B$14*Inputs!$B$7*(1+Inputs!$B$22)^(B543-1)/12</f>
        <v>1443.70652045152</v>
      </c>
      <c r="L543" s="10" t="n">
        <f aca="false">Inputs!$B$15*(1+Inputs!$B$22)^(B543-1)</f>
        <v>0</v>
      </c>
      <c r="M543" s="10" t="n">
        <f aca="false">INDEX(Annual!$N$2:$N$51,B543)/12</f>
        <v>0</v>
      </c>
      <c r="N543" s="10" t="n">
        <f aca="false">D543+E543+G543+I543+J543+K543+L543-M543</f>
        <v>4356.0006612253</v>
      </c>
      <c r="O543" s="10" t="n">
        <f aca="false">Inputs!$B$17*(1+Inputs!$B$18)^(B543-1)+Inputs!$B$19*(1+Inputs!$B$22)^(B543-1)</f>
        <v>11807.8698130764</v>
      </c>
      <c r="P543" s="10" t="n">
        <f aca="false">N543-O543</f>
        <v>-7451.86915185112</v>
      </c>
      <c r="Q543" s="10" t="n">
        <f aca="false">Q542*(1+Inputs!$B$42)-U543+MAX(P543,0)</f>
        <v>4148178.64394298</v>
      </c>
      <c r="R543" s="10" t="n">
        <f aca="false">R542+Q542*Inputs!$B$48-U543+MAX(P543,0)</f>
        <v>803095.696730921</v>
      </c>
      <c r="S543" s="10" t="n">
        <f aca="false">S542*(1+Inputs!$B$42)-V543+MAX(-P543,0)</f>
        <v>2123921.90377491</v>
      </c>
      <c r="T543" s="10" t="n">
        <f aca="false">T542+S542*Inputs!$B$48-V543+MAX(-P543,0)</f>
        <v>1291417.20403454</v>
      </c>
      <c r="U543" s="10" t="n">
        <f aca="false">Q542*Inputs!$B$48*Inputs!$B$29</f>
        <v>567.245272525952</v>
      </c>
      <c r="V543" s="10" t="n">
        <f aca="false">S542*Inputs!$B$48*Inputs!$B$29</f>
        <v>289.418013213046</v>
      </c>
    </row>
    <row r="544" customFormat="false" ht="15" hidden="false" customHeight="false" outlineLevel="0" collapsed="false">
      <c r="A544" s="16" t="n">
        <v>543</v>
      </c>
      <c r="B544" s="16" t="n">
        <f aca="false">ROUNDUP(A544/12,0)</f>
        <v>46</v>
      </c>
      <c r="C544" s="10" t="n">
        <f aca="false">F543</f>
        <v>1.28693500300869E-010</v>
      </c>
      <c r="D544" s="10" t="n">
        <f aca="false">IF(AND(A544&lt;=Inputs!$B$9*12,C544&gt;0.000001),C544*Inputs!$B$10/12,0)</f>
        <v>0</v>
      </c>
      <c r="E544" s="10" t="n">
        <f aca="false">IF(AND(A544&lt;=Inputs!$B$9*12,C544&gt;0.000001),MIN(C544,Inputs!$B$41-D544),0)</f>
        <v>0</v>
      </c>
      <c r="F544" s="10" t="n">
        <f aca="false">C544-E544</f>
        <v>1.28693500300869E-010</v>
      </c>
      <c r="G544" s="10" t="n">
        <f aca="false">IF(AND(Inputs!$B$43=1,C544&gt;0.78*Inputs!$B$7,A544&lt;=Inputs!$B$9*6),Inputs!$B$16*Inputs!$B$39/12,0)</f>
        <v>0</v>
      </c>
      <c r="H544" s="10" t="n">
        <f aca="false">IF(B544=1,Inputs!$B$7,INDEX(Annual!$AC$2:$AC$51,B544-1))</f>
        <v>2920587.8407307</v>
      </c>
      <c r="I544" s="10" t="n">
        <f aca="false">Inputs!$B$12*IF(Inputs!$B$35="",H544,MIN(H544,Inputs!$B$7*(1+Inputs!$B$35)^(B544-1)))/12</f>
        <v>2190.44088054803</v>
      </c>
      <c r="J544" s="10" t="n">
        <f aca="false">Inputs!$B$13*Inputs!$B$7*(1+Inputs!$B$22)^(B544-1)/12</f>
        <v>721.853260225758</v>
      </c>
      <c r="K544" s="10" t="n">
        <f aca="false">Inputs!$B$14*Inputs!$B$7*(1+Inputs!$B$22)^(B544-1)/12</f>
        <v>1443.70652045152</v>
      </c>
      <c r="L544" s="10" t="n">
        <f aca="false">Inputs!$B$15*(1+Inputs!$B$22)^(B544-1)</f>
        <v>0</v>
      </c>
      <c r="M544" s="10" t="n">
        <f aca="false">INDEX(Annual!$N$2:$N$51,B544)/12</f>
        <v>0</v>
      </c>
      <c r="N544" s="10" t="n">
        <f aca="false">D544+E544+G544+I544+J544+K544+L544-M544</f>
        <v>4356.0006612253</v>
      </c>
      <c r="O544" s="10" t="n">
        <f aca="false">Inputs!$B$17*(1+Inputs!$B$18)^(B544-1)+Inputs!$B$19*(1+Inputs!$B$22)^(B544-1)</f>
        <v>11807.8698130764</v>
      </c>
      <c r="P544" s="10" t="n">
        <f aca="false">N544-O544</f>
        <v>-7451.86915185112</v>
      </c>
      <c r="Q544" s="10" t="n">
        <f aca="false">Q543*(1+Inputs!$B$42)-U544+MAX(P544,0)</f>
        <v>4171062.67452522</v>
      </c>
      <c r="R544" s="10" t="n">
        <f aca="false">R543+Q543*Inputs!$B$48-U544+MAX(P544,0)</f>
        <v>806327.81925766</v>
      </c>
      <c r="S544" s="10" t="n">
        <f aca="false">S543*(1+Inputs!$B$42)-V544+MAX(-P544,0)</f>
        <v>2143090.69690043</v>
      </c>
      <c r="T544" s="10" t="n">
        <f aca="false">T543+S543*Inputs!$B$48-V544+MAX(-P544,0)</f>
        <v>1300523.96233641</v>
      </c>
      <c r="U544" s="10" t="n">
        <f aca="false">Q543*Inputs!$B$48*Inputs!$B$29</f>
        <v>570.374563542159</v>
      </c>
      <c r="V544" s="10" t="n">
        <f aca="false">S543*Inputs!$B$48*Inputs!$B$29</f>
        <v>292.03926176905</v>
      </c>
    </row>
    <row r="545" customFormat="false" ht="15" hidden="false" customHeight="false" outlineLevel="0" collapsed="false">
      <c r="A545" s="16" t="n">
        <v>544</v>
      </c>
      <c r="B545" s="16" t="n">
        <f aca="false">ROUNDUP(A545/12,0)</f>
        <v>46</v>
      </c>
      <c r="C545" s="10" t="n">
        <f aca="false">F544</f>
        <v>1.28693500300869E-010</v>
      </c>
      <c r="D545" s="10" t="n">
        <f aca="false">IF(AND(A545&lt;=Inputs!$B$9*12,C545&gt;0.000001),C545*Inputs!$B$10/12,0)</f>
        <v>0</v>
      </c>
      <c r="E545" s="10" t="n">
        <f aca="false">IF(AND(A545&lt;=Inputs!$B$9*12,C545&gt;0.000001),MIN(C545,Inputs!$B$41-D545),0)</f>
        <v>0</v>
      </c>
      <c r="F545" s="10" t="n">
        <f aca="false">C545-E545</f>
        <v>1.28693500300869E-010</v>
      </c>
      <c r="G545" s="10" t="n">
        <f aca="false">IF(AND(Inputs!$B$43=1,C545&gt;0.78*Inputs!$B$7,A545&lt;=Inputs!$B$9*6),Inputs!$B$16*Inputs!$B$39/12,0)</f>
        <v>0</v>
      </c>
      <c r="H545" s="10" t="n">
        <f aca="false">IF(B545=1,Inputs!$B$7,INDEX(Annual!$AC$2:$AC$51,B545-1))</f>
        <v>2920587.8407307</v>
      </c>
      <c r="I545" s="10" t="n">
        <f aca="false">Inputs!$B$12*IF(Inputs!$B$35="",H545,MIN(H545,Inputs!$B$7*(1+Inputs!$B$35)^(B545-1)))/12</f>
        <v>2190.44088054803</v>
      </c>
      <c r="J545" s="10" t="n">
        <f aca="false">Inputs!$B$13*Inputs!$B$7*(1+Inputs!$B$22)^(B545-1)/12</f>
        <v>721.853260225758</v>
      </c>
      <c r="K545" s="10" t="n">
        <f aca="false">Inputs!$B$14*Inputs!$B$7*(1+Inputs!$B$22)^(B545-1)/12</f>
        <v>1443.70652045152</v>
      </c>
      <c r="L545" s="10" t="n">
        <f aca="false">Inputs!$B$15*(1+Inputs!$B$22)^(B545-1)</f>
        <v>0</v>
      </c>
      <c r="M545" s="10" t="n">
        <f aca="false">INDEX(Annual!$N$2:$N$51,B545)/12</f>
        <v>0</v>
      </c>
      <c r="N545" s="10" t="n">
        <f aca="false">D545+E545+G545+I545+J545+K545+L545-M545</f>
        <v>4356.0006612253</v>
      </c>
      <c r="O545" s="10" t="n">
        <f aca="false">Inputs!$B$17*(1+Inputs!$B$18)^(B545-1)+Inputs!$B$19*(1+Inputs!$B$22)^(B545-1)</f>
        <v>11807.8698130764</v>
      </c>
      <c r="P545" s="10" t="n">
        <f aca="false">N545-O545</f>
        <v>-7451.86915185112</v>
      </c>
      <c r="Q545" s="10" t="n">
        <f aca="false">Q544*(1+Inputs!$B$42)-U545+MAX(P545,0)</f>
        <v>4194072.94818921</v>
      </c>
      <c r="R545" s="10" t="n">
        <f aca="false">R544+Q544*Inputs!$B$48-U545+MAX(P545,0)</f>
        <v>809577.772258228</v>
      </c>
      <c r="S545" s="10" t="n">
        <f aca="false">S544*(1+Inputs!$B$42)-V545+MAX(-P545,0)</f>
        <v>2162365.23746012</v>
      </c>
      <c r="T545" s="10" t="n">
        <f aca="false">T544+S544*Inputs!$B$48-V545+MAX(-P545,0)</f>
        <v>1309645.65632293</v>
      </c>
      <c r="U545" s="10" t="n">
        <f aca="false">Q544*Inputs!$B$48*Inputs!$B$29</f>
        <v>573.521117747217</v>
      </c>
      <c r="V545" s="10" t="n">
        <f aca="false">S544*Inputs!$B$48*Inputs!$B$29</f>
        <v>294.674970823809</v>
      </c>
    </row>
    <row r="546" customFormat="false" ht="15" hidden="false" customHeight="false" outlineLevel="0" collapsed="false">
      <c r="A546" s="16" t="n">
        <v>545</v>
      </c>
      <c r="B546" s="16" t="n">
        <f aca="false">ROUNDUP(A546/12,0)</f>
        <v>46</v>
      </c>
      <c r="C546" s="10" t="n">
        <f aca="false">F545</f>
        <v>1.28693500300869E-010</v>
      </c>
      <c r="D546" s="10" t="n">
        <f aca="false">IF(AND(A546&lt;=Inputs!$B$9*12,C546&gt;0.000001),C546*Inputs!$B$10/12,0)</f>
        <v>0</v>
      </c>
      <c r="E546" s="10" t="n">
        <f aca="false">IF(AND(A546&lt;=Inputs!$B$9*12,C546&gt;0.000001),MIN(C546,Inputs!$B$41-D546),0)</f>
        <v>0</v>
      </c>
      <c r="F546" s="10" t="n">
        <f aca="false">C546-E546</f>
        <v>1.28693500300869E-010</v>
      </c>
      <c r="G546" s="10" t="n">
        <f aca="false">IF(AND(Inputs!$B$43=1,C546&gt;0.78*Inputs!$B$7,A546&lt;=Inputs!$B$9*6),Inputs!$B$16*Inputs!$B$39/12,0)</f>
        <v>0</v>
      </c>
      <c r="H546" s="10" t="n">
        <f aca="false">IF(B546=1,Inputs!$B$7,INDEX(Annual!$AC$2:$AC$51,B546-1))</f>
        <v>2920587.8407307</v>
      </c>
      <c r="I546" s="10" t="n">
        <f aca="false">Inputs!$B$12*IF(Inputs!$B$35="",H546,MIN(H546,Inputs!$B$7*(1+Inputs!$B$35)^(B546-1)))/12</f>
        <v>2190.44088054803</v>
      </c>
      <c r="J546" s="10" t="n">
        <f aca="false">Inputs!$B$13*Inputs!$B$7*(1+Inputs!$B$22)^(B546-1)/12</f>
        <v>721.853260225758</v>
      </c>
      <c r="K546" s="10" t="n">
        <f aca="false">Inputs!$B$14*Inputs!$B$7*(1+Inputs!$B$22)^(B546-1)/12</f>
        <v>1443.70652045152</v>
      </c>
      <c r="L546" s="10" t="n">
        <f aca="false">Inputs!$B$15*(1+Inputs!$B$22)^(B546-1)</f>
        <v>0</v>
      </c>
      <c r="M546" s="10" t="n">
        <f aca="false">INDEX(Annual!$N$2:$N$51,B546)/12</f>
        <v>0</v>
      </c>
      <c r="N546" s="10" t="n">
        <f aca="false">D546+E546+G546+I546+J546+K546+L546-M546</f>
        <v>4356.0006612253</v>
      </c>
      <c r="O546" s="10" t="n">
        <f aca="false">Inputs!$B$17*(1+Inputs!$B$18)^(B546-1)+Inputs!$B$19*(1+Inputs!$B$22)^(B546-1)</f>
        <v>11807.8698130764</v>
      </c>
      <c r="P546" s="10" t="n">
        <f aca="false">N546-O546</f>
        <v>-7451.86915185112</v>
      </c>
      <c r="Q546" s="10" t="n">
        <f aca="false">Q545*(1+Inputs!$B$42)-U546+MAX(P546,0)</f>
        <v>4217210.16137328</v>
      </c>
      <c r="R546" s="10" t="n">
        <f aca="false">R545+Q545*Inputs!$B$48-U546+MAX(P546,0)</f>
        <v>812845.654097025</v>
      </c>
      <c r="S546" s="10" t="n">
        <f aca="false">S545*(1+Inputs!$B$42)-V546+MAX(-P546,0)</f>
        <v>2181746.1088251</v>
      </c>
      <c r="T546" s="10" t="n">
        <f aca="false">T545+S545*Inputs!$B$48-V546+MAX(-P546,0)</f>
        <v>1318782.36838897</v>
      </c>
      <c r="U546" s="10" t="n">
        <f aca="false">Q545*Inputs!$B$48*Inputs!$B$29</f>
        <v>576.685030376017</v>
      </c>
      <c r="V546" s="10" t="n">
        <f aca="false">S545*Inputs!$B$48*Inputs!$B$29</f>
        <v>297.325220150767</v>
      </c>
    </row>
    <row r="547" customFormat="false" ht="15" hidden="false" customHeight="false" outlineLevel="0" collapsed="false">
      <c r="A547" s="16" t="n">
        <v>546</v>
      </c>
      <c r="B547" s="16" t="n">
        <f aca="false">ROUNDUP(A547/12,0)</f>
        <v>46</v>
      </c>
      <c r="C547" s="10" t="n">
        <f aca="false">F546</f>
        <v>1.28693500300869E-010</v>
      </c>
      <c r="D547" s="10" t="n">
        <f aca="false">IF(AND(A547&lt;=Inputs!$B$9*12,C547&gt;0.000001),C547*Inputs!$B$10/12,0)</f>
        <v>0</v>
      </c>
      <c r="E547" s="10" t="n">
        <f aca="false">IF(AND(A547&lt;=Inputs!$B$9*12,C547&gt;0.000001),MIN(C547,Inputs!$B$41-D547),0)</f>
        <v>0</v>
      </c>
      <c r="F547" s="10" t="n">
        <f aca="false">C547-E547</f>
        <v>1.28693500300869E-010</v>
      </c>
      <c r="G547" s="10" t="n">
        <f aca="false">IF(AND(Inputs!$B$43=1,C547&gt;0.78*Inputs!$B$7,A547&lt;=Inputs!$B$9*6),Inputs!$B$16*Inputs!$B$39/12,0)</f>
        <v>0</v>
      </c>
      <c r="H547" s="10" t="n">
        <f aca="false">IF(B547=1,Inputs!$B$7,INDEX(Annual!$AC$2:$AC$51,B547-1))</f>
        <v>2920587.8407307</v>
      </c>
      <c r="I547" s="10" t="n">
        <f aca="false">Inputs!$B$12*IF(Inputs!$B$35="",H547,MIN(H547,Inputs!$B$7*(1+Inputs!$B$35)^(B547-1)))/12</f>
        <v>2190.44088054803</v>
      </c>
      <c r="J547" s="10" t="n">
        <f aca="false">Inputs!$B$13*Inputs!$B$7*(1+Inputs!$B$22)^(B547-1)/12</f>
        <v>721.853260225758</v>
      </c>
      <c r="K547" s="10" t="n">
        <f aca="false">Inputs!$B$14*Inputs!$B$7*(1+Inputs!$B$22)^(B547-1)/12</f>
        <v>1443.70652045152</v>
      </c>
      <c r="L547" s="10" t="n">
        <f aca="false">Inputs!$B$15*(1+Inputs!$B$22)^(B547-1)</f>
        <v>0</v>
      </c>
      <c r="M547" s="10" t="n">
        <f aca="false">INDEX(Annual!$N$2:$N$51,B547)/12</f>
        <v>0</v>
      </c>
      <c r="N547" s="10" t="n">
        <f aca="false">D547+E547+G547+I547+J547+K547+L547-M547</f>
        <v>4356.0006612253</v>
      </c>
      <c r="O547" s="10" t="n">
        <f aca="false">Inputs!$B$17*(1+Inputs!$B$18)^(B547-1)+Inputs!$B$19*(1+Inputs!$B$22)^(B547-1)</f>
        <v>11807.8698130764</v>
      </c>
      <c r="P547" s="10" t="n">
        <f aca="false">N547-O547</f>
        <v>-7451.86915185112</v>
      </c>
      <c r="Q547" s="10" t="n">
        <f aca="false">Q546*(1+Inputs!$B$42)-U547+MAX(P547,0)</f>
        <v>4240475.01435774</v>
      </c>
      <c r="R547" s="10" t="n">
        <f aca="false">R546+Q546*Inputs!$B$48-U547+MAX(P547,0)</f>
        <v>816131.563681095</v>
      </c>
      <c r="S547" s="10" t="n">
        <f aca="false">S546*(1+Inputs!$B$42)-V547+MAX(-P547,0)</f>
        <v>2201233.89758469</v>
      </c>
      <c r="T547" s="10" t="n">
        <f aca="false">T546+S546*Inputs!$B$48-V547+MAX(-P547,0)</f>
        <v>1327934.18138395</v>
      </c>
      <c r="U547" s="10" t="n">
        <f aca="false">Q546*Inputs!$B$48*Inputs!$B$29</f>
        <v>579.866397188827</v>
      </c>
      <c r="V547" s="10" t="n">
        <f aca="false">S546*Inputs!$B$48*Inputs!$B$29</f>
        <v>299.990089963451</v>
      </c>
    </row>
    <row r="548" customFormat="false" ht="15" hidden="false" customHeight="false" outlineLevel="0" collapsed="false">
      <c r="A548" s="16" t="n">
        <v>547</v>
      </c>
      <c r="B548" s="16" t="n">
        <f aca="false">ROUNDUP(A548/12,0)</f>
        <v>46</v>
      </c>
      <c r="C548" s="10" t="n">
        <f aca="false">F547</f>
        <v>1.28693500300869E-010</v>
      </c>
      <c r="D548" s="10" t="n">
        <f aca="false">IF(AND(A548&lt;=Inputs!$B$9*12,C548&gt;0.000001),C548*Inputs!$B$10/12,0)</f>
        <v>0</v>
      </c>
      <c r="E548" s="10" t="n">
        <f aca="false">IF(AND(A548&lt;=Inputs!$B$9*12,C548&gt;0.000001),MIN(C548,Inputs!$B$41-D548),0)</f>
        <v>0</v>
      </c>
      <c r="F548" s="10" t="n">
        <f aca="false">C548-E548</f>
        <v>1.28693500300869E-010</v>
      </c>
      <c r="G548" s="10" t="n">
        <f aca="false">IF(AND(Inputs!$B$43=1,C548&gt;0.78*Inputs!$B$7,A548&lt;=Inputs!$B$9*6),Inputs!$B$16*Inputs!$B$39/12,0)</f>
        <v>0</v>
      </c>
      <c r="H548" s="10" t="n">
        <f aca="false">IF(B548=1,Inputs!$B$7,INDEX(Annual!$AC$2:$AC$51,B548-1))</f>
        <v>2920587.8407307</v>
      </c>
      <c r="I548" s="10" t="n">
        <f aca="false">Inputs!$B$12*IF(Inputs!$B$35="",H548,MIN(H548,Inputs!$B$7*(1+Inputs!$B$35)^(B548-1)))/12</f>
        <v>2190.44088054803</v>
      </c>
      <c r="J548" s="10" t="n">
        <f aca="false">Inputs!$B$13*Inputs!$B$7*(1+Inputs!$B$22)^(B548-1)/12</f>
        <v>721.853260225758</v>
      </c>
      <c r="K548" s="10" t="n">
        <f aca="false">Inputs!$B$14*Inputs!$B$7*(1+Inputs!$B$22)^(B548-1)/12</f>
        <v>1443.70652045152</v>
      </c>
      <c r="L548" s="10" t="n">
        <f aca="false">Inputs!$B$15*(1+Inputs!$B$22)^(B548-1)</f>
        <v>0</v>
      </c>
      <c r="M548" s="10" t="n">
        <f aca="false">INDEX(Annual!$N$2:$N$51,B548)/12</f>
        <v>0</v>
      </c>
      <c r="N548" s="10" t="n">
        <f aca="false">D548+E548+G548+I548+J548+K548+L548-M548</f>
        <v>4356.0006612253</v>
      </c>
      <c r="O548" s="10" t="n">
        <f aca="false">Inputs!$B$17*(1+Inputs!$B$18)^(B548-1)+Inputs!$B$19*(1+Inputs!$B$22)^(B548-1)</f>
        <v>11807.8698130764</v>
      </c>
      <c r="P548" s="10" t="n">
        <f aca="false">N548-O548</f>
        <v>-7451.86915185112</v>
      </c>
      <c r="Q548" s="10" t="n">
        <f aca="false">Q547*(1+Inputs!$B$42)-U548+MAX(P548,0)</f>
        <v>4263868.21128611</v>
      </c>
      <c r="R548" s="10" t="n">
        <f aca="false">R547+Q547*Inputs!$B$48-U548+MAX(P548,0)</f>
        <v>819435.600463116</v>
      </c>
      <c r="S548" s="10" t="n">
        <f aca="false">S547*(1+Inputs!$B$42)-V548+MAX(-P548,0)</f>
        <v>2220829.19356425</v>
      </c>
      <c r="T548" s="10" t="n">
        <f aca="false">T547+S547*Inputs!$B$48-V548+MAX(-P548,0)</f>
        <v>1337101.17861434</v>
      </c>
      <c r="U548" s="10" t="n">
        <f aca="false">Q547*Inputs!$B$48*Inputs!$B$29</f>
        <v>583.065314474189</v>
      </c>
      <c r="V548" s="10" t="n">
        <f aca="false">S547*Inputs!$B$48*Inputs!$B$29</f>
        <v>302.669660917894</v>
      </c>
    </row>
    <row r="549" customFormat="false" ht="15" hidden="false" customHeight="false" outlineLevel="0" collapsed="false">
      <c r="A549" s="16" t="n">
        <v>548</v>
      </c>
      <c r="B549" s="16" t="n">
        <f aca="false">ROUNDUP(A549/12,0)</f>
        <v>46</v>
      </c>
      <c r="C549" s="10" t="n">
        <f aca="false">F548</f>
        <v>1.28693500300869E-010</v>
      </c>
      <c r="D549" s="10" t="n">
        <f aca="false">IF(AND(A549&lt;=Inputs!$B$9*12,C549&gt;0.000001),C549*Inputs!$B$10/12,0)</f>
        <v>0</v>
      </c>
      <c r="E549" s="10" t="n">
        <f aca="false">IF(AND(A549&lt;=Inputs!$B$9*12,C549&gt;0.000001),MIN(C549,Inputs!$B$41-D549),0)</f>
        <v>0</v>
      </c>
      <c r="F549" s="10" t="n">
        <f aca="false">C549-E549</f>
        <v>1.28693500300869E-010</v>
      </c>
      <c r="G549" s="10" t="n">
        <f aca="false">IF(AND(Inputs!$B$43=1,C549&gt;0.78*Inputs!$B$7,A549&lt;=Inputs!$B$9*6),Inputs!$B$16*Inputs!$B$39/12,0)</f>
        <v>0</v>
      </c>
      <c r="H549" s="10" t="n">
        <f aca="false">IF(B549=1,Inputs!$B$7,INDEX(Annual!$AC$2:$AC$51,B549-1))</f>
        <v>2920587.8407307</v>
      </c>
      <c r="I549" s="10" t="n">
        <f aca="false">Inputs!$B$12*IF(Inputs!$B$35="",H549,MIN(H549,Inputs!$B$7*(1+Inputs!$B$35)^(B549-1)))/12</f>
        <v>2190.44088054803</v>
      </c>
      <c r="J549" s="10" t="n">
        <f aca="false">Inputs!$B$13*Inputs!$B$7*(1+Inputs!$B$22)^(B549-1)/12</f>
        <v>721.853260225758</v>
      </c>
      <c r="K549" s="10" t="n">
        <f aca="false">Inputs!$B$14*Inputs!$B$7*(1+Inputs!$B$22)^(B549-1)/12</f>
        <v>1443.70652045152</v>
      </c>
      <c r="L549" s="10" t="n">
        <f aca="false">Inputs!$B$15*(1+Inputs!$B$22)^(B549-1)</f>
        <v>0</v>
      </c>
      <c r="M549" s="10" t="n">
        <f aca="false">INDEX(Annual!$N$2:$N$51,B549)/12</f>
        <v>0</v>
      </c>
      <c r="N549" s="10" t="n">
        <f aca="false">D549+E549+G549+I549+J549+K549+L549-M549</f>
        <v>4356.0006612253</v>
      </c>
      <c r="O549" s="10" t="n">
        <f aca="false">Inputs!$B$17*(1+Inputs!$B$18)^(B549-1)+Inputs!$B$19*(1+Inputs!$B$22)^(B549-1)</f>
        <v>11807.8698130764</v>
      </c>
      <c r="P549" s="10" t="n">
        <f aca="false">N549-O549</f>
        <v>-7451.86915185112</v>
      </c>
      <c r="Q549" s="10" t="n">
        <f aca="false">Q548*(1+Inputs!$B$42)-U549+MAX(P549,0)</f>
        <v>4287390.4601864</v>
      </c>
      <c r="R549" s="10" t="n">
        <f aca="false">R548+Q548*Inputs!$B$48-U549+MAX(P549,0)</f>
        <v>822757.864444409</v>
      </c>
      <c r="S549" s="10" t="n">
        <f aca="false">S548*(1+Inputs!$B$42)-V549+MAX(-P549,0)</f>
        <v>2240532.58984299</v>
      </c>
      <c r="T549" s="10" t="n">
        <f aca="false">T548+S548*Inputs!$B$48-V549+MAX(-P549,0)</f>
        <v>1346283.44384617</v>
      </c>
      <c r="U549" s="10" t="n">
        <f aca="false">Q548*Inputs!$B$48*Inputs!$B$29</f>
        <v>586.281879051839</v>
      </c>
      <c r="V549" s="10" t="n">
        <f aca="false">S548*Inputs!$B$48*Inputs!$B$29</f>
        <v>305.364014115084</v>
      </c>
    </row>
    <row r="550" customFormat="false" ht="15" hidden="false" customHeight="false" outlineLevel="0" collapsed="false">
      <c r="A550" s="16" t="n">
        <v>549</v>
      </c>
      <c r="B550" s="16" t="n">
        <f aca="false">ROUNDUP(A550/12,0)</f>
        <v>46</v>
      </c>
      <c r="C550" s="10" t="n">
        <f aca="false">F549</f>
        <v>1.28693500300869E-010</v>
      </c>
      <c r="D550" s="10" t="n">
        <f aca="false">IF(AND(A550&lt;=Inputs!$B$9*12,C550&gt;0.000001),C550*Inputs!$B$10/12,0)</f>
        <v>0</v>
      </c>
      <c r="E550" s="10" t="n">
        <f aca="false">IF(AND(A550&lt;=Inputs!$B$9*12,C550&gt;0.000001),MIN(C550,Inputs!$B$41-D550),0)</f>
        <v>0</v>
      </c>
      <c r="F550" s="10" t="n">
        <f aca="false">C550-E550</f>
        <v>1.28693500300869E-010</v>
      </c>
      <c r="G550" s="10" t="n">
        <f aca="false">IF(AND(Inputs!$B$43=1,C550&gt;0.78*Inputs!$B$7,A550&lt;=Inputs!$B$9*6),Inputs!$B$16*Inputs!$B$39/12,0)</f>
        <v>0</v>
      </c>
      <c r="H550" s="10" t="n">
        <f aca="false">IF(B550=1,Inputs!$B$7,INDEX(Annual!$AC$2:$AC$51,B550-1))</f>
        <v>2920587.8407307</v>
      </c>
      <c r="I550" s="10" t="n">
        <f aca="false">Inputs!$B$12*IF(Inputs!$B$35="",H550,MIN(H550,Inputs!$B$7*(1+Inputs!$B$35)^(B550-1)))/12</f>
        <v>2190.44088054803</v>
      </c>
      <c r="J550" s="10" t="n">
        <f aca="false">Inputs!$B$13*Inputs!$B$7*(1+Inputs!$B$22)^(B550-1)/12</f>
        <v>721.853260225758</v>
      </c>
      <c r="K550" s="10" t="n">
        <f aca="false">Inputs!$B$14*Inputs!$B$7*(1+Inputs!$B$22)^(B550-1)/12</f>
        <v>1443.70652045152</v>
      </c>
      <c r="L550" s="10" t="n">
        <f aca="false">Inputs!$B$15*(1+Inputs!$B$22)^(B550-1)</f>
        <v>0</v>
      </c>
      <c r="M550" s="10" t="n">
        <f aca="false">INDEX(Annual!$N$2:$N$51,B550)/12</f>
        <v>0</v>
      </c>
      <c r="N550" s="10" t="n">
        <f aca="false">D550+E550+G550+I550+J550+K550+L550-M550</f>
        <v>4356.0006612253</v>
      </c>
      <c r="O550" s="10" t="n">
        <f aca="false">Inputs!$B$17*(1+Inputs!$B$18)^(B550-1)+Inputs!$B$19*(1+Inputs!$B$22)^(B550-1)</f>
        <v>11807.8698130764</v>
      </c>
      <c r="P550" s="10" t="n">
        <f aca="false">N550-O550</f>
        <v>-7451.86915185112</v>
      </c>
      <c r="Q550" s="10" t="n">
        <f aca="false">Q549*(1+Inputs!$B$42)-U550+MAX(P550,0)</f>
        <v>4311042.47299259</v>
      </c>
      <c r="R550" s="10" t="n">
        <f aca="false">R549+Q549*Inputs!$B$48-U550+MAX(P550,0)</f>
        <v>826098.456177971</v>
      </c>
      <c r="S550" s="10" t="n">
        <f aca="false">S549*(1+Inputs!$B$42)-V550+MAX(-P550,0)</f>
        <v>2260344.68277193</v>
      </c>
      <c r="T550" s="10" t="n">
        <f aca="false">T549+S549*Inputs!$B$48-V550+MAX(-P550,0)</f>
        <v>1355481.06130761</v>
      </c>
      <c r="U550" s="10" t="n">
        <f aca="false">Q549*Inputs!$B$48*Inputs!$B$29</f>
        <v>589.51618827563</v>
      </c>
      <c r="V550" s="10" t="n">
        <f aca="false">S549*Inputs!$B$48*Inputs!$B$29</f>
        <v>308.073231103411</v>
      </c>
    </row>
    <row r="551" customFormat="false" ht="15" hidden="false" customHeight="false" outlineLevel="0" collapsed="false">
      <c r="A551" s="16" t="n">
        <v>550</v>
      </c>
      <c r="B551" s="16" t="n">
        <f aca="false">ROUNDUP(A551/12,0)</f>
        <v>46</v>
      </c>
      <c r="C551" s="10" t="n">
        <f aca="false">F550</f>
        <v>1.28693500300869E-010</v>
      </c>
      <c r="D551" s="10" t="n">
        <f aca="false">IF(AND(A551&lt;=Inputs!$B$9*12,C551&gt;0.000001),C551*Inputs!$B$10/12,0)</f>
        <v>0</v>
      </c>
      <c r="E551" s="10" t="n">
        <f aca="false">IF(AND(A551&lt;=Inputs!$B$9*12,C551&gt;0.000001),MIN(C551,Inputs!$B$41-D551),0)</f>
        <v>0</v>
      </c>
      <c r="F551" s="10" t="n">
        <f aca="false">C551-E551</f>
        <v>1.28693500300869E-010</v>
      </c>
      <c r="G551" s="10" t="n">
        <f aca="false">IF(AND(Inputs!$B$43=1,C551&gt;0.78*Inputs!$B$7,A551&lt;=Inputs!$B$9*6),Inputs!$B$16*Inputs!$B$39/12,0)</f>
        <v>0</v>
      </c>
      <c r="H551" s="10" t="n">
        <f aca="false">IF(B551=1,Inputs!$B$7,INDEX(Annual!$AC$2:$AC$51,B551-1))</f>
        <v>2920587.8407307</v>
      </c>
      <c r="I551" s="10" t="n">
        <f aca="false">Inputs!$B$12*IF(Inputs!$B$35="",H551,MIN(H551,Inputs!$B$7*(1+Inputs!$B$35)^(B551-1)))/12</f>
        <v>2190.44088054803</v>
      </c>
      <c r="J551" s="10" t="n">
        <f aca="false">Inputs!$B$13*Inputs!$B$7*(1+Inputs!$B$22)^(B551-1)/12</f>
        <v>721.853260225758</v>
      </c>
      <c r="K551" s="10" t="n">
        <f aca="false">Inputs!$B$14*Inputs!$B$7*(1+Inputs!$B$22)^(B551-1)/12</f>
        <v>1443.70652045152</v>
      </c>
      <c r="L551" s="10" t="n">
        <f aca="false">Inputs!$B$15*(1+Inputs!$B$22)^(B551-1)</f>
        <v>0</v>
      </c>
      <c r="M551" s="10" t="n">
        <f aca="false">INDEX(Annual!$N$2:$N$51,B551)/12</f>
        <v>0</v>
      </c>
      <c r="N551" s="10" t="n">
        <f aca="false">D551+E551+G551+I551+J551+K551+L551-M551</f>
        <v>4356.0006612253</v>
      </c>
      <c r="O551" s="10" t="n">
        <f aca="false">Inputs!$B$17*(1+Inputs!$B$18)^(B551-1)+Inputs!$B$19*(1+Inputs!$B$22)^(B551-1)</f>
        <v>11807.8698130764</v>
      </c>
      <c r="P551" s="10" t="n">
        <f aca="false">N551-O551</f>
        <v>-7451.86915185112</v>
      </c>
      <c r="Q551" s="10" t="n">
        <f aca="false">Q550*(1+Inputs!$B$42)-U551+MAX(P551,0)</f>
        <v>4334824.96556614</v>
      </c>
      <c r="R551" s="10" t="n">
        <f aca="false">R550+Q550*Inputs!$B$48-U551+MAX(P551,0)</f>
        <v>829457.476771511</v>
      </c>
      <c r="S551" s="10" t="n">
        <f aca="false">S550*(1+Inputs!$B$42)-V551+MAX(-P551,0)</f>
        <v>2280266.07199194</v>
      </c>
      <c r="T551" s="10" t="n">
        <f aca="false">T550+S550*Inputs!$B$48-V551+MAX(-P551,0)</f>
        <v>1364694.11569145</v>
      </c>
      <c r="U551" s="10" t="n">
        <f aca="false">Q550*Inputs!$B$48*Inputs!$B$29</f>
        <v>592.768340036482</v>
      </c>
      <c r="V551" s="10" t="n">
        <f aca="false">S550*Inputs!$B$48*Inputs!$B$29</f>
        <v>310.79739388114</v>
      </c>
    </row>
    <row r="552" customFormat="false" ht="15" hidden="false" customHeight="false" outlineLevel="0" collapsed="false">
      <c r="A552" s="16" t="n">
        <v>551</v>
      </c>
      <c r="B552" s="16" t="n">
        <f aca="false">ROUNDUP(A552/12,0)</f>
        <v>46</v>
      </c>
      <c r="C552" s="10" t="n">
        <f aca="false">F551</f>
        <v>1.28693500300869E-010</v>
      </c>
      <c r="D552" s="10" t="n">
        <f aca="false">IF(AND(A552&lt;=Inputs!$B$9*12,C552&gt;0.000001),C552*Inputs!$B$10/12,0)</f>
        <v>0</v>
      </c>
      <c r="E552" s="10" t="n">
        <f aca="false">IF(AND(A552&lt;=Inputs!$B$9*12,C552&gt;0.000001),MIN(C552,Inputs!$B$41-D552),0)</f>
        <v>0</v>
      </c>
      <c r="F552" s="10" t="n">
        <f aca="false">C552-E552</f>
        <v>1.28693500300869E-010</v>
      </c>
      <c r="G552" s="10" t="n">
        <f aca="false">IF(AND(Inputs!$B$43=1,C552&gt;0.78*Inputs!$B$7,A552&lt;=Inputs!$B$9*6),Inputs!$B$16*Inputs!$B$39/12,0)</f>
        <v>0</v>
      </c>
      <c r="H552" s="10" t="n">
        <f aca="false">IF(B552=1,Inputs!$B$7,INDEX(Annual!$AC$2:$AC$51,B552-1))</f>
        <v>2920587.8407307</v>
      </c>
      <c r="I552" s="10" t="n">
        <f aca="false">Inputs!$B$12*IF(Inputs!$B$35="",H552,MIN(H552,Inputs!$B$7*(1+Inputs!$B$35)^(B552-1)))/12</f>
        <v>2190.44088054803</v>
      </c>
      <c r="J552" s="10" t="n">
        <f aca="false">Inputs!$B$13*Inputs!$B$7*(1+Inputs!$B$22)^(B552-1)/12</f>
        <v>721.853260225758</v>
      </c>
      <c r="K552" s="10" t="n">
        <f aca="false">Inputs!$B$14*Inputs!$B$7*(1+Inputs!$B$22)^(B552-1)/12</f>
        <v>1443.70652045152</v>
      </c>
      <c r="L552" s="10" t="n">
        <f aca="false">Inputs!$B$15*(1+Inputs!$B$22)^(B552-1)</f>
        <v>0</v>
      </c>
      <c r="M552" s="10" t="n">
        <f aca="false">INDEX(Annual!$N$2:$N$51,B552)/12</f>
        <v>0</v>
      </c>
      <c r="N552" s="10" t="n">
        <f aca="false">D552+E552+G552+I552+J552+K552+L552-M552</f>
        <v>4356.0006612253</v>
      </c>
      <c r="O552" s="10" t="n">
        <f aca="false">Inputs!$B$17*(1+Inputs!$B$18)^(B552-1)+Inputs!$B$19*(1+Inputs!$B$22)^(B552-1)</f>
        <v>11807.8698130764</v>
      </c>
      <c r="P552" s="10" t="n">
        <f aca="false">N552-O552</f>
        <v>-7451.86915185112</v>
      </c>
      <c r="Q552" s="10" t="n">
        <f aca="false">Q551*(1+Inputs!$B$42)-U552+MAX(P552,0)</f>
        <v>4358738.65771764</v>
      </c>
      <c r="R552" s="10" t="n">
        <f aca="false">R551+Q551*Inputs!$B$48-U552+MAX(P552,0)</f>
        <v>832835.027890515</v>
      </c>
      <c r="S552" s="10" t="n">
        <f aca="false">S551*(1+Inputs!$B$42)-V552+MAX(-P552,0)</f>
        <v>2300297.3604519</v>
      </c>
      <c r="T552" s="10" t="n">
        <f aca="false">T551+S551*Inputs!$B$48-V552+MAX(-P552,0)</f>
        <v>1373922.69215773</v>
      </c>
      <c r="U552" s="10" t="n">
        <f aca="false">Q551*Inputs!$B$48*Inputs!$B$29</f>
        <v>596.038432765344</v>
      </c>
      <c r="V552" s="10" t="n">
        <f aca="false">S551*Inputs!$B$48*Inputs!$B$29</f>
        <v>313.536584898892</v>
      </c>
    </row>
    <row r="553" customFormat="false" ht="15" hidden="false" customHeight="false" outlineLevel="0" collapsed="false">
      <c r="A553" s="16" t="n">
        <v>552</v>
      </c>
      <c r="B553" s="16" t="n">
        <f aca="false">ROUNDUP(A553/12,0)</f>
        <v>46</v>
      </c>
      <c r="C553" s="10" t="n">
        <f aca="false">F552</f>
        <v>1.28693500300869E-010</v>
      </c>
      <c r="D553" s="10" t="n">
        <f aca="false">IF(AND(A553&lt;=Inputs!$B$9*12,C553&gt;0.000001),C553*Inputs!$B$10/12,0)</f>
        <v>0</v>
      </c>
      <c r="E553" s="10" t="n">
        <f aca="false">IF(AND(A553&lt;=Inputs!$B$9*12,C553&gt;0.000001),MIN(C553,Inputs!$B$41-D553),0)</f>
        <v>0</v>
      </c>
      <c r="F553" s="10" t="n">
        <f aca="false">C553-E553</f>
        <v>1.28693500300869E-010</v>
      </c>
      <c r="G553" s="10" t="n">
        <f aca="false">IF(AND(Inputs!$B$43=1,C553&gt;0.78*Inputs!$B$7,A553&lt;=Inputs!$B$9*6),Inputs!$B$16*Inputs!$B$39/12,0)</f>
        <v>0</v>
      </c>
      <c r="H553" s="10" t="n">
        <f aca="false">IF(B553=1,Inputs!$B$7,INDEX(Annual!$AC$2:$AC$51,B553-1))</f>
        <v>2920587.8407307</v>
      </c>
      <c r="I553" s="10" t="n">
        <f aca="false">Inputs!$B$12*IF(Inputs!$B$35="",H553,MIN(H553,Inputs!$B$7*(1+Inputs!$B$35)^(B553-1)))/12</f>
        <v>2190.44088054803</v>
      </c>
      <c r="J553" s="10" t="n">
        <f aca="false">Inputs!$B$13*Inputs!$B$7*(1+Inputs!$B$22)^(B553-1)/12</f>
        <v>721.853260225758</v>
      </c>
      <c r="K553" s="10" t="n">
        <f aca="false">Inputs!$B$14*Inputs!$B$7*(1+Inputs!$B$22)^(B553-1)/12</f>
        <v>1443.70652045152</v>
      </c>
      <c r="L553" s="10" t="n">
        <f aca="false">Inputs!$B$15*(1+Inputs!$B$22)^(B553-1)</f>
        <v>0</v>
      </c>
      <c r="M553" s="10" t="n">
        <f aca="false">INDEX(Annual!$N$2:$N$51,B553)/12</f>
        <v>0</v>
      </c>
      <c r="N553" s="10" t="n">
        <f aca="false">D553+E553+G553+I553+J553+K553+L553-M553</f>
        <v>4356.0006612253</v>
      </c>
      <c r="O553" s="10" t="n">
        <f aca="false">Inputs!$B$17*(1+Inputs!$B$18)^(B553-1)+Inputs!$B$19*(1+Inputs!$B$22)^(B553-1)</f>
        <v>11807.8698130764</v>
      </c>
      <c r="P553" s="10" t="n">
        <f aca="false">N553-O553</f>
        <v>-7451.86915185112</v>
      </c>
      <c r="Q553" s="10" t="n">
        <f aca="false">Q552*(1+Inputs!$B$42)-U553+MAX(P553,0)</f>
        <v>4382784.27322864</v>
      </c>
      <c r="R553" s="10" t="n">
        <f aca="false">R552+Q552*Inputs!$B$48-U553+MAX(P553,0)</f>
        <v>836231.21176132</v>
      </c>
      <c r="S553" s="10" t="n">
        <f aca="false">S552*(1+Inputs!$B$42)-V553+MAX(-P553,0)</f>
        <v>2320439.15442695</v>
      </c>
      <c r="T553" s="10" t="n">
        <f aca="false">T552+S552*Inputs!$B$48-V553+MAX(-P553,0)</f>
        <v>1383166.87633627</v>
      </c>
      <c r="U553" s="10" t="n">
        <f aca="false">Q552*Inputs!$B$48*Inputs!$B$29</f>
        <v>599.326565436175</v>
      </c>
      <c r="V553" s="10" t="n">
        <f aca="false">S552*Inputs!$B$48*Inputs!$B$29</f>
        <v>316.290887062137</v>
      </c>
    </row>
    <row r="554" customFormat="false" ht="15" hidden="false" customHeight="false" outlineLevel="0" collapsed="false">
      <c r="A554" s="16" t="n">
        <v>553</v>
      </c>
      <c r="B554" s="16" t="n">
        <f aca="false">ROUNDUP(A554/12,0)</f>
        <v>47</v>
      </c>
      <c r="C554" s="10" t="n">
        <f aca="false">F553</f>
        <v>1.28693500300869E-010</v>
      </c>
      <c r="D554" s="10" t="n">
        <f aca="false">IF(AND(A554&lt;=Inputs!$B$9*12,C554&gt;0.000001),C554*Inputs!$B$10/12,0)</f>
        <v>0</v>
      </c>
      <c r="E554" s="10" t="n">
        <f aca="false">IF(AND(A554&lt;=Inputs!$B$9*12,C554&gt;0.000001),MIN(C554,Inputs!$B$41-D554),0)</f>
        <v>0</v>
      </c>
      <c r="F554" s="10" t="n">
        <f aca="false">C554-E554</f>
        <v>1.28693500300869E-010</v>
      </c>
      <c r="G554" s="10" t="n">
        <f aca="false">IF(AND(Inputs!$B$43=1,C554&gt;0.78*Inputs!$B$7,A554&lt;=Inputs!$B$9*6),Inputs!$B$16*Inputs!$B$39/12,0)</f>
        <v>0</v>
      </c>
      <c r="H554" s="10" t="n">
        <f aca="false">IF(B554=1,Inputs!$B$7,INDEX(Annual!$AC$2:$AC$51,B554-1))</f>
        <v>3037411.35435993</v>
      </c>
      <c r="I554" s="10" t="n">
        <f aca="false">Inputs!$B$12*IF(Inputs!$B$35="",H554,MIN(H554,Inputs!$B$7*(1+Inputs!$B$35)^(B554-1)))/12</f>
        <v>2278.05851576995</v>
      </c>
      <c r="J554" s="10" t="n">
        <f aca="false">Inputs!$B$13*Inputs!$B$7*(1+Inputs!$B$22)^(B554-1)/12</f>
        <v>742.06515151208</v>
      </c>
      <c r="K554" s="10" t="n">
        <f aca="false">Inputs!$B$14*Inputs!$B$7*(1+Inputs!$B$22)^(B554-1)/12</f>
        <v>1484.13030302416</v>
      </c>
      <c r="L554" s="10" t="n">
        <f aca="false">Inputs!$B$15*(1+Inputs!$B$22)^(B554-1)</f>
        <v>0</v>
      </c>
      <c r="M554" s="10" t="n">
        <f aca="false">INDEX(Annual!$N$2:$N$51,B554)/12</f>
        <v>0</v>
      </c>
      <c r="N554" s="10" t="n">
        <f aca="false">D554+E554+G554+I554+J554+K554+L554-M554</f>
        <v>4504.25397030619</v>
      </c>
      <c r="O554" s="10" t="n">
        <f aca="false">Inputs!$B$17*(1+Inputs!$B$18)^(B554-1)+Inputs!$B$19*(1+Inputs!$B$22)^(B554-1)</f>
        <v>12220.7814424909</v>
      </c>
      <c r="P554" s="10" t="n">
        <f aca="false">N554-O554</f>
        <v>-7716.52747218476</v>
      </c>
      <c r="Q554" s="10" t="n">
        <f aca="false">Q553*(1+Inputs!$B$42)-U554+MAX(P554,0)</f>
        <v>4406962.53987354</v>
      </c>
      <c r="R554" s="10" t="n">
        <f aca="false">R553+Q553*Inputs!$B$48-U554+MAX(P554,0)</f>
        <v>839646.13117421</v>
      </c>
      <c r="S554" s="10" t="n">
        <f aca="false">S553*(1+Inputs!$B$42)-V554+MAX(-P554,0)</f>
        <v>2340956.72185716</v>
      </c>
      <c r="T554" s="10" t="n">
        <f aca="false">T553+S553*Inputs!$B$48-V554+MAX(-P554,0)</f>
        <v>1392691.41264961</v>
      </c>
      <c r="U554" s="10" t="n">
        <f aca="false">Q553*Inputs!$B$48*Inputs!$B$29</f>
        <v>602.632837568938</v>
      </c>
      <c r="V554" s="10" t="n">
        <f aca="false">S553*Inputs!$B$48*Inputs!$B$29</f>
        <v>319.060383733706</v>
      </c>
    </row>
    <row r="555" customFormat="false" ht="15" hidden="false" customHeight="false" outlineLevel="0" collapsed="false">
      <c r="A555" s="16" t="n">
        <v>554</v>
      </c>
      <c r="B555" s="16" t="n">
        <f aca="false">ROUNDUP(A555/12,0)</f>
        <v>47</v>
      </c>
      <c r="C555" s="10" t="n">
        <f aca="false">F554</f>
        <v>1.28693500300869E-010</v>
      </c>
      <c r="D555" s="10" t="n">
        <f aca="false">IF(AND(A555&lt;=Inputs!$B$9*12,C555&gt;0.000001),C555*Inputs!$B$10/12,0)</f>
        <v>0</v>
      </c>
      <c r="E555" s="10" t="n">
        <f aca="false">IF(AND(A555&lt;=Inputs!$B$9*12,C555&gt;0.000001),MIN(C555,Inputs!$B$41-D555),0)</f>
        <v>0</v>
      </c>
      <c r="F555" s="10" t="n">
        <f aca="false">C555-E555</f>
        <v>1.28693500300869E-010</v>
      </c>
      <c r="G555" s="10" t="n">
        <f aca="false">IF(AND(Inputs!$B$43=1,C555&gt;0.78*Inputs!$B$7,A555&lt;=Inputs!$B$9*6),Inputs!$B$16*Inputs!$B$39/12,0)</f>
        <v>0</v>
      </c>
      <c r="H555" s="10" t="n">
        <f aca="false">IF(B555=1,Inputs!$B$7,INDEX(Annual!$AC$2:$AC$51,B555-1))</f>
        <v>3037411.35435993</v>
      </c>
      <c r="I555" s="10" t="n">
        <f aca="false">Inputs!$B$12*IF(Inputs!$B$35="",H555,MIN(H555,Inputs!$B$7*(1+Inputs!$B$35)^(B555-1)))/12</f>
        <v>2278.05851576995</v>
      </c>
      <c r="J555" s="10" t="n">
        <f aca="false">Inputs!$B$13*Inputs!$B$7*(1+Inputs!$B$22)^(B555-1)/12</f>
        <v>742.06515151208</v>
      </c>
      <c r="K555" s="10" t="n">
        <f aca="false">Inputs!$B$14*Inputs!$B$7*(1+Inputs!$B$22)^(B555-1)/12</f>
        <v>1484.13030302416</v>
      </c>
      <c r="L555" s="10" t="n">
        <f aca="false">Inputs!$B$15*(1+Inputs!$B$22)^(B555-1)</f>
        <v>0</v>
      </c>
      <c r="M555" s="10" t="n">
        <f aca="false">INDEX(Annual!$N$2:$N$51,B555)/12</f>
        <v>0</v>
      </c>
      <c r="N555" s="10" t="n">
        <f aca="false">D555+E555+G555+I555+J555+K555+L555-M555</f>
        <v>4504.25397030619</v>
      </c>
      <c r="O555" s="10" t="n">
        <f aca="false">Inputs!$B$17*(1+Inputs!$B$18)^(B555-1)+Inputs!$B$19*(1+Inputs!$B$22)^(B555-1)</f>
        <v>12220.7814424909</v>
      </c>
      <c r="P555" s="10" t="n">
        <f aca="false">N555-O555</f>
        <v>-7716.52747218476</v>
      </c>
      <c r="Q555" s="10" t="n">
        <f aca="false">Q554*(1+Inputs!$B$42)-U555+MAX(P555,0)</f>
        <v>4431274.1894416</v>
      </c>
      <c r="R555" s="10" t="n">
        <f aca="false">R554+Q554*Inputs!$B$48-U555+MAX(P555,0)</f>
        <v>843079.889486529</v>
      </c>
      <c r="S555" s="10" t="n">
        <f aca="false">S554*(1+Inputs!$B$42)-V555+MAX(-P555,0)</f>
        <v>2361587.47743109</v>
      </c>
      <c r="T555" s="10" t="n">
        <f aca="false">T554+S554*Inputs!$B$48-V555+MAX(-P555,0)</f>
        <v>1402231.93556758</v>
      </c>
      <c r="U555" s="10" t="n">
        <f aca="false">Q554*Inputs!$B$48*Inputs!$B$29</f>
        <v>605.957349232611</v>
      </c>
      <c r="V555" s="10" t="n">
        <f aca="false">S554*Inputs!$B$48*Inputs!$B$29</f>
        <v>321.881549255359</v>
      </c>
    </row>
    <row r="556" customFormat="false" ht="15" hidden="false" customHeight="false" outlineLevel="0" collapsed="false">
      <c r="A556" s="16" t="n">
        <v>555</v>
      </c>
      <c r="B556" s="16" t="n">
        <f aca="false">ROUNDUP(A556/12,0)</f>
        <v>47</v>
      </c>
      <c r="C556" s="10" t="n">
        <f aca="false">F555</f>
        <v>1.28693500300869E-010</v>
      </c>
      <c r="D556" s="10" t="n">
        <f aca="false">IF(AND(A556&lt;=Inputs!$B$9*12,C556&gt;0.000001),C556*Inputs!$B$10/12,0)</f>
        <v>0</v>
      </c>
      <c r="E556" s="10" t="n">
        <f aca="false">IF(AND(A556&lt;=Inputs!$B$9*12,C556&gt;0.000001),MIN(C556,Inputs!$B$41-D556),0)</f>
        <v>0</v>
      </c>
      <c r="F556" s="10" t="n">
        <f aca="false">C556-E556</f>
        <v>1.28693500300869E-010</v>
      </c>
      <c r="G556" s="10" t="n">
        <f aca="false">IF(AND(Inputs!$B$43=1,C556&gt;0.78*Inputs!$B$7,A556&lt;=Inputs!$B$9*6),Inputs!$B$16*Inputs!$B$39/12,0)</f>
        <v>0</v>
      </c>
      <c r="H556" s="10" t="n">
        <f aca="false">IF(B556=1,Inputs!$B$7,INDEX(Annual!$AC$2:$AC$51,B556-1))</f>
        <v>3037411.35435993</v>
      </c>
      <c r="I556" s="10" t="n">
        <f aca="false">Inputs!$B$12*IF(Inputs!$B$35="",H556,MIN(H556,Inputs!$B$7*(1+Inputs!$B$35)^(B556-1)))/12</f>
        <v>2278.05851576995</v>
      </c>
      <c r="J556" s="10" t="n">
        <f aca="false">Inputs!$B$13*Inputs!$B$7*(1+Inputs!$B$22)^(B556-1)/12</f>
        <v>742.06515151208</v>
      </c>
      <c r="K556" s="10" t="n">
        <f aca="false">Inputs!$B$14*Inputs!$B$7*(1+Inputs!$B$22)^(B556-1)/12</f>
        <v>1484.13030302416</v>
      </c>
      <c r="L556" s="10" t="n">
        <f aca="false">Inputs!$B$15*(1+Inputs!$B$22)^(B556-1)</f>
        <v>0</v>
      </c>
      <c r="M556" s="10" t="n">
        <f aca="false">INDEX(Annual!$N$2:$N$51,B556)/12</f>
        <v>0</v>
      </c>
      <c r="N556" s="10" t="n">
        <f aca="false">D556+E556+G556+I556+J556+K556+L556-M556</f>
        <v>4504.25397030619</v>
      </c>
      <c r="O556" s="10" t="n">
        <f aca="false">Inputs!$B$17*(1+Inputs!$B$18)^(B556-1)+Inputs!$B$19*(1+Inputs!$B$22)^(B556-1)</f>
        <v>12220.7814424909</v>
      </c>
      <c r="P556" s="10" t="n">
        <f aca="false">N556-O556</f>
        <v>-7716.52747218476</v>
      </c>
      <c r="Q556" s="10" t="n">
        <f aca="false">Q555*(1+Inputs!$B$42)-U556+MAX(P556,0)</f>
        <v>4455719.95775911</v>
      </c>
      <c r="R556" s="10" t="n">
        <f aca="false">R555+Q555*Inputs!$B$48-U556+MAX(P556,0)</f>
        <v>846532.590625802</v>
      </c>
      <c r="S556" s="10" t="n">
        <f aca="false">S555*(1+Inputs!$B$42)-V556+MAX(-P556,0)</f>
        <v>2382332.0455676</v>
      </c>
      <c r="T556" s="10" t="n">
        <f aca="false">T555+S555*Inputs!$B$48-V556+MAX(-P556,0)</f>
        <v>1411788.53328259</v>
      </c>
      <c r="U556" s="10" t="n">
        <f aca="false">Q555*Inputs!$B$48*Inputs!$B$29</f>
        <v>609.30020104822</v>
      </c>
      <c r="V556" s="10" t="n">
        <f aca="false">S555*Inputs!$B$48*Inputs!$B$29</f>
        <v>324.718278146775</v>
      </c>
    </row>
    <row r="557" customFormat="false" ht="15" hidden="false" customHeight="false" outlineLevel="0" collapsed="false">
      <c r="A557" s="16" t="n">
        <v>556</v>
      </c>
      <c r="B557" s="16" t="n">
        <f aca="false">ROUNDUP(A557/12,0)</f>
        <v>47</v>
      </c>
      <c r="C557" s="10" t="n">
        <f aca="false">F556</f>
        <v>1.28693500300869E-010</v>
      </c>
      <c r="D557" s="10" t="n">
        <f aca="false">IF(AND(A557&lt;=Inputs!$B$9*12,C557&gt;0.000001),C557*Inputs!$B$10/12,0)</f>
        <v>0</v>
      </c>
      <c r="E557" s="10" t="n">
        <f aca="false">IF(AND(A557&lt;=Inputs!$B$9*12,C557&gt;0.000001),MIN(C557,Inputs!$B$41-D557),0)</f>
        <v>0</v>
      </c>
      <c r="F557" s="10" t="n">
        <f aca="false">C557-E557</f>
        <v>1.28693500300869E-010</v>
      </c>
      <c r="G557" s="10" t="n">
        <f aca="false">IF(AND(Inputs!$B$43=1,C557&gt;0.78*Inputs!$B$7,A557&lt;=Inputs!$B$9*6),Inputs!$B$16*Inputs!$B$39/12,0)</f>
        <v>0</v>
      </c>
      <c r="H557" s="10" t="n">
        <f aca="false">IF(B557=1,Inputs!$B$7,INDEX(Annual!$AC$2:$AC$51,B557-1))</f>
        <v>3037411.35435993</v>
      </c>
      <c r="I557" s="10" t="n">
        <f aca="false">Inputs!$B$12*IF(Inputs!$B$35="",H557,MIN(H557,Inputs!$B$7*(1+Inputs!$B$35)^(B557-1)))/12</f>
        <v>2278.05851576995</v>
      </c>
      <c r="J557" s="10" t="n">
        <f aca="false">Inputs!$B$13*Inputs!$B$7*(1+Inputs!$B$22)^(B557-1)/12</f>
        <v>742.06515151208</v>
      </c>
      <c r="K557" s="10" t="n">
        <f aca="false">Inputs!$B$14*Inputs!$B$7*(1+Inputs!$B$22)^(B557-1)/12</f>
        <v>1484.13030302416</v>
      </c>
      <c r="L557" s="10" t="n">
        <f aca="false">Inputs!$B$15*(1+Inputs!$B$22)^(B557-1)</f>
        <v>0</v>
      </c>
      <c r="M557" s="10" t="n">
        <f aca="false">INDEX(Annual!$N$2:$N$51,B557)/12</f>
        <v>0</v>
      </c>
      <c r="N557" s="10" t="n">
        <f aca="false">D557+E557+G557+I557+J557+K557+L557-M557</f>
        <v>4504.25397030619</v>
      </c>
      <c r="O557" s="10" t="n">
        <f aca="false">Inputs!$B$17*(1+Inputs!$B$18)^(B557-1)+Inputs!$B$19*(1+Inputs!$B$22)^(B557-1)</f>
        <v>12220.7814424909</v>
      </c>
      <c r="P557" s="10" t="n">
        <f aca="false">N557-O557</f>
        <v>-7716.52747218476</v>
      </c>
      <c r="Q557" s="10" t="n">
        <f aca="false">Q556*(1+Inputs!$B$42)-U557+MAX(P557,0)</f>
        <v>4480300.58471165</v>
      </c>
      <c r="R557" s="10" t="n">
        <f aca="false">R556+Q556*Inputs!$B$48-U557+MAX(P557,0)</f>
        <v>850004.339092889</v>
      </c>
      <c r="S557" s="10" t="n">
        <f aca="false">S556*(1+Inputs!$B$42)-V557+MAX(-P557,0)</f>
        <v>2403191.05413024</v>
      </c>
      <c r="T557" s="10" t="n">
        <f aca="false">T556+S556*Inputs!$B$48-V557+MAX(-P557,0)</f>
        <v>1421361.29447362</v>
      </c>
      <c r="U557" s="10" t="n">
        <f aca="false">Q556*Inputs!$B$48*Inputs!$B$29</f>
        <v>612.661494191878</v>
      </c>
      <c r="V557" s="10" t="n">
        <f aca="false">S556*Inputs!$B$48*Inputs!$B$29</f>
        <v>327.570656265545</v>
      </c>
    </row>
    <row r="558" customFormat="false" ht="15" hidden="false" customHeight="false" outlineLevel="0" collapsed="false">
      <c r="A558" s="16" t="n">
        <v>557</v>
      </c>
      <c r="B558" s="16" t="n">
        <f aca="false">ROUNDUP(A558/12,0)</f>
        <v>47</v>
      </c>
      <c r="C558" s="10" t="n">
        <f aca="false">F557</f>
        <v>1.28693500300869E-010</v>
      </c>
      <c r="D558" s="10" t="n">
        <f aca="false">IF(AND(A558&lt;=Inputs!$B$9*12,C558&gt;0.000001),C558*Inputs!$B$10/12,0)</f>
        <v>0</v>
      </c>
      <c r="E558" s="10" t="n">
        <f aca="false">IF(AND(A558&lt;=Inputs!$B$9*12,C558&gt;0.000001),MIN(C558,Inputs!$B$41-D558),0)</f>
        <v>0</v>
      </c>
      <c r="F558" s="10" t="n">
        <f aca="false">C558-E558</f>
        <v>1.28693500300869E-010</v>
      </c>
      <c r="G558" s="10" t="n">
        <f aca="false">IF(AND(Inputs!$B$43=1,C558&gt;0.78*Inputs!$B$7,A558&lt;=Inputs!$B$9*6),Inputs!$B$16*Inputs!$B$39/12,0)</f>
        <v>0</v>
      </c>
      <c r="H558" s="10" t="n">
        <f aca="false">IF(B558=1,Inputs!$B$7,INDEX(Annual!$AC$2:$AC$51,B558-1))</f>
        <v>3037411.35435993</v>
      </c>
      <c r="I558" s="10" t="n">
        <f aca="false">Inputs!$B$12*IF(Inputs!$B$35="",H558,MIN(H558,Inputs!$B$7*(1+Inputs!$B$35)^(B558-1)))/12</f>
        <v>2278.05851576995</v>
      </c>
      <c r="J558" s="10" t="n">
        <f aca="false">Inputs!$B$13*Inputs!$B$7*(1+Inputs!$B$22)^(B558-1)/12</f>
        <v>742.06515151208</v>
      </c>
      <c r="K558" s="10" t="n">
        <f aca="false">Inputs!$B$14*Inputs!$B$7*(1+Inputs!$B$22)^(B558-1)/12</f>
        <v>1484.13030302416</v>
      </c>
      <c r="L558" s="10" t="n">
        <f aca="false">Inputs!$B$15*(1+Inputs!$B$22)^(B558-1)</f>
        <v>0</v>
      </c>
      <c r="M558" s="10" t="n">
        <f aca="false">INDEX(Annual!$N$2:$N$51,B558)/12</f>
        <v>0</v>
      </c>
      <c r="N558" s="10" t="n">
        <f aca="false">D558+E558+G558+I558+J558+K558+L558-M558</f>
        <v>4504.25397030619</v>
      </c>
      <c r="O558" s="10" t="n">
        <f aca="false">Inputs!$B$17*(1+Inputs!$B$18)^(B558-1)+Inputs!$B$19*(1+Inputs!$B$22)^(B558-1)</f>
        <v>12220.7814424909</v>
      </c>
      <c r="P558" s="10" t="n">
        <f aca="false">N558-O558</f>
        <v>-7716.52747218476</v>
      </c>
      <c r="Q558" s="10" t="n">
        <f aca="false">Q557*(1+Inputs!$B$42)-U558+MAX(P558,0)</f>
        <v>4505016.81426649</v>
      </c>
      <c r="R558" s="10" t="n">
        <f aca="false">R557+Q557*Inputs!$B$48-U558+MAX(P558,0)</f>
        <v>853495.239965144</v>
      </c>
      <c r="S558" s="10" t="n">
        <f aca="false">S557*(1+Inputs!$B$42)-V558+MAX(-P558,0)</f>
        <v>2424165.13444624</v>
      </c>
      <c r="T558" s="10" t="n">
        <f aca="false">T557+S557*Inputs!$B$48-V558+MAX(-P558,0)</f>
        <v>1430950.30830881</v>
      </c>
      <c r="U558" s="10" t="n">
        <f aca="false">Q557*Inputs!$B$48*Inputs!$B$29</f>
        <v>616.041330397852</v>
      </c>
      <c r="V558" s="10" t="n">
        <f aca="false">S557*Inputs!$B$48*Inputs!$B$29</f>
        <v>330.438769942907</v>
      </c>
    </row>
    <row r="559" customFormat="false" ht="15" hidden="false" customHeight="false" outlineLevel="0" collapsed="false">
      <c r="A559" s="16" t="n">
        <v>558</v>
      </c>
      <c r="B559" s="16" t="n">
        <f aca="false">ROUNDUP(A559/12,0)</f>
        <v>47</v>
      </c>
      <c r="C559" s="10" t="n">
        <f aca="false">F558</f>
        <v>1.28693500300869E-010</v>
      </c>
      <c r="D559" s="10" t="n">
        <f aca="false">IF(AND(A559&lt;=Inputs!$B$9*12,C559&gt;0.000001),C559*Inputs!$B$10/12,0)</f>
        <v>0</v>
      </c>
      <c r="E559" s="10" t="n">
        <f aca="false">IF(AND(A559&lt;=Inputs!$B$9*12,C559&gt;0.000001),MIN(C559,Inputs!$B$41-D559),0)</f>
        <v>0</v>
      </c>
      <c r="F559" s="10" t="n">
        <f aca="false">C559-E559</f>
        <v>1.28693500300869E-010</v>
      </c>
      <c r="G559" s="10" t="n">
        <f aca="false">IF(AND(Inputs!$B$43=1,C559&gt;0.78*Inputs!$B$7,A559&lt;=Inputs!$B$9*6),Inputs!$B$16*Inputs!$B$39/12,0)</f>
        <v>0</v>
      </c>
      <c r="H559" s="10" t="n">
        <f aca="false">IF(B559=1,Inputs!$B$7,INDEX(Annual!$AC$2:$AC$51,B559-1))</f>
        <v>3037411.35435993</v>
      </c>
      <c r="I559" s="10" t="n">
        <f aca="false">Inputs!$B$12*IF(Inputs!$B$35="",H559,MIN(H559,Inputs!$B$7*(1+Inputs!$B$35)^(B559-1)))/12</f>
        <v>2278.05851576995</v>
      </c>
      <c r="J559" s="10" t="n">
        <f aca="false">Inputs!$B$13*Inputs!$B$7*(1+Inputs!$B$22)^(B559-1)/12</f>
        <v>742.06515151208</v>
      </c>
      <c r="K559" s="10" t="n">
        <f aca="false">Inputs!$B$14*Inputs!$B$7*(1+Inputs!$B$22)^(B559-1)/12</f>
        <v>1484.13030302416</v>
      </c>
      <c r="L559" s="10" t="n">
        <f aca="false">Inputs!$B$15*(1+Inputs!$B$22)^(B559-1)</f>
        <v>0</v>
      </c>
      <c r="M559" s="10" t="n">
        <f aca="false">INDEX(Annual!$N$2:$N$51,B559)/12</f>
        <v>0</v>
      </c>
      <c r="N559" s="10" t="n">
        <f aca="false">D559+E559+G559+I559+J559+K559+L559-M559</f>
        <v>4504.25397030619</v>
      </c>
      <c r="O559" s="10" t="n">
        <f aca="false">Inputs!$B$17*(1+Inputs!$B$18)^(B559-1)+Inputs!$B$19*(1+Inputs!$B$22)^(B559-1)</f>
        <v>12220.7814424909</v>
      </c>
      <c r="P559" s="10" t="n">
        <f aca="false">N559-O559</f>
        <v>-7716.52747218476</v>
      </c>
      <c r="Q559" s="10" t="n">
        <f aca="false">Q558*(1+Inputs!$B$42)-U559+MAX(P559,0)</f>
        <v>4529869.3944951</v>
      </c>
      <c r="R559" s="10" t="n">
        <f aca="false">R558+Q558*Inputs!$B$48-U559+MAX(P559,0)</f>
        <v>857005.398899593</v>
      </c>
      <c r="S559" s="10" t="n">
        <f aca="false">S558*(1+Inputs!$B$42)-V559+MAX(-P559,0)</f>
        <v>2445254.92132568</v>
      </c>
      <c r="T559" s="10" t="n">
        <f aca="false">T558+S558*Inputs!$B$48-V559+MAX(-P559,0)</f>
        <v>1440555.66444825</v>
      </c>
      <c r="U559" s="10" t="n">
        <f aca="false">Q558*Inputs!$B$48*Inputs!$B$29</f>
        <v>619.439811961642</v>
      </c>
      <c r="V559" s="10" t="n">
        <f aca="false">S558*Inputs!$B$48*Inputs!$B$29</f>
        <v>333.322705986358</v>
      </c>
    </row>
    <row r="560" customFormat="false" ht="15" hidden="false" customHeight="false" outlineLevel="0" collapsed="false">
      <c r="A560" s="16" t="n">
        <v>559</v>
      </c>
      <c r="B560" s="16" t="n">
        <f aca="false">ROUNDUP(A560/12,0)</f>
        <v>47</v>
      </c>
      <c r="C560" s="10" t="n">
        <f aca="false">F559</f>
        <v>1.28693500300869E-010</v>
      </c>
      <c r="D560" s="10" t="n">
        <f aca="false">IF(AND(A560&lt;=Inputs!$B$9*12,C560&gt;0.000001),C560*Inputs!$B$10/12,0)</f>
        <v>0</v>
      </c>
      <c r="E560" s="10" t="n">
        <f aca="false">IF(AND(A560&lt;=Inputs!$B$9*12,C560&gt;0.000001),MIN(C560,Inputs!$B$41-D560),0)</f>
        <v>0</v>
      </c>
      <c r="F560" s="10" t="n">
        <f aca="false">C560-E560</f>
        <v>1.28693500300869E-010</v>
      </c>
      <c r="G560" s="10" t="n">
        <f aca="false">IF(AND(Inputs!$B$43=1,C560&gt;0.78*Inputs!$B$7,A560&lt;=Inputs!$B$9*6),Inputs!$B$16*Inputs!$B$39/12,0)</f>
        <v>0</v>
      </c>
      <c r="H560" s="10" t="n">
        <f aca="false">IF(B560=1,Inputs!$B$7,INDEX(Annual!$AC$2:$AC$51,B560-1))</f>
        <v>3037411.35435993</v>
      </c>
      <c r="I560" s="10" t="n">
        <f aca="false">Inputs!$B$12*IF(Inputs!$B$35="",H560,MIN(H560,Inputs!$B$7*(1+Inputs!$B$35)^(B560-1)))/12</f>
        <v>2278.05851576995</v>
      </c>
      <c r="J560" s="10" t="n">
        <f aca="false">Inputs!$B$13*Inputs!$B$7*(1+Inputs!$B$22)^(B560-1)/12</f>
        <v>742.06515151208</v>
      </c>
      <c r="K560" s="10" t="n">
        <f aca="false">Inputs!$B$14*Inputs!$B$7*(1+Inputs!$B$22)^(B560-1)/12</f>
        <v>1484.13030302416</v>
      </c>
      <c r="L560" s="10" t="n">
        <f aca="false">Inputs!$B$15*(1+Inputs!$B$22)^(B560-1)</f>
        <v>0</v>
      </c>
      <c r="M560" s="10" t="n">
        <f aca="false">INDEX(Annual!$N$2:$N$51,B560)/12</f>
        <v>0</v>
      </c>
      <c r="N560" s="10" t="n">
        <f aca="false">D560+E560+G560+I560+J560+K560+L560-M560</f>
        <v>4504.25397030619</v>
      </c>
      <c r="O560" s="10" t="n">
        <f aca="false">Inputs!$B$17*(1+Inputs!$B$18)^(B560-1)+Inputs!$B$19*(1+Inputs!$B$22)^(B560-1)</f>
        <v>12220.7814424909</v>
      </c>
      <c r="P560" s="10" t="n">
        <f aca="false">N560-O560</f>
        <v>-7716.52747218476</v>
      </c>
      <c r="Q560" s="10" t="n">
        <f aca="false">Q559*(1+Inputs!$B$42)-U560+MAX(P560,0)</f>
        <v>4554859.07759579</v>
      </c>
      <c r="R560" s="10" t="n">
        <f aca="false">R559+Q559*Inputs!$B$48-U560+MAX(P560,0)</f>
        <v>860534.922136137</v>
      </c>
      <c r="S560" s="10" t="n">
        <f aca="false">S559*(1+Inputs!$B$42)-V560+MAX(-P560,0)</f>
        <v>2466461.05308062</v>
      </c>
      <c r="T560" s="10" t="n">
        <f aca="false">T559+S559*Inputs!$B$48-V560+MAX(-P560,0)</f>
        <v>1450177.45304664</v>
      </c>
      <c r="U560" s="10" t="n">
        <f aca="false">Q559*Inputs!$B$48*Inputs!$B$29</f>
        <v>622.857041743076</v>
      </c>
      <c r="V560" s="10" t="n">
        <f aca="false">S559*Inputs!$B$48*Inputs!$B$29</f>
        <v>336.222551682281</v>
      </c>
    </row>
    <row r="561" customFormat="false" ht="15" hidden="false" customHeight="false" outlineLevel="0" collapsed="false">
      <c r="A561" s="16" t="n">
        <v>560</v>
      </c>
      <c r="B561" s="16" t="n">
        <f aca="false">ROUNDUP(A561/12,0)</f>
        <v>47</v>
      </c>
      <c r="C561" s="10" t="n">
        <f aca="false">F560</f>
        <v>1.28693500300869E-010</v>
      </c>
      <c r="D561" s="10" t="n">
        <f aca="false">IF(AND(A561&lt;=Inputs!$B$9*12,C561&gt;0.000001),C561*Inputs!$B$10/12,0)</f>
        <v>0</v>
      </c>
      <c r="E561" s="10" t="n">
        <f aca="false">IF(AND(A561&lt;=Inputs!$B$9*12,C561&gt;0.000001),MIN(C561,Inputs!$B$41-D561),0)</f>
        <v>0</v>
      </c>
      <c r="F561" s="10" t="n">
        <f aca="false">C561-E561</f>
        <v>1.28693500300869E-010</v>
      </c>
      <c r="G561" s="10" t="n">
        <f aca="false">IF(AND(Inputs!$B$43=1,C561&gt;0.78*Inputs!$B$7,A561&lt;=Inputs!$B$9*6),Inputs!$B$16*Inputs!$B$39/12,0)</f>
        <v>0</v>
      </c>
      <c r="H561" s="10" t="n">
        <f aca="false">IF(B561=1,Inputs!$B$7,INDEX(Annual!$AC$2:$AC$51,B561-1))</f>
        <v>3037411.35435993</v>
      </c>
      <c r="I561" s="10" t="n">
        <f aca="false">Inputs!$B$12*IF(Inputs!$B$35="",H561,MIN(H561,Inputs!$B$7*(1+Inputs!$B$35)^(B561-1)))/12</f>
        <v>2278.05851576995</v>
      </c>
      <c r="J561" s="10" t="n">
        <f aca="false">Inputs!$B$13*Inputs!$B$7*(1+Inputs!$B$22)^(B561-1)/12</f>
        <v>742.06515151208</v>
      </c>
      <c r="K561" s="10" t="n">
        <f aca="false">Inputs!$B$14*Inputs!$B$7*(1+Inputs!$B$22)^(B561-1)/12</f>
        <v>1484.13030302416</v>
      </c>
      <c r="L561" s="10" t="n">
        <f aca="false">Inputs!$B$15*(1+Inputs!$B$22)^(B561-1)</f>
        <v>0</v>
      </c>
      <c r="M561" s="10" t="n">
        <f aca="false">INDEX(Annual!$N$2:$N$51,B561)/12</f>
        <v>0</v>
      </c>
      <c r="N561" s="10" t="n">
        <f aca="false">D561+E561+G561+I561+J561+K561+L561-M561</f>
        <v>4504.25397030619</v>
      </c>
      <c r="O561" s="10" t="n">
        <f aca="false">Inputs!$B$17*(1+Inputs!$B$18)^(B561-1)+Inputs!$B$19*(1+Inputs!$B$22)^(B561-1)</f>
        <v>12220.7814424909</v>
      </c>
      <c r="P561" s="10" t="n">
        <f aca="false">N561-O561</f>
        <v>-7716.52747218476</v>
      </c>
      <c r="Q561" s="10" t="n">
        <f aca="false">Q560*(1+Inputs!$B$42)-U561+MAX(P561,0)</f>
        <v>4579986.61991649</v>
      </c>
      <c r="R561" s="10" t="n">
        <f aca="false">R560+Q560*Inputs!$B$48-U561+MAX(P561,0)</f>
        <v>864083.916500764</v>
      </c>
      <c r="S561" s="10" t="n">
        <f aca="false">S560*(1+Inputs!$B$42)-V561+MAX(-P561,0)</f>
        <v>2487784.1715445</v>
      </c>
      <c r="T561" s="10" t="n">
        <f aca="false">T560+S560*Inputs!$B$48-V561+MAX(-P561,0)</f>
        <v>1459815.76475601</v>
      </c>
      <c r="U561" s="10" t="n">
        <f aca="false">Q560*Inputs!$B$48*Inputs!$B$29</f>
        <v>626.293123169421</v>
      </c>
      <c r="V561" s="10" t="n">
        <f aca="false">S560*Inputs!$B$48*Inputs!$B$29</f>
        <v>339.138394798586</v>
      </c>
    </row>
    <row r="562" customFormat="false" ht="15" hidden="false" customHeight="false" outlineLevel="0" collapsed="false">
      <c r="A562" s="16" t="n">
        <v>561</v>
      </c>
      <c r="B562" s="16" t="n">
        <f aca="false">ROUNDUP(A562/12,0)</f>
        <v>47</v>
      </c>
      <c r="C562" s="10" t="n">
        <f aca="false">F561</f>
        <v>1.28693500300869E-010</v>
      </c>
      <c r="D562" s="10" t="n">
        <f aca="false">IF(AND(A562&lt;=Inputs!$B$9*12,C562&gt;0.000001),C562*Inputs!$B$10/12,0)</f>
        <v>0</v>
      </c>
      <c r="E562" s="10" t="n">
        <f aca="false">IF(AND(A562&lt;=Inputs!$B$9*12,C562&gt;0.000001),MIN(C562,Inputs!$B$41-D562),0)</f>
        <v>0</v>
      </c>
      <c r="F562" s="10" t="n">
        <f aca="false">C562-E562</f>
        <v>1.28693500300869E-010</v>
      </c>
      <c r="G562" s="10" t="n">
        <f aca="false">IF(AND(Inputs!$B$43=1,C562&gt;0.78*Inputs!$B$7,A562&lt;=Inputs!$B$9*6),Inputs!$B$16*Inputs!$B$39/12,0)</f>
        <v>0</v>
      </c>
      <c r="H562" s="10" t="n">
        <f aca="false">IF(B562=1,Inputs!$B$7,INDEX(Annual!$AC$2:$AC$51,B562-1))</f>
        <v>3037411.35435993</v>
      </c>
      <c r="I562" s="10" t="n">
        <f aca="false">Inputs!$B$12*IF(Inputs!$B$35="",H562,MIN(H562,Inputs!$B$7*(1+Inputs!$B$35)^(B562-1)))/12</f>
        <v>2278.05851576995</v>
      </c>
      <c r="J562" s="10" t="n">
        <f aca="false">Inputs!$B$13*Inputs!$B$7*(1+Inputs!$B$22)^(B562-1)/12</f>
        <v>742.06515151208</v>
      </c>
      <c r="K562" s="10" t="n">
        <f aca="false">Inputs!$B$14*Inputs!$B$7*(1+Inputs!$B$22)^(B562-1)/12</f>
        <v>1484.13030302416</v>
      </c>
      <c r="L562" s="10" t="n">
        <f aca="false">Inputs!$B$15*(1+Inputs!$B$22)^(B562-1)</f>
        <v>0</v>
      </c>
      <c r="M562" s="10" t="n">
        <f aca="false">INDEX(Annual!$N$2:$N$51,B562)/12</f>
        <v>0</v>
      </c>
      <c r="N562" s="10" t="n">
        <f aca="false">D562+E562+G562+I562+J562+K562+L562-M562</f>
        <v>4504.25397030619</v>
      </c>
      <c r="O562" s="10" t="n">
        <f aca="false">Inputs!$B$17*(1+Inputs!$B$18)^(B562-1)+Inputs!$B$19*(1+Inputs!$B$22)^(B562-1)</f>
        <v>12220.7814424909</v>
      </c>
      <c r="P562" s="10" t="n">
        <f aca="false">N562-O562</f>
        <v>-7716.52747218476</v>
      </c>
      <c r="Q562" s="10" t="n">
        <f aca="false">Q561*(1+Inputs!$B$42)-U562+MAX(P562,0)</f>
        <v>4605252.78197763</v>
      </c>
      <c r="R562" s="10" t="n">
        <f aca="false">R561+Q561*Inputs!$B$48-U562+MAX(P562,0)</f>
        <v>867652.489408782</v>
      </c>
      <c r="S562" s="10" t="n">
        <f aca="false">S561*(1+Inputs!$B$42)-V562+MAX(-P562,0)</f>
        <v>2509224.9220915</v>
      </c>
      <c r="T562" s="10" t="n">
        <f aca="false">T561+S561*Inputs!$B$48-V562+MAX(-P562,0)</f>
        <v>1469470.69072853</v>
      </c>
      <c r="U562" s="10" t="n">
        <f aca="false">Q561*Inputs!$B$48*Inputs!$B$29</f>
        <v>629.748160238517</v>
      </c>
      <c r="V562" s="10" t="n">
        <f aca="false">S561*Inputs!$B$48*Inputs!$B$29</f>
        <v>342.070323587369</v>
      </c>
    </row>
    <row r="563" customFormat="false" ht="15" hidden="false" customHeight="false" outlineLevel="0" collapsed="false">
      <c r="A563" s="16" t="n">
        <v>562</v>
      </c>
      <c r="B563" s="16" t="n">
        <f aca="false">ROUNDUP(A563/12,0)</f>
        <v>47</v>
      </c>
      <c r="C563" s="10" t="n">
        <f aca="false">F562</f>
        <v>1.28693500300869E-010</v>
      </c>
      <c r="D563" s="10" t="n">
        <f aca="false">IF(AND(A563&lt;=Inputs!$B$9*12,C563&gt;0.000001),C563*Inputs!$B$10/12,0)</f>
        <v>0</v>
      </c>
      <c r="E563" s="10" t="n">
        <f aca="false">IF(AND(A563&lt;=Inputs!$B$9*12,C563&gt;0.000001),MIN(C563,Inputs!$B$41-D563),0)</f>
        <v>0</v>
      </c>
      <c r="F563" s="10" t="n">
        <f aca="false">C563-E563</f>
        <v>1.28693500300869E-010</v>
      </c>
      <c r="G563" s="10" t="n">
        <f aca="false">IF(AND(Inputs!$B$43=1,C563&gt;0.78*Inputs!$B$7,A563&lt;=Inputs!$B$9*6),Inputs!$B$16*Inputs!$B$39/12,0)</f>
        <v>0</v>
      </c>
      <c r="H563" s="10" t="n">
        <f aca="false">IF(B563=1,Inputs!$B$7,INDEX(Annual!$AC$2:$AC$51,B563-1))</f>
        <v>3037411.35435993</v>
      </c>
      <c r="I563" s="10" t="n">
        <f aca="false">Inputs!$B$12*IF(Inputs!$B$35="",H563,MIN(H563,Inputs!$B$7*(1+Inputs!$B$35)^(B563-1)))/12</f>
        <v>2278.05851576995</v>
      </c>
      <c r="J563" s="10" t="n">
        <f aca="false">Inputs!$B$13*Inputs!$B$7*(1+Inputs!$B$22)^(B563-1)/12</f>
        <v>742.06515151208</v>
      </c>
      <c r="K563" s="10" t="n">
        <f aca="false">Inputs!$B$14*Inputs!$B$7*(1+Inputs!$B$22)^(B563-1)/12</f>
        <v>1484.13030302416</v>
      </c>
      <c r="L563" s="10" t="n">
        <f aca="false">Inputs!$B$15*(1+Inputs!$B$22)^(B563-1)</f>
        <v>0</v>
      </c>
      <c r="M563" s="10" t="n">
        <f aca="false">INDEX(Annual!$N$2:$N$51,B563)/12</f>
        <v>0</v>
      </c>
      <c r="N563" s="10" t="n">
        <f aca="false">D563+E563+G563+I563+J563+K563+L563-M563</f>
        <v>4504.25397030619</v>
      </c>
      <c r="O563" s="10" t="n">
        <f aca="false">Inputs!$B$17*(1+Inputs!$B$18)^(B563-1)+Inputs!$B$19*(1+Inputs!$B$22)^(B563-1)</f>
        <v>12220.7814424909</v>
      </c>
      <c r="P563" s="10" t="n">
        <f aca="false">N563-O563</f>
        <v>-7716.52747218476</v>
      </c>
      <c r="Q563" s="10" t="n">
        <f aca="false">Q562*(1+Inputs!$B$42)-U563+MAX(P563,0)</f>
        <v>4630658.32849516</v>
      </c>
      <c r="R563" s="10" t="n">
        <f aca="false">R562+Q562*Inputs!$B$48-U563+MAX(P563,0)</f>
        <v>871240.748868073</v>
      </c>
      <c r="S563" s="10" t="n">
        <f aca="false">S562*(1+Inputs!$B$42)-V563+MAX(-P563,0)</f>
        <v>2530783.9536561</v>
      </c>
      <c r="T563" s="10" t="n">
        <f aca="false">T562+S562*Inputs!$B$48-V563+MAX(-P563,0)</f>
        <v>1479142.32261917</v>
      </c>
      <c r="U563" s="10" t="n">
        <f aca="false">Q562*Inputs!$B$48*Inputs!$B$29</f>
        <v>633.222257521924</v>
      </c>
      <c r="V563" s="10" t="n">
        <f aca="false">S562*Inputs!$B$48*Inputs!$B$29</f>
        <v>345.018426787581</v>
      </c>
    </row>
    <row r="564" customFormat="false" ht="15" hidden="false" customHeight="false" outlineLevel="0" collapsed="false">
      <c r="A564" s="16" t="n">
        <v>563</v>
      </c>
      <c r="B564" s="16" t="n">
        <f aca="false">ROUNDUP(A564/12,0)</f>
        <v>47</v>
      </c>
      <c r="C564" s="10" t="n">
        <f aca="false">F563</f>
        <v>1.28693500300869E-010</v>
      </c>
      <c r="D564" s="10" t="n">
        <f aca="false">IF(AND(A564&lt;=Inputs!$B$9*12,C564&gt;0.000001),C564*Inputs!$B$10/12,0)</f>
        <v>0</v>
      </c>
      <c r="E564" s="10" t="n">
        <f aca="false">IF(AND(A564&lt;=Inputs!$B$9*12,C564&gt;0.000001),MIN(C564,Inputs!$B$41-D564),0)</f>
        <v>0</v>
      </c>
      <c r="F564" s="10" t="n">
        <f aca="false">C564-E564</f>
        <v>1.28693500300869E-010</v>
      </c>
      <c r="G564" s="10" t="n">
        <f aca="false">IF(AND(Inputs!$B$43=1,C564&gt;0.78*Inputs!$B$7,A564&lt;=Inputs!$B$9*6),Inputs!$B$16*Inputs!$B$39/12,0)</f>
        <v>0</v>
      </c>
      <c r="H564" s="10" t="n">
        <f aca="false">IF(B564=1,Inputs!$B$7,INDEX(Annual!$AC$2:$AC$51,B564-1))</f>
        <v>3037411.35435993</v>
      </c>
      <c r="I564" s="10" t="n">
        <f aca="false">Inputs!$B$12*IF(Inputs!$B$35="",H564,MIN(H564,Inputs!$B$7*(1+Inputs!$B$35)^(B564-1)))/12</f>
        <v>2278.05851576995</v>
      </c>
      <c r="J564" s="10" t="n">
        <f aca="false">Inputs!$B$13*Inputs!$B$7*(1+Inputs!$B$22)^(B564-1)/12</f>
        <v>742.06515151208</v>
      </c>
      <c r="K564" s="10" t="n">
        <f aca="false">Inputs!$B$14*Inputs!$B$7*(1+Inputs!$B$22)^(B564-1)/12</f>
        <v>1484.13030302416</v>
      </c>
      <c r="L564" s="10" t="n">
        <f aca="false">Inputs!$B$15*(1+Inputs!$B$22)^(B564-1)</f>
        <v>0</v>
      </c>
      <c r="M564" s="10" t="n">
        <f aca="false">INDEX(Annual!$N$2:$N$51,B564)/12</f>
        <v>0</v>
      </c>
      <c r="N564" s="10" t="n">
        <f aca="false">D564+E564+G564+I564+J564+K564+L564-M564</f>
        <v>4504.25397030619</v>
      </c>
      <c r="O564" s="10" t="n">
        <f aca="false">Inputs!$B$17*(1+Inputs!$B$18)^(B564-1)+Inputs!$B$19*(1+Inputs!$B$22)^(B564-1)</f>
        <v>12220.7814424909</v>
      </c>
      <c r="P564" s="10" t="n">
        <f aca="false">N564-O564</f>
        <v>-7716.52747218476</v>
      </c>
      <c r="Q564" s="10" t="n">
        <f aca="false">Q563*(1+Inputs!$B$42)-U564+MAX(P564,0)</f>
        <v>4656204.0284037</v>
      </c>
      <c r="R564" s="10" t="n">
        <f aca="false">R563+Q563*Inputs!$B$48-U564+MAX(P564,0)</f>
        <v>874848.803482359</v>
      </c>
      <c r="S564" s="10" t="n">
        <f aca="false">S563*(1+Inputs!$B$42)-V564+MAX(-P564,0)</f>
        <v>2552461.91875274</v>
      </c>
      <c r="T564" s="10" t="n">
        <f aca="false">T563+S563*Inputs!$B$48-V564+MAX(-P564,0)</f>
        <v>1488830.75258858</v>
      </c>
      <c r="U564" s="10" t="n">
        <f aca="false">Q563*Inputs!$B$48*Inputs!$B$29</f>
        <v>636.715520168084</v>
      </c>
      <c r="V564" s="10" t="n">
        <f aca="false">S563*Inputs!$B$48*Inputs!$B$29</f>
        <v>347.982793627714</v>
      </c>
    </row>
    <row r="565" customFormat="false" ht="15" hidden="false" customHeight="false" outlineLevel="0" collapsed="false">
      <c r="A565" s="16" t="n">
        <v>564</v>
      </c>
      <c r="B565" s="16" t="n">
        <f aca="false">ROUNDUP(A565/12,0)</f>
        <v>47</v>
      </c>
      <c r="C565" s="10" t="n">
        <f aca="false">F564</f>
        <v>1.28693500300869E-010</v>
      </c>
      <c r="D565" s="10" t="n">
        <f aca="false">IF(AND(A565&lt;=Inputs!$B$9*12,C565&gt;0.000001),C565*Inputs!$B$10/12,0)</f>
        <v>0</v>
      </c>
      <c r="E565" s="10" t="n">
        <f aca="false">IF(AND(A565&lt;=Inputs!$B$9*12,C565&gt;0.000001),MIN(C565,Inputs!$B$41-D565),0)</f>
        <v>0</v>
      </c>
      <c r="F565" s="10" t="n">
        <f aca="false">C565-E565</f>
        <v>1.28693500300869E-010</v>
      </c>
      <c r="G565" s="10" t="n">
        <f aca="false">IF(AND(Inputs!$B$43=1,C565&gt;0.78*Inputs!$B$7,A565&lt;=Inputs!$B$9*6),Inputs!$B$16*Inputs!$B$39/12,0)</f>
        <v>0</v>
      </c>
      <c r="H565" s="10" t="n">
        <f aca="false">IF(B565=1,Inputs!$B$7,INDEX(Annual!$AC$2:$AC$51,B565-1))</f>
        <v>3037411.35435993</v>
      </c>
      <c r="I565" s="10" t="n">
        <f aca="false">Inputs!$B$12*IF(Inputs!$B$35="",H565,MIN(H565,Inputs!$B$7*(1+Inputs!$B$35)^(B565-1)))/12</f>
        <v>2278.05851576995</v>
      </c>
      <c r="J565" s="10" t="n">
        <f aca="false">Inputs!$B$13*Inputs!$B$7*(1+Inputs!$B$22)^(B565-1)/12</f>
        <v>742.06515151208</v>
      </c>
      <c r="K565" s="10" t="n">
        <f aca="false">Inputs!$B$14*Inputs!$B$7*(1+Inputs!$B$22)^(B565-1)/12</f>
        <v>1484.13030302416</v>
      </c>
      <c r="L565" s="10" t="n">
        <f aca="false">Inputs!$B$15*(1+Inputs!$B$22)^(B565-1)</f>
        <v>0</v>
      </c>
      <c r="M565" s="10" t="n">
        <f aca="false">INDEX(Annual!$N$2:$N$51,B565)/12</f>
        <v>0</v>
      </c>
      <c r="N565" s="10" t="n">
        <f aca="false">D565+E565+G565+I565+J565+K565+L565-M565</f>
        <v>4504.25397030619</v>
      </c>
      <c r="O565" s="10" t="n">
        <f aca="false">Inputs!$B$17*(1+Inputs!$B$18)^(B565-1)+Inputs!$B$19*(1+Inputs!$B$22)^(B565-1)</f>
        <v>12220.7814424909</v>
      </c>
      <c r="P565" s="10" t="n">
        <f aca="false">N565-O565</f>
        <v>-7716.52747218476</v>
      </c>
      <c r="Q565" s="10" t="n">
        <f aca="false">Q564*(1+Inputs!$B$42)-U565+MAX(P565,0)</f>
        <v>4681890.65487981</v>
      </c>
      <c r="R565" s="10" t="n">
        <f aca="false">R564+Q564*Inputs!$B$48-U565+MAX(P565,0)</f>
        <v>878476.76245449</v>
      </c>
      <c r="S565" s="10" t="n">
        <f aca="false">S564*(1+Inputs!$B$42)-V565+MAX(-P565,0)</f>
        <v>2574259.47349554</v>
      </c>
      <c r="T565" s="10" t="n">
        <f aca="false">T564+S564*Inputs!$B$48-V565+MAX(-P565,0)</f>
        <v>1498536.07330579</v>
      </c>
      <c r="U565" s="10" t="n">
        <f aca="false">Q564*Inputs!$B$48*Inputs!$B$29</f>
        <v>640.228053905509</v>
      </c>
      <c r="V565" s="10" t="n">
        <f aca="false">S564*Inputs!$B$48*Inputs!$B$29</f>
        <v>350.963513828502</v>
      </c>
    </row>
    <row r="566" customFormat="false" ht="15" hidden="false" customHeight="false" outlineLevel="0" collapsed="false">
      <c r="A566" s="16" t="n">
        <v>565</v>
      </c>
      <c r="B566" s="16" t="n">
        <f aca="false">ROUNDUP(A566/12,0)</f>
        <v>48</v>
      </c>
      <c r="C566" s="10" t="n">
        <f aca="false">F565</f>
        <v>1.28693500300869E-010</v>
      </c>
      <c r="D566" s="10" t="n">
        <f aca="false">IF(AND(A566&lt;=Inputs!$B$9*12,C566&gt;0.000001),C566*Inputs!$B$10/12,0)</f>
        <v>0</v>
      </c>
      <c r="E566" s="10" t="n">
        <f aca="false">IF(AND(A566&lt;=Inputs!$B$9*12,C566&gt;0.000001),MIN(C566,Inputs!$B$41-D566),0)</f>
        <v>0</v>
      </c>
      <c r="F566" s="10" t="n">
        <f aca="false">C566-E566</f>
        <v>1.28693500300869E-010</v>
      </c>
      <c r="G566" s="10" t="n">
        <f aca="false">IF(AND(Inputs!$B$43=1,C566&gt;0.78*Inputs!$B$7,A566&lt;=Inputs!$B$9*6),Inputs!$B$16*Inputs!$B$39/12,0)</f>
        <v>0</v>
      </c>
      <c r="H566" s="10" t="n">
        <f aca="false">IF(B566=1,Inputs!$B$7,INDEX(Annual!$AC$2:$AC$51,B566-1))</f>
        <v>3158907.80853433</v>
      </c>
      <c r="I566" s="10" t="n">
        <f aca="false">Inputs!$B$12*IF(Inputs!$B$35="",H566,MIN(H566,Inputs!$B$7*(1+Inputs!$B$35)^(B566-1)))/12</f>
        <v>2369.18085640075</v>
      </c>
      <c r="J566" s="10" t="n">
        <f aca="false">Inputs!$B$13*Inputs!$B$7*(1+Inputs!$B$22)^(B566-1)/12</f>
        <v>762.842975754418</v>
      </c>
      <c r="K566" s="10" t="n">
        <f aca="false">Inputs!$B$14*Inputs!$B$7*(1+Inputs!$B$22)^(B566-1)/12</f>
        <v>1525.68595150884</v>
      </c>
      <c r="L566" s="10" t="n">
        <f aca="false">Inputs!$B$15*(1+Inputs!$B$22)^(B566-1)</f>
        <v>0</v>
      </c>
      <c r="M566" s="10" t="n">
        <f aca="false">INDEX(Annual!$N$2:$N$51,B566)/12</f>
        <v>0</v>
      </c>
      <c r="N566" s="10" t="n">
        <f aca="false">D566+E566+G566+I566+J566+K566+L566-M566</f>
        <v>4657.709783664</v>
      </c>
      <c r="O566" s="10" t="n">
        <f aca="false">Inputs!$B$17*(1+Inputs!$B$18)^(B566-1)+Inputs!$B$19*(1+Inputs!$B$22)^(B566-1)</f>
        <v>12648.1347921418</v>
      </c>
      <c r="P566" s="10" t="n">
        <f aca="false">N566-O566</f>
        <v>-7990.42500847777</v>
      </c>
      <c r="Q566" s="10" t="n">
        <f aca="false">Q565*(1+Inputs!$B$42)-U566+MAX(P566,0)</f>
        <v>4707718.98536539</v>
      </c>
      <c r="R566" s="10" t="n">
        <f aca="false">R565+Q565*Inputs!$B$48-U566+MAX(P566,0)</f>
        <v>882124.73558975</v>
      </c>
      <c r="S566" s="10" t="n">
        <f aca="false">S565*(1+Inputs!$B$42)-V566+MAX(-P566,0)</f>
        <v>2596451.17515446</v>
      </c>
      <c r="T566" s="10" t="n">
        <f aca="false">T565+S565*Inputs!$B$48-V566+MAX(-P566,0)</f>
        <v>1508532.27548737</v>
      </c>
      <c r="U566" s="10" t="n">
        <f aca="false">Q565*Inputs!$B$48*Inputs!$B$29</f>
        <v>643.759965045975</v>
      </c>
      <c r="V566" s="10" t="n">
        <f aca="false">S565*Inputs!$B$48*Inputs!$B$29</f>
        <v>353.960677605637</v>
      </c>
    </row>
    <row r="567" customFormat="false" ht="15" hidden="false" customHeight="false" outlineLevel="0" collapsed="false">
      <c r="A567" s="16" t="n">
        <v>566</v>
      </c>
      <c r="B567" s="16" t="n">
        <f aca="false">ROUNDUP(A567/12,0)</f>
        <v>48</v>
      </c>
      <c r="C567" s="10" t="n">
        <f aca="false">F566</f>
        <v>1.28693500300869E-010</v>
      </c>
      <c r="D567" s="10" t="n">
        <f aca="false">IF(AND(A567&lt;=Inputs!$B$9*12,C567&gt;0.000001),C567*Inputs!$B$10/12,0)</f>
        <v>0</v>
      </c>
      <c r="E567" s="10" t="n">
        <f aca="false">IF(AND(A567&lt;=Inputs!$B$9*12,C567&gt;0.000001),MIN(C567,Inputs!$B$41-D567),0)</f>
        <v>0</v>
      </c>
      <c r="F567" s="10" t="n">
        <f aca="false">C567-E567</f>
        <v>1.28693500300869E-010</v>
      </c>
      <c r="G567" s="10" t="n">
        <f aca="false">IF(AND(Inputs!$B$43=1,C567&gt;0.78*Inputs!$B$7,A567&lt;=Inputs!$B$9*6),Inputs!$B$16*Inputs!$B$39/12,0)</f>
        <v>0</v>
      </c>
      <c r="H567" s="10" t="n">
        <f aca="false">IF(B567=1,Inputs!$B$7,INDEX(Annual!$AC$2:$AC$51,B567-1))</f>
        <v>3158907.80853433</v>
      </c>
      <c r="I567" s="10" t="n">
        <f aca="false">Inputs!$B$12*IF(Inputs!$B$35="",H567,MIN(H567,Inputs!$B$7*(1+Inputs!$B$35)^(B567-1)))/12</f>
        <v>2369.18085640075</v>
      </c>
      <c r="J567" s="10" t="n">
        <f aca="false">Inputs!$B$13*Inputs!$B$7*(1+Inputs!$B$22)^(B567-1)/12</f>
        <v>762.842975754418</v>
      </c>
      <c r="K567" s="10" t="n">
        <f aca="false">Inputs!$B$14*Inputs!$B$7*(1+Inputs!$B$22)^(B567-1)/12</f>
        <v>1525.68595150884</v>
      </c>
      <c r="L567" s="10" t="n">
        <f aca="false">Inputs!$B$15*(1+Inputs!$B$22)^(B567-1)</f>
        <v>0</v>
      </c>
      <c r="M567" s="10" t="n">
        <f aca="false">INDEX(Annual!$N$2:$N$51,B567)/12</f>
        <v>0</v>
      </c>
      <c r="N567" s="10" t="n">
        <f aca="false">D567+E567+G567+I567+J567+K567+L567-M567</f>
        <v>4657.709783664</v>
      </c>
      <c r="O567" s="10" t="n">
        <f aca="false">Inputs!$B$17*(1+Inputs!$B$18)^(B567-1)+Inputs!$B$19*(1+Inputs!$B$22)^(B567-1)</f>
        <v>12648.1347921418</v>
      </c>
      <c r="P567" s="10" t="n">
        <f aca="false">N567-O567</f>
        <v>-7990.42500847777</v>
      </c>
      <c r="Q567" s="10" t="n">
        <f aca="false">Q566*(1+Inputs!$B$42)-U567+MAX(P567,0)</f>
        <v>4733689.80159121</v>
      </c>
      <c r="R567" s="10" t="n">
        <f aca="false">R566+Q566*Inputs!$B$48-U567+MAX(P567,0)</f>
        <v>885792.833299181</v>
      </c>
      <c r="S567" s="10" t="n">
        <f aca="false">S566*(1+Inputs!$B$42)-V567+MAX(-P567,0)</f>
        <v>2618765.30056198</v>
      </c>
      <c r="T567" s="10" t="n">
        <f aca="false">T566+S566*Inputs!$B$48-V567+MAX(-P567,0)</f>
        <v>1518545.76870316</v>
      </c>
      <c r="U567" s="10" t="n">
        <f aca="false">Q566*Inputs!$B$48*Inputs!$B$29</f>
        <v>647.311360487741</v>
      </c>
      <c r="V567" s="10" t="n">
        <f aca="false">S566*Inputs!$B$48*Inputs!$B$29</f>
        <v>357.012036583739</v>
      </c>
    </row>
    <row r="568" customFormat="false" ht="15" hidden="false" customHeight="false" outlineLevel="0" collapsed="false">
      <c r="A568" s="16" t="n">
        <v>567</v>
      </c>
      <c r="B568" s="16" t="n">
        <f aca="false">ROUNDUP(A568/12,0)</f>
        <v>48</v>
      </c>
      <c r="C568" s="10" t="n">
        <f aca="false">F567</f>
        <v>1.28693500300869E-010</v>
      </c>
      <c r="D568" s="10" t="n">
        <f aca="false">IF(AND(A568&lt;=Inputs!$B$9*12,C568&gt;0.000001),C568*Inputs!$B$10/12,0)</f>
        <v>0</v>
      </c>
      <c r="E568" s="10" t="n">
        <f aca="false">IF(AND(A568&lt;=Inputs!$B$9*12,C568&gt;0.000001),MIN(C568,Inputs!$B$41-D568),0)</f>
        <v>0</v>
      </c>
      <c r="F568" s="10" t="n">
        <f aca="false">C568-E568</f>
        <v>1.28693500300869E-010</v>
      </c>
      <c r="G568" s="10" t="n">
        <f aca="false">IF(AND(Inputs!$B$43=1,C568&gt;0.78*Inputs!$B$7,A568&lt;=Inputs!$B$9*6),Inputs!$B$16*Inputs!$B$39/12,0)</f>
        <v>0</v>
      </c>
      <c r="H568" s="10" t="n">
        <f aca="false">IF(B568=1,Inputs!$B$7,INDEX(Annual!$AC$2:$AC$51,B568-1))</f>
        <v>3158907.80853433</v>
      </c>
      <c r="I568" s="10" t="n">
        <f aca="false">Inputs!$B$12*IF(Inputs!$B$35="",H568,MIN(H568,Inputs!$B$7*(1+Inputs!$B$35)^(B568-1)))/12</f>
        <v>2369.18085640075</v>
      </c>
      <c r="J568" s="10" t="n">
        <f aca="false">Inputs!$B$13*Inputs!$B$7*(1+Inputs!$B$22)^(B568-1)/12</f>
        <v>762.842975754418</v>
      </c>
      <c r="K568" s="10" t="n">
        <f aca="false">Inputs!$B$14*Inputs!$B$7*(1+Inputs!$B$22)^(B568-1)/12</f>
        <v>1525.68595150884</v>
      </c>
      <c r="L568" s="10" t="n">
        <f aca="false">Inputs!$B$15*(1+Inputs!$B$22)^(B568-1)</f>
        <v>0</v>
      </c>
      <c r="M568" s="10" t="n">
        <f aca="false">INDEX(Annual!$N$2:$N$51,B568)/12</f>
        <v>0</v>
      </c>
      <c r="N568" s="10" t="n">
        <f aca="false">D568+E568+G568+I568+J568+K568+L568-M568</f>
        <v>4657.709783664</v>
      </c>
      <c r="O568" s="10" t="n">
        <f aca="false">Inputs!$B$17*(1+Inputs!$B$18)^(B568-1)+Inputs!$B$19*(1+Inputs!$B$22)^(B568-1)</f>
        <v>12648.1347921418</v>
      </c>
      <c r="P568" s="10" t="n">
        <f aca="false">N568-O568</f>
        <v>-7990.42500847777</v>
      </c>
      <c r="Q568" s="10" t="n">
        <f aca="false">Q567*(1+Inputs!$B$42)-U568+MAX(P568,0)</f>
        <v>4759803.88960057</v>
      </c>
      <c r="R568" s="10" t="n">
        <f aca="false">R567+Q567*Inputs!$B$48-U568+MAX(P568,0)</f>
        <v>889481.166602921</v>
      </c>
      <c r="S568" s="10" t="n">
        <f aca="false">S567*(1+Inputs!$B$42)-V568+MAX(-P568,0)</f>
        <v>2641202.5250865</v>
      </c>
      <c r="T568" s="10" t="n">
        <f aca="false">T567+S567*Inputs!$B$48-V568+MAX(-P568,0)</f>
        <v>1528576.64834166</v>
      </c>
      <c r="U568" s="10" t="n">
        <f aca="false">Q567*Inputs!$B$48*Inputs!$B$29</f>
        <v>650.882347718791</v>
      </c>
      <c r="V568" s="10" t="n">
        <f aca="false">S567*Inputs!$B$48*Inputs!$B$29</f>
        <v>360.080228827272</v>
      </c>
    </row>
    <row r="569" customFormat="false" ht="15" hidden="false" customHeight="false" outlineLevel="0" collapsed="false">
      <c r="A569" s="16" t="n">
        <v>568</v>
      </c>
      <c r="B569" s="16" t="n">
        <f aca="false">ROUNDUP(A569/12,0)</f>
        <v>48</v>
      </c>
      <c r="C569" s="10" t="n">
        <f aca="false">F568</f>
        <v>1.28693500300869E-010</v>
      </c>
      <c r="D569" s="10" t="n">
        <f aca="false">IF(AND(A569&lt;=Inputs!$B$9*12,C569&gt;0.000001),C569*Inputs!$B$10/12,0)</f>
        <v>0</v>
      </c>
      <c r="E569" s="10" t="n">
        <f aca="false">IF(AND(A569&lt;=Inputs!$B$9*12,C569&gt;0.000001),MIN(C569,Inputs!$B$41-D569),0)</f>
        <v>0</v>
      </c>
      <c r="F569" s="10" t="n">
        <f aca="false">C569-E569</f>
        <v>1.28693500300869E-010</v>
      </c>
      <c r="G569" s="10" t="n">
        <f aca="false">IF(AND(Inputs!$B$43=1,C569&gt;0.78*Inputs!$B$7,A569&lt;=Inputs!$B$9*6),Inputs!$B$16*Inputs!$B$39/12,0)</f>
        <v>0</v>
      </c>
      <c r="H569" s="10" t="n">
        <f aca="false">IF(B569=1,Inputs!$B$7,INDEX(Annual!$AC$2:$AC$51,B569-1))</f>
        <v>3158907.80853433</v>
      </c>
      <c r="I569" s="10" t="n">
        <f aca="false">Inputs!$B$12*IF(Inputs!$B$35="",H569,MIN(H569,Inputs!$B$7*(1+Inputs!$B$35)^(B569-1)))/12</f>
        <v>2369.18085640075</v>
      </c>
      <c r="J569" s="10" t="n">
        <f aca="false">Inputs!$B$13*Inputs!$B$7*(1+Inputs!$B$22)^(B569-1)/12</f>
        <v>762.842975754418</v>
      </c>
      <c r="K569" s="10" t="n">
        <f aca="false">Inputs!$B$14*Inputs!$B$7*(1+Inputs!$B$22)^(B569-1)/12</f>
        <v>1525.68595150884</v>
      </c>
      <c r="L569" s="10" t="n">
        <f aca="false">Inputs!$B$15*(1+Inputs!$B$22)^(B569-1)</f>
        <v>0</v>
      </c>
      <c r="M569" s="10" t="n">
        <f aca="false">INDEX(Annual!$N$2:$N$51,B569)/12</f>
        <v>0</v>
      </c>
      <c r="N569" s="10" t="n">
        <f aca="false">D569+E569+G569+I569+J569+K569+L569-M569</f>
        <v>4657.709783664</v>
      </c>
      <c r="O569" s="10" t="n">
        <f aca="false">Inputs!$B$17*(1+Inputs!$B$18)^(B569-1)+Inputs!$B$19*(1+Inputs!$B$22)^(B569-1)</f>
        <v>12648.1347921418</v>
      </c>
      <c r="P569" s="10" t="n">
        <f aca="false">N569-O569</f>
        <v>-7990.42500847777</v>
      </c>
      <c r="Q569" s="10" t="n">
        <f aca="false">Q568*(1+Inputs!$B$42)-U569+MAX(P569,0)</f>
        <v>4786062.03977308</v>
      </c>
      <c r="R569" s="10" t="n">
        <f aca="false">R568+Q568*Inputs!$B$48-U569+MAX(P569,0)</f>
        <v>893189.847133568</v>
      </c>
      <c r="S569" s="10" t="n">
        <f aca="false">S568*(1+Inputs!$B$42)-V569+MAX(-P569,0)</f>
        <v>2663763.5278222</v>
      </c>
      <c r="T569" s="10" t="n">
        <f aca="false">T568+S568*Inputs!$B$48-V569+MAX(-P569,0)</f>
        <v>1538625.0103176</v>
      </c>
      <c r="U569" s="10" t="n">
        <f aca="false">Q568*Inputs!$B$48*Inputs!$B$29</f>
        <v>654.473034820078</v>
      </c>
      <c r="V569" s="10" t="n">
        <f aca="false">S568*Inputs!$B$48*Inputs!$B$29</f>
        <v>363.165347199394</v>
      </c>
    </row>
    <row r="570" customFormat="false" ht="15" hidden="false" customHeight="false" outlineLevel="0" collapsed="false">
      <c r="A570" s="16" t="n">
        <v>569</v>
      </c>
      <c r="B570" s="16" t="n">
        <f aca="false">ROUNDUP(A570/12,0)</f>
        <v>48</v>
      </c>
      <c r="C570" s="10" t="n">
        <f aca="false">F569</f>
        <v>1.28693500300869E-010</v>
      </c>
      <c r="D570" s="10" t="n">
        <f aca="false">IF(AND(A570&lt;=Inputs!$B$9*12,C570&gt;0.000001),C570*Inputs!$B$10/12,0)</f>
        <v>0</v>
      </c>
      <c r="E570" s="10" t="n">
        <f aca="false">IF(AND(A570&lt;=Inputs!$B$9*12,C570&gt;0.000001),MIN(C570,Inputs!$B$41-D570),0)</f>
        <v>0</v>
      </c>
      <c r="F570" s="10" t="n">
        <f aca="false">C570-E570</f>
        <v>1.28693500300869E-010</v>
      </c>
      <c r="G570" s="10" t="n">
        <f aca="false">IF(AND(Inputs!$B$43=1,C570&gt;0.78*Inputs!$B$7,A570&lt;=Inputs!$B$9*6),Inputs!$B$16*Inputs!$B$39/12,0)</f>
        <v>0</v>
      </c>
      <c r="H570" s="10" t="n">
        <f aca="false">IF(B570=1,Inputs!$B$7,INDEX(Annual!$AC$2:$AC$51,B570-1))</f>
        <v>3158907.80853433</v>
      </c>
      <c r="I570" s="10" t="n">
        <f aca="false">Inputs!$B$12*IF(Inputs!$B$35="",H570,MIN(H570,Inputs!$B$7*(1+Inputs!$B$35)^(B570-1)))/12</f>
        <v>2369.18085640075</v>
      </c>
      <c r="J570" s="10" t="n">
        <f aca="false">Inputs!$B$13*Inputs!$B$7*(1+Inputs!$B$22)^(B570-1)/12</f>
        <v>762.842975754418</v>
      </c>
      <c r="K570" s="10" t="n">
        <f aca="false">Inputs!$B$14*Inputs!$B$7*(1+Inputs!$B$22)^(B570-1)/12</f>
        <v>1525.68595150884</v>
      </c>
      <c r="L570" s="10" t="n">
        <f aca="false">Inputs!$B$15*(1+Inputs!$B$22)^(B570-1)</f>
        <v>0</v>
      </c>
      <c r="M570" s="10" t="n">
        <f aca="false">INDEX(Annual!$N$2:$N$51,B570)/12</f>
        <v>0</v>
      </c>
      <c r="N570" s="10" t="n">
        <f aca="false">D570+E570+G570+I570+J570+K570+L570-M570</f>
        <v>4657.709783664</v>
      </c>
      <c r="O570" s="10" t="n">
        <f aca="false">Inputs!$B$17*(1+Inputs!$B$18)^(B570-1)+Inputs!$B$19*(1+Inputs!$B$22)^(B570-1)</f>
        <v>12648.1347921418</v>
      </c>
      <c r="P570" s="10" t="n">
        <f aca="false">N570-O570</f>
        <v>-7990.42500847777</v>
      </c>
      <c r="Q570" s="10" t="n">
        <f aca="false">Q569*(1+Inputs!$B$42)-U570+MAX(P570,0)</f>
        <v>4812465.04684863</v>
      </c>
      <c r="R570" s="10" t="n">
        <f aca="false">R569+Q569*Inputs!$B$48-U570+MAX(P570,0)</f>
        <v>896918.987139558</v>
      </c>
      <c r="S570" s="10" t="n">
        <f aca="false">S569*(1+Inputs!$B$42)-V570+MAX(-P570,0)</f>
        <v>2686448.99160957</v>
      </c>
      <c r="T570" s="10" t="n">
        <f aca="false">T569+S569*Inputs!$B$48-V570+MAX(-P570,0)</f>
        <v>1548690.95107484</v>
      </c>
      <c r="U570" s="10" t="n">
        <f aca="false">Q569*Inputs!$B$48*Inputs!$B$29</f>
        <v>658.083530468799</v>
      </c>
      <c r="V570" s="10" t="n">
        <f aca="false">S569*Inputs!$B$48*Inputs!$B$29</f>
        <v>366.267485075552</v>
      </c>
    </row>
    <row r="571" customFormat="false" ht="15" hidden="false" customHeight="false" outlineLevel="0" collapsed="false">
      <c r="A571" s="16" t="n">
        <v>570</v>
      </c>
      <c r="B571" s="16" t="n">
        <f aca="false">ROUNDUP(A571/12,0)</f>
        <v>48</v>
      </c>
      <c r="C571" s="10" t="n">
        <f aca="false">F570</f>
        <v>1.28693500300869E-010</v>
      </c>
      <c r="D571" s="10" t="n">
        <f aca="false">IF(AND(A571&lt;=Inputs!$B$9*12,C571&gt;0.000001),C571*Inputs!$B$10/12,0)</f>
        <v>0</v>
      </c>
      <c r="E571" s="10" t="n">
        <f aca="false">IF(AND(A571&lt;=Inputs!$B$9*12,C571&gt;0.000001),MIN(C571,Inputs!$B$41-D571),0)</f>
        <v>0</v>
      </c>
      <c r="F571" s="10" t="n">
        <f aca="false">C571-E571</f>
        <v>1.28693500300869E-010</v>
      </c>
      <c r="G571" s="10" t="n">
        <f aca="false">IF(AND(Inputs!$B$43=1,C571&gt;0.78*Inputs!$B$7,A571&lt;=Inputs!$B$9*6),Inputs!$B$16*Inputs!$B$39/12,0)</f>
        <v>0</v>
      </c>
      <c r="H571" s="10" t="n">
        <f aca="false">IF(B571=1,Inputs!$B$7,INDEX(Annual!$AC$2:$AC$51,B571-1))</f>
        <v>3158907.80853433</v>
      </c>
      <c r="I571" s="10" t="n">
        <f aca="false">Inputs!$B$12*IF(Inputs!$B$35="",H571,MIN(H571,Inputs!$B$7*(1+Inputs!$B$35)^(B571-1)))/12</f>
        <v>2369.18085640075</v>
      </c>
      <c r="J571" s="10" t="n">
        <f aca="false">Inputs!$B$13*Inputs!$B$7*(1+Inputs!$B$22)^(B571-1)/12</f>
        <v>762.842975754418</v>
      </c>
      <c r="K571" s="10" t="n">
        <f aca="false">Inputs!$B$14*Inputs!$B$7*(1+Inputs!$B$22)^(B571-1)/12</f>
        <v>1525.68595150884</v>
      </c>
      <c r="L571" s="10" t="n">
        <f aca="false">Inputs!$B$15*(1+Inputs!$B$22)^(B571-1)</f>
        <v>0</v>
      </c>
      <c r="M571" s="10" t="n">
        <f aca="false">INDEX(Annual!$N$2:$N$51,B571)/12</f>
        <v>0</v>
      </c>
      <c r="N571" s="10" t="n">
        <f aca="false">D571+E571+G571+I571+J571+K571+L571-M571</f>
        <v>4657.709783664</v>
      </c>
      <c r="O571" s="10" t="n">
        <f aca="false">Inputs!$B$17*(1+Inputs!$B$18)^(B571-1)+Inputs!$B$19*(1+Inputs!$B$22)^(B571-1)</f>
        <v>12648.1347921418</v>
      </c>
      <c r="P571" s="10" t="n">
        <f aca="false">N571-O571</f>
        <v>-7990.42500847777</v>
      </c>
      <c r="Q571" s="10" t="n">
        <f aca="false">Q570*(1+Inputs!$B$42)-U571+MAX(P571,0)</f>
        <v>4839013.70995138</v>
      </c>
      <c r="R571" s="10" t="n">
        <f aca="false">R570+Q570*Inputs!$B$48-U571+MAX(P571,0)</f>
        <v>900668.699488561</v>
      </c>
      <c r="S571" s="10" t="n">
        <f aca="false">S570*(1+Inputs!$B$42)-V571+MAX(-P571,0)</f>
        <v>2709259.60305611</v>
      </c>
      <c r="T571" s="10" t="n">
        <f aca="false">T570+S570*Inputs!$B$48-V571+MAX(-P571,0)</f>
        <v>1558774.56758928</v>
      </c>
      <c r="U571" s="10" t="n">
        <f aca="false">Q570*Inputs!$B$48*Inputs!$B$29</f>
        <v>661.713943941687</v>
      </c>
      <c r="V571" s="10" t="n">
        <f aca="false">S570*Inputs!$B$48*Inputs!$B$29</f>
        <v>369.386736346316</v>
      </c>
    </row>
    <row r="572" customFormat="false" ht="15" hidden="false" customHeight="false" outlineLevel="0" collapsed="false">
      <c r="A572" s="16" t="n">
        <v>571</v>
      </c>
      <c r="B572" s="16" t="n">
        <f aca="false">ROUNDUP(A572/12,0)</f>
        <v>48</v>
      </c>
      <c r="C572" s="10" t="n">
        <f aca="false">F571</f>
        <v>1.28693500300869E-010</v>
      </c>
      <c r="D572" s="10" t="n">
        <f aca="false">IF(AND(A572&lt;=Inputs!$B$9*12,C572&gt;0.000001),C572*Inputs!$B$10/12,0)</f>
        <v>0</v>
      </c>
      <c r="E572" s="10" t="n">
        <f aca="false">IF(AND(A572&lt;=Inputs!$B$9*12,C572&gt;0.000001),MIN(C572,Inputs!$B$41-D572),0)</f>
        <v>0</v>
      </c>
      <c r="F572" s="10" t="n">
        <f aca="false">C572-E572</f>
        <v>1.28693500300869E-010</v>
      </c>
      <c r="G572" s="10" t="n">
        <f aca="false">IF(AND(Inputs!$B$43=1,C572&gt;0.78*Inputs!$B$7,A572&lt;=Inputs!$B$9*6),Inputs!$B$16*Inputs!$B$39/12,0)</f>
        <v>0</v>
      </c>
      <c r="H572" s="10" t="n">
        <f aca="false">IF(B572=1,Inputs!$B$7,INDEX(Annual!$AC$2:$AC$51,B572-1))</f>
        <v>3158907.80853433</v>
      </c>
      <c r="I572" s="10" t="n">
        <f aca="false">Inputs!$B$12*IF(Inputs!$B$35="",H572,MIN(H572,Inputs!$B$7*(1+Inputs!$B$35)^(B572-1)))/12</f>
        <v>2369.18085640075</v>
      </c>
      <c r="J572" s="10" t="n">
        <f aca="false">Inputs!$B$13*Inputs!$B$7*(1+Inputs!$B$22)^(B572-1)/12</f>
        <v>762.842975754418</v>
      </c>
      <c r="K572" s="10" t="n">
        <f aca="false">Inputs!$B$14*Inputs!$B$7*(1+Inputs!$B$22)^(B572-1)/12</f>
        <v>1525.68595150884</v>
      </c>
      <c r="L572" s="10" t="n">
        <f aca="false">Inputs!$B$15*(1+Inputs!$B$22)^(B572-1)</f>
        <v>0</v>
      </c>
      <c r="M572" s="10" t="n">
        <f aca="false">INDEX(Annual!$N$2:$N$51,B572)/12</f>
        <v>0</v>
      </c>
      <c r="N572" s="10" t="n">
        <f aca="false">D572+E572+G572+I572+J572+K572+L572-M572</f>
        <v>4657.709783664</v>
      </c>
      <c r="O572" s="10" t="n">
        <f aca="false">Inputs!$B$17*(1+Inputs!$B$18)^(B572-1)+Inputs!$B$19*(1+Inputs!$B$22)^(B572-1)</f>
        <v>12648.1347921418</v>
      </c>
      <c r="P572" s="10" t="n">
        <f aca="false">N572-O572</f>
        <v>-7990.42500847777</v>
      </c>
      <c r="Q572" s="10" t="n">
        <f aca="false">Q571*(1+Inputs!$B$42)-U572+MAX(P572,0)</f>
        <v>4865708.83261397</v>
      </c>
      <c r="R572" s="10" t="n">
        <f aca="false">R571+Q571*Inputs!$B$48-U572+MAX(P572,0)</f>
        <v>904439.097670898</v>
      </c>
      <c r="S572" s="10" t="n">
        <f aca="false">S571*(1+Inputs!$B$42)-V572+MAX(-P572,0)</f>
        <v>2732196.05255708</v>
      </c>
      <c r="T572" s="10" t="n">
        <f aca="false">T571+S571*Inputs!$B$48-V572+MAX(-P572,0)</f>
        <v>1568875.9573718</v>
      </c>
      <c r="U572" s="10" t="n">
        <f aca="false">Q571*Inputs!$B$48*Inputs!$B$29</f>
        <v>665.364385118315</v>
      </c>
      <c r="V572" s="10" t="n">
        <f aca="false">S571*Inputs!$B$48*Inputs!$B$29</f>
        <v>372.523195420216</v>
      </c>
    </row>
    <row r="573" customFormat="false" ht="15" hidden="false" customHeight="false" outlineLevel="0" collapsed="false">
      <c r="A573" s="16" t="n">
        <v>572</v>
      </c>
      <c r="B573" s="16" t="n">
        <f aca="false">ROUNDUP(A573/12,0)</f>
        <v>48</v>
      </c>
      <c r="C573" s="10" t="n">
        <f aca="false">F572</f>
        <v>1.28693500300869E-010</v>
      </c>
      <c r="D573" s="10" t="n">
        <f aca="false">IF(AND(A573&lt;=Inputs!$B$9*12,C573&gt;0.000001),C573*Inputs!$B$10/12,0)</f>
        <v>0</v>
      </c>
      <c r="E573" s="10" t="n">
        <f aca="false">IF(AND(A573&lt;=Inputs!$B$9*12,C573&gt;0.000001),MIN(C573,Inputs!$B$41-D573),0)</f>
        <v>0</v>
      </c>
      <c r="F573" s="10" t="n">
        <f aca="false">C573-E573</f>
        <v>1.28693500300869E-010</v>
      </c>
      <c r="G573" s="10" t="n">
        <f aca="false">IF(AND(Inputs!$B$43=1,C573&gt;0.78*Inputs!$B$7,A573&lt;=Inputs!$B$9*6),Inputs!$B$16*Inputs!$B$39/12,0)</f>
        <v>0</v>
      </c>
      <c r="H573" s="10" t="n">
        <f aca="false">IF(B573=1,Inputs!$B$7,INDEX(Annual!$AC$2:$AC$51,B573-1))</f>
        <v>3158907.80853433</v>
      </c>
      <c r="I573" s="10" t="n">
        <f aca="false">Inputs!$B$12*IF(Inputs!$B$35="",H573,MIN(H573,Inputs!$B$7*(1+Inputs!$B$35)^(B573-1)))/12</f>
        <v>2369.18085640075</v>
      </c>
      <c r="J573" s="10" t="n">
        <f aca="false">Inputs!$B$13*Inputs!$B$7*(1+Inputs!$B$22)^(B573-1)/12</f>
        <v>762.842975754418</v>
      </c>
      <c r="K573" s="10" t="n">
        <f aca="false">Inputs!$B$14*Inputs!$B$7*(1+Inputs!$B$22)^(B573-1)/12</f>
        <v>1525.68595150884</v>
      </c>
      <c r="L573" s="10" t="n">
        <f aca="false">Inputs!$B$15*(1+Inputs!$B$22)^(B573-1)</f>
        <v>0</v>
      </c>
      <c r="M573" s="10" t="n">
        <f aca="false">INDEX(Annual!$N$2:$N$51,B573)/12</f>
        <v>0</v>
      </c>
      <c r="N573" s="10" t="n">
        <f aca="false">D573+E573+G573+I573+J573+K573+L573-M573</f>
        <v>4657.709783664</v>
      </c>
      <c r="O573" s="10" t="n">
        <f aca="false">Inputs!$B$17*(1+Inputs!$B$18)^(B573-1)+Inputs!$B$19*(1+Inputs!$B$22)^(B573-1)</f>
        <v>12648.1347921418</v>
      </c>
      <c r="P573" s="10" t="n">
        <f aca="false">N573-O573</f>
        <v>-7990.42500847777</v>
      </c>
      <c r="Q573" s="10" t="n">
        <f aca="false">Q572*(1+Inputs!$B$42)-U573+MAX(P573,0)</f>
        <v>4892551.22280187</v>
      </c>
      <c r="R573" s="10" t="n">
        <f aca="false">R572+Q572*Inputs!$B$48-U573+MAX(P573,0)</f>
        <v>908230.295802976</v>
      </c>
      <c r="S573" s="10" t="n">
        <f aca="false">S572*(1+Inputs!$B$42)-V573+MAX(-P573,0)</f>
        <v>2755259.03431638</v>
      </c>
      <c r="T573" s="10" t="n">
        <f aca="false">T572+S572*Inputs!$B$48-V573+MAX(-P573,0)</f>
        <v>1578995.21847123</v>
      </c>
      <c r="U573" s="10" t="n">
        <f aca="false">Q572*Inputs!$B$48*Inputs!$B$29</f>
        <v>669.034964484421</v>
      </c>
      <c r="V573" s="10" t="n">
        <f aca="false">S572*Inputs!$B$48*Inputs!$B$29</f>
        <v>375.676957226598</v>
      </c>
    </row>
    <row r="574" customFormat="false" ht="15" hidden="false" customHeight="false" outlineLevel="0" collapsed="false">
      <c r="A574" s="16" t="n">
        <v>573</v>
      </c>
      <c r="B574" s="16" t="n">
        <f aca="false">ROUNDUP(A574/12,0)</f>
        <v>48</v>
      </c>
      <c r="C574" s="10" t="n">
        <f aca="false">F573</f>
        <v>1.28693500300869E-010</v>
      </c>
      <c r="D574" s="10" t="n">
        <f aca="false">IF(AND(A574&lt;=Inputs!$B$9*12,C574&gt;0.000001),C574*Inputs!$B$10/12,0)</f>
        <v>0</v>
      </c>
      <c r="E574" s="10" t="n">
        <f aca="false">IF(AND(A574&lt;=Inputs!$B$9*12,C574&gt;0.000001),MIN(C574,Inputs!$B$41-D574),0)</f>
        <v>0</v>
      </c>
      <c r="F574" s="10" t="n">
        <f aca="false">C574-E574</f>
        <v>1.28693500300869E-010</v>
      </c>
      <c r="G574" s="10" t="n">
        <f aca="false">IF(AND(Inputs!$B$43=1,C574&gt;0.78*Inputs!$B$7,A574&lt;=Inputs!$B$9*6),Inputs!$B$16*Inputs!$B$39/12,0)</f>
        <v>0</v>
      </c>
      <c r="H574" s="10" t="n">
        <f aca="false">IF(B574=1,Inputs!$B$7,INDEX(Annual!$AC$2:$AC$51,B574-1))</f>
        <v>3158907.80853433</v>
      </c>
      <c r="I574" s="10" t="n">
        <f aca="false">Inputs!$B$12*IF(Inputs!$B$35="",H574,MIN(H574,Inputs!$B$7*(1+Inputs!$B$35)^(B574-1)))/12</f>
        <v>2369.18085640075</v>
      </c>
      <c r="J574" s="10" t="n">
        <f aca="false">Inputs!$B$13*Inputs!$B$7*(1+Inputs!$B$22)^(B574-1)/12</f>
        <v>762.842975754418</v>
      </c>
      <c r="K574" s="10" t="n">
        <f aca="false">Inputs!$B$14*Inputs!$B$7*(1+Inputs!$B$22)^(B574-1)/12</f>
        <v>1525.68595150884</v>
      </c>
      <c r="L574" s="10" t="n">
        <f aca="false">Inputs!$B$15*(1+Inputs!$B$22)^(B574-1)</f>
        <v>0</v>
      </c>
      <c r="M574" s="10" t="n">
        <f aca="false">INDEX(Annual!$N$2:$N$51,B574)/12</f>
        <v>0</v>
      </c>
      <c r="N574" s="10" t="n">
        <f aca="false">D574+E574+G574+I574+J574+K574+L574-M574</f>
        <v>4657.709783664</v>
      </c>
      <c r="O574" s="10" t="n">
        <f aca="false">Inputs!$B$17*(1+Inputs!$B$18)^(B574-1)+Inputs!$B$19*(1+Inputs!$B$22)^(B574-1)</f>
        <v>12648.1347921418</v>
      </c>
      <c r="P574" s="10" t="n">
        <f aca="false">N574-O574</f>
        <v>-7990.42500847777</v>
      </c>
      <c r="Q574" s="10" t="n">
        <f aca="false">Q573*(1+Inputs!$B$42)-U574+MAX(P574,0)</f>
        <v>4919541.69293779</v>
      </c>
      <c r="R574" s="10" t="n">
        <f aca="false">R573+Q573*Inputs!$B$48-U574+MAX(P574,0)</f>
        <v>912042.408630743</v>
      </c>
      <c r="S574" s="10" t="n">
        <f aca="false">S573*(1+Inputs!$B$42)-V574+MAX(-P574,0)</f>
        <v>2778449.24636762</v>
      </c>
      <c r="T574" s="10" t="n">
        <f aca="false">T573+S573*Inputs!$B$48-V574+MAX(-P574,0)</f>
        <v>1589132.44947728</v>
      </c>
      <c r="U574" s="10" t="n">
        <f aca="false">Q573*Inputs!$B$48*Inputs!$B$29</f>
        <v>672.725793135257</v>
      </c>
      <c r="V574" s="10" t="n">
        <f aca="false">S573*Inputs!$B$48*Inputs!$B$29</f>
        <v>378.848117218502</v>
      </c>
    </row>
    <row r="575" customFormat="false" ht="15" hidden="false" customHeight="false" outlineLevel="0" collapsed="false">
      <c r="A575" s="16" t="n">
        <v>574</v>
      </c>
      <c r="B575" s="16" t="n">
        <f aca="false">ROUNDUP(A575/12,0)</f>
        <v>48</v>
      </c>
      <c r="C575" s="10" t="n">
        <f aca="false">F574</f>
        <v>1.28693500300869E-010</v>
      </c>
      <c r="D575" s="10" t="n">
        <f aca="false">IF(AND(A575&lt;=Inputs!$B$9*12,C575&gt;0.000001),C575*Inputs!$B$10/12,0)</f>
        <v>0</v>
      </c>
      <c r="E575" s="10" t="n">
        <f aca="false">IF(AND(A575&lt;=Inputs!$B$9*12,C575&gt;0.000001),MIN(C575,Inputs!$B$41-D575),0)</f>
        <v>0</v>
      </c>
      <c r="F575" s="10" t="n">
        <f aca="false">C575-E575</f>
        <v>1.28693500300869E-010</v>
      </c>
      <c r="G575" s="10" t="n">
        <f aca="false">IF(AND(Inputs!$B$43=1,C575&gt;0.78*Inputs!$B$7,A575&lt;=Inputs!$B$9*6),Inputs!$B$16*Inputs!$B$39/12,0)</f>
        <v>0</v>
      </c>
      <c r="H575" s="10" t="n">
        <f aca="false">IF(B575=1,Inputs!$B$7,INDEX(Annual!$AC$2:$AC$51,B575-1))</f>
        <v>3158907.80853433</v>
      </c>
      <c r="I575" s="10" t="n">
        <f aca="false">Inputs!$B$12*IF(Inputs!$B$35="",H575,MIN(H575,Inputs!$B$7*(1+Inputs!$B$35)^(B575-1)))/12</f>
        <v>2369.18085640075</v>
      </c>
      <c r="J575" s="10" t="n">
        <f aca="false">Inputs!$B$13*Inputs!$B$7*(1+Inputs!$B$22)^(B575-1)/12</f>
        <v>762.842975754418</v>
      </c>
      <c r="K575" s="10" t="n">
        <f aca="false">Inputs!$B$14*Inputs!$B$7*(1+Inputs!$B$22)^(B575-1)/12</f>
        <v>1525.68595150884</v>
      </c>
      <c r="L575" s="10" t="n">
        <f aca="false">Inputs!$B$15*(1+Inputs!$B$22)^(B575-1)</f>
        <v>0</v>
      </c>
      <c r="M575" s="10" t="n">
        <f aca="false">INDEX(Annual!$N$2:$N$51,B575)/12</f>
        <v>0</v>
      </c>
      <c r="N575" s="10" t="n">
        <f aca="false">D575+E575+G575+I575+J575+K575+L575-M575</f>
        <v>4657.709783664</v>
      </c>
      <c r="O575" s="10" t="n">
        <f aca="false">Inputs!$B$17*(1+Inputs!$B$18)^(B575-1)+Inputs!$B$19*(1+Inputs!$B$22)^(B575-1)</f>
        <v>12648.1347921418</v>
      </c>
      <c r="P575" s="10" t="n">
        <f aca="false">N575-O575</f>
        <v>-7990.42500847777</v>
      </c>
      <c r="Q575" s="10" t="n">
        <f aca="false">Q574*(1+Inputs!$B$42)-U575+MAX(P575,0)</f>
        <v>4946681.05992628</v>
      </c>
      <c r="R575" s="10" t="n">
        <f aca="false">R574+Q574*Inputs!$B$48-U575+MAX(P575,0)</f>
        <v>915875.551533157</v>
      </c>
      <c r="S575" s="10" t="n">
        <f aca="false">S574*(1+Inputs!$B$42)-V575+MAX(-P575,0)</f>
        <v>2801767.39059522</v>
      </c>
      <c r="T575" s="10" t="n">
        <f aca="false">T574+S574*Inputs!$B$48-V575+MAX(-P575,0)</f>
        <v>1599287.74952355</v>
      </c>
      <c r="U575" s="10" t="n">
        <f aca="false">Q574*Inputs!$B$48*Inputs!$B$29</f>
        <v>676.436982778945</v>
      </c>
      <c r="V575" s="10" t="n">
        <f aca="false">S574*Inputs!$B$48*Inputs!$B$29</f>
        <v>382.036771375548</v>
      </c>
    </row>
    <row r="576" customFormat="false" ht="15" hidden="false" customHeight="false" outlineLevel="0" collapsed="false">
      <c r="A576" s="16" t="n">
        <v>575</v>
      </c>
      <c r="B576" s="16" t="n">
        <f aca="false">ROUNDUP(A576/12,0)</f>
        <v>48</v>
      </c>
      <c r="C576" s="10" t="n">
        <f aca="false">F575</f>
        <v>1.28693500300869E-010</v>
      </c>
      <c r="D576" s="10" t="n">
        <f aca="false">IF(AND(A576&lt;=Inputs!$B$9*12,C576&gt;0.000001),C576*Inputs!$B$10/12,0)</f>
        <v>0</v>
      </c>
      <c r="E576" s="10" t="n">
        <f aca="false">IF(AND(A576&lt;=Inputs!$B$9*12,C576&gt;0.000001),MIN(C576,Inputs!$B$41-D576),0)</f>
        <v>0</v>
      </c>
      <c r="F576" s="10" t="n">
        <f aca="false">C576-E576</f>
        <v>1.28693500300869E-010</v>
      </c>
      <c r="G576" s="10" t="n">
        <f aca="false">IF(AND(Inputs!$B$43=1,C576&gt;0.78*Inputs!$B$7,A576&lt;=Inputs!$B$9*6),Inputs!$B$16*Inputs!$B$39/12,0)</f>
        <v>0</v>
      </c>
      <c r="H576" s="10" t="n">
        <f aca="false">IF(B576=1,Inputs!$B$7,INDEX(Annual!$AC$2:$AC$51,B576-1))</f>
        <v>3158907.80853433</v>
      </c>
      <c r="I576" s="10" t="n">
        <f aca="false">Inputs!$B$12*IF(Inputs!$B$35="",H576,MIN(H576,Inputs!$B$7*(1+Inputs!$B$35)^(B576-1)))/12</f>
        <v>2369.18085640075</v>
      </c>
      <c r="J576" s="10" t="n">
        <f aca="false">Inputs!$B$13*Inputs!$B$7*(1+Inputs!$B$22)^(B576-1)/12</f>
        <v>762.842975754418</v>
      </c>
      <c r="K576" s="10" t="n">
        <f aca="false">Inputs!$B$14*Inputs!$B$7*(1+Inputs!$B$22)^(B576-1)/12</f>
        <v>1525.68595150884</v>
      </c>
      <c r="L576" s="10" t="n">
        <f aca="false">Inputs!$B$15*(1+Inputs!$B$22)^(B576-1)</f>
        <v>0</v>
      </c>
      <c r="M576" s="10" t="n">
        <f aca="false">INDEX(Annual!$N$2:$N$51,B576)/12</f>
        <v>0</v>
      </c>
      <c r="N576" s="10" t="n">
        <f aca="false">D576+E576+G576+I576+J576+K576+L576-M576</f>
        <v>4657.709783664</v>
      </c>
      <c r="O576" s="10" t="n">
        <f aca="false">Inputs!$B$17*(1+Inputs!$B$18)^(B576-1)+Inputs!$B$19*(1+Inputs!$B$22)^(B576-1)</f>
        <v>12648.1347921418</v>
      </c>
      <c r="P576" s="10" t="n">
        <f aca="false">N576-O576</f>
        <v>-7990.42500847777</v>
      </c>
      <c r="Q576" s="10" t="n">
        <f aca="false">Q575*(1+Inputs!$B$42)-U576+MAX(P576,0)</f>
        <v>4973970.14517849</v>
      </c>
      <c r="R576" s="10" t="n">
        <f aca="false">R575+Q575*Inputs!$B$48-U576+MAX(P576,0)</f>
        <v>919729.840525682</v>
      </c>
      <c r="S576" s="10" t="n">
        <f aca="false">S575*(1+Inputs!$B$42)-V576+MAX(-P576,0)</f>
        <v>2825214.1727556</v>
      </c>
      <c r="T576" s="10" t="n">
        <f aca="false">T575+S575*Inputs!$B$48-V576+MAX(-P576,0)</f>
        <v>1609461.21829054</v>
      </c>
      <c r="U576" s="10" t="n">
        <f aca="false">Q575*Inputs!$B$48*Inputs!$B$29</f>
        <v>680.168645739863</v>
      </c>
      <c r="V576" s="10" t="n">
        <f aca="false">S575*Inputs!$B$48*Inputs!$B$29</f>
        <v>385.243016206842</v>
      </c>
    </row>
    <row r="577" customFormat="false" ht="15" hidden="false" customHeight="false" outlineLevel="0" collapsed="false">
      <c r="A577" s="16" t="n">
        <v>576</v>
      </c>
      <c r="B577" s="16" t="n">
        <f aca="false">ROUNDUP(A577/12,0)</f>
        <v>48</v>
      </c>
      <c r="C577" s="10" t="n">
        <f aca="false">F576</f>
        <v>1.28693500300869E-010</v>
      </c>
      <c r="D577" s="10" t="n">
        <f aca="false">IF(AND(A577&lt;=Inputs!$B$9*12,C577&gt;0.000001),C577*Inputs!$B$10/12,0)</f>
        <v>0</v>
      </c>
      <c r="E577" s="10" t="n">
        <f aca="false">IF(AND(A577&lt;=Inputs!$B$9*12,C577&gt;0.000001),MIN(C577,Inputs!$B$41-D577),0)</f>
        <v>0</v>
      </c>
      <c r="F577" s="10" t="n">
        <f aca="false">C577-E577</f>
        <v>1.28693500300869E-010</v>
      </c>
      <c r="G577" s="10" t="n">
        <f aca="false">IF(AND(Inputs!$B$43=1,C577&gt;0.78*Inputs!$B$7,A577&lt;=Inputs!$B$9*6),Inputs!$B$16*Inputs!$B$39/12,0)</f>
        <v>0</v>
      </c>
      <c r="H577" s="10" t="n">
        <f aca="false">IF(B577=1,Inputs!$B$7,INDEX(Annual!$AC$2:$AC$51,B577-1))</f>
        <v>3158907.80853433</v>
      </c>
      <c r="I577" s="10" t="n">
        <f aca="false">Inputs!$B$12*IF(Inputs!$B$35="",H577,MIN(H577,Inputs!$B$7*(1+Inputs!$B$35)^(B577-1)))/12</f>
        <v>2369.18085640075</v>
      </c>
      <c r="J577" s="10" t="n">
        <f aca="false">Inputs!$B$13*Inputs!$B$7*(1+Inputs!$B$22)^(B577-1)/12</f>
        <v>762.842975754418</v>
      </c>
      <c r="K577" s="10" t="n">
        <f aca="false">Inputs!$B$14*Inputs!$B$7*(1+Inputs!$B$22)^(B577-1)/12</f>
        <v>1525.68595150884</v>
      </c>
      <c r="L577" s="10" t="n">
        <f aca="false">Inputs!$B$15*(1+Inputs!$B$22)^(B577-1)</f>
        <v>0</v>
      </c>
      <c r="M577" s="10" t="n">
        <f aca="false">INDEX(Annual!$N$2:$N$51,B577)/12</f>
        <v>0</v>
      </c>
      <c r="N577" s="10" t="n">
        <f aca="false">D577+E577+G577+I577+J577+K577+L577-M577</f>
        <v>4657.709783664</v>
      </c>
      <c r="O577" s="10" t="n">
        <f aca="false">Inputs!$B$17*(1+Inputs!$B$18)^(B577-1)+Inputs!$B$19*(1+Inputs!$B$22)^(B577-1)</f>
        <v>12648.1347921418</v>
      </c>
      <c r="P577" s="10" t="n">
        <f aca="false">N577-O577</f>
        <v>-7990.42500847777</v>
      </c>
      <c r="Q577" s="10" t="n">
        <f aca="false">Q576*(1+Inputs!$B$42)-U577+MAX(P577,0)</f>
        <v>5001409.77463698</v>
      </c>
      <c r="R577" s="10" t="n">
        <f aca="false">R576+Q576*Inputs!$B$48-U577+MAX(P577,0)</f>
        <v>923605.392263801</v>
      </c>
      <c r="S577" s="10" t="n">
        <f aca="false">S576*(1+Inputs!$B$42)-V577+MAX(-P577,0)</f>
        <v>2848790.30249864</v>
      </c>
      <c r="T577" s="10" t="n">
        <f aca="false">T576+S576*Inputs!$B$48-V577+MAX(-P577,0)</f>
        <v>1619652.95600862</v>
      </c>
      <c r="U577" s="10" t="n">
        <f aca="false">Q576*Inputs!$B$48*Inputs!$B$29</f>
        <v>683.920894962042</v>
      </c>
      <c r="V577" s="10" t="n">
        <f aca="false">S576*Inputs!$B$48*Inputs!$B$29</f>
        <v>388.466948753895</v>
      </c>
    </row>
    <row r="578" customFormat="false" ht="15" hidden="false" customHeight="false" outlineLevel="0" collapsed="false">
      <c r="A578" s="16" t="n">
        <v>577</v>
      </c>
      <c r="B578" s="16" t="n">
        <f aca="false">ROUNDUP(A578/12,0)</f>
        <v>49</v>
      </c>
      <c r="C578" s="10" t="n">
        <f aca="false">F577</f>
        <v>1.28693500300869E-010</v>
      </c>
      <c r="D578" s="10" t="n">
        <f aca="false">IF(AND(A578&lt;=Inputs!$B$9*12,C578&gt;0.000001),C578*Inputs!$B$10/12,0)</f>
        <v>0</v>
      </c>
      <c r="E578" s="10" t="n">
        <f aca="false">IF(AND(A578&lt;=Inputs!$B$9*12,C578&gt;0.000001),MIN(C578,Inputs!$B$41-D578),0)</f>
        <v>0</v>
      </c>
      <c r="F578" s="10" t="n">
        <f aca="false">C578-E578</f>
        <v>1.28693500300869E-010</v>
      </c>
      <c r="G578" s="10" t="n">
        <f aca="false">IF(AND(Inputs!$B$43=1,C578&gt;0.78*Inputs!$B$7,A578&lt;=Inputs!$B$9*6),Inputs!$B$16*Inputs!$B$39/12,0)</f>
        <v>0</v>
      </c>
      <c r="H578" s="10" t="n">
        <f aca="false">IF(B578=1,Inputs!$B$7,INDEX(Annual!$AC$2:$AC$51,B578-1))</f>
        <v>3285264.1208757</v>
      </c>
      <c r="I578" s="10" t="n">
        <f aca="false">Inputs!$B$12*IF(Inputs!$B$35="",H578,MIN(H578,Inputs!$B$7*(1+Inputs!$B$35)^(B578-1)))/12</f>
        <v>2463.94809065678</v>
      </c>
      <c r="J578" s="10" t="n">
        <f aca="false">Inputs!$B$13*Inputs!$B$7*(1+Inputs!$B$22)^(B578-1)/12</f>
        <v>784.202579075542</v>
      </c>
      <c r="K578" s="10" t="n">
        <f aca="false">Inputs!$B$14*Inputs!$B$7*(1+Inputs!$B$22)^(B578-1)/12</f>
        <v>1568.40515815108</v>
      </c>
      <c r="L578" s="10" t="n">
        <f aca="false">Inputs!$B$15*(1+Inputs!$B$22)^(B578-1)</f>
        <v>0</v>
      </c>
      <c r="M578" s="10" t="n">
        <f aca="false">INDEX(Annual!$N$2:$N$51,B578)/12</f>
        <v>0</v>
      </c>
      <c r="N578" s="10" t="n">
        <f aca="false">D578+E578+G578+I578+J578+K578+L578-M578</f>
        <v>4816.5558278834</v>
      </c>
      <c r="O578" s="10" t="n">
        <f aca="false">Inputs!$B$17*(1+Inputs!$B$18)^(B578-1)+Inputs!$B$19*(1+Inputs!$B$22)^(B578-1)</f>
        <v>13090.4350370069</v>
      </c>
      <c r="P578" s="10" t="n">
        <f aca="false">N578-O578</f>
        <v>-8273.87920912355</v>
      </c>
      <c r="Q578" s="10" t="n">
        <f aca="false">Q577*(1+Inputs!$B$42)-U578+MAX(P578,0)</f>
        <v>5029000.77880075</v>
      </c>
      <c r="R578" s="10" t="n">
        <f aca="false">R577+Q577*Inputs!$B$48-U578+MAX(P578,0)</f>
        <v>927502.324046539</v>
      </c>
      <c r="S578" s="10" t="n">
        <f aca="false">S577*(1+Inputs!$B$42)-V578+MAX(-P578,0)</f>
        <v>2872779.94758973</v>
      </c>
      <c r="T578" s="10" t="n">
        <f aca="false">T577+S577*Inputs!$B$48-V578+MAX(-P578,0)</f>
        <v>1630146.51766177</v>
      </c>
      <c r="U578" s="10" t="n">
        <f aca="false">Q577*Inputs!$B$48*Inputs!$B$29</f>
        <v>687.693844012584</v>
      </c>
      <c r="V578" s="10" t="n">
        <f aca="false">S577*Inputs!$B$48*Inputs!$B$29</f>
        <v>391.708666593564</v>
      </c>
    </row>
    <row r="579" customFormat="false" ht="15" hidden="false" customHeight="false" outlineLevel="0" collapsed="false">
      <c r="A579" s="16" t="n">
        <v>578</v>
      </c>
      <c r="B579" s="16" t="n">
        <f aca="false">ROUNDUP(A579/12,0)</f>
        <v>49</v>
      </c>
      <c r="C579" s="10" t="n">
        <f aca="false">F578</f>
        <v>1.28693500300869E-010</v>
      </c>
      <c r="D579" s="10" t="n">
        <f aca="false">IF(AND(A579&lt;=Inputs!$B$9*12,C579&gt;0.000001),C579*Inputs!$B$10/12,0)</f>
        <v>0</v>
      </c>
      <c r="E579" s="10" t="n">
        <f aca="false">IF(AND(A579&lt;=Inputs!$B$9*12,C579&gt;0.000001),MIN(C579,Inputs!$B$41-D579),0)</f>
        <v>0</v>
      </c>
      <c r="F579" s="10" t="n">
        <f aca="false">C579-E579</f>
        <v>1.28693500300869E-010</v>
      </c>
      <c r="G579" s="10" t="n">
        <f aca="false">IF(AND(Inputs!$B$43=1,C579&gt;0.78*Inputs!$B$7,A579&lt;=Inputs!$B$9*6),Inputs!$B$16*Inputs!$B$39/12,0)</f>
        <v>0</v>
      </c>
      <c r="H579" s="10" t="n">
        <f aca="false">IF(B579=1,Inputs!$B$7,INDEX(Annual!$AC$2:$AC$51,B579-1))</f>
        <v>3285264.1208757</v>
      </c>
      <c r="I579" s="10" t="n">
        <f aca="false">Inputs!$B$12*IF(Inputs!$B$35="",H579,MIN(H579,Inputs!$B$7*(1+Inputs!$B$35)^(B579-1)))/12</f>
        <v>2463.94809065678</v>
      </c>
      <c r="J579" s="10" t="n">
        <f aca="false">Inputs!$B$13*Inputs!$B$7*(1+Inputs!$B$22)^(B579-1)/12</f>
        <v>784.202579075542</v>
      </c>
      <c r="K579" s="10" t="n">
        <f aca="false">Inputs!$B$14*Inputs!$B$7*(1+Inputs!$B$22)^(B579-1)/12</f>
        <v>1568.40515815108</v>
      </c>
      <c r="L579" s="10" t="n">
        <f aca="false">Inputs!$B$15*(1+Inputs!$B$22)^(B579-1)</f>
        <v>0</v>
      </c>
      <c r="M579" s="10" t="n">
        <f aca="false">INDEX(Annual!$N$2:$N$51,B579)/12</f>
        <v>0</v>
      </c>
      <c r="N579" s="10" t="n">
        <f aca="false">D579+E579+G579+I579+J579+K579+L579-M579</f>
        <v>4816.5558278834</v>
      </c>
      <c r="O579" s="10" t="n">
        <f aca="false">Inputs!$B$17*(1+Inputs!$B$18)^(B579-1)+Inputs!$B$19*(1+Inputs!$B$22)^(B579-1)</f>
        <v>13090.4350370069</v>
      </c>
      <c r="P579" s="10" t="n">
        <f aca="false">N579-O579</f>
        <v>-8273.87920912355</v>
      </c>
      <c r="Q579" s="10" t="n">
        <f aca="false">Q578*(1+Inputs!$B$42)-U579+MAX(P579,0)</f>
        <v>5056743.99275038</v>
      </c>
      <c r="R579" s="10" t="n">
        <f aca="false">R578+Q578*Inputs!$B$48-U579+MAX(P579,0)</f>
        <v>931420.753820021</v>
      </c>
      <c r="S579" s="10" t="n">
        <f aca="false">S578*(1+Inputs!$B$42)-V579+MAX(-P579,0)</f>
        <v>2896901.93504576</v>
      </c>
      <c r="T579" s="10" t="n">
        <f aca="false">T578+S578*Inputs!$B$48-V579+MAX(-P579,0)</f>
        <v>1640658.77124673</v>
      </c>
      <c r="U579" s="10" t="n">
        <f aca="false">Q578*Inputs!$B$48*Inputs!$B$29</f>
        <v>691.487607085103</v>
      </c>
      <c r="V579" s="10" t="n">
        <f aca="false">S578*Inputs!$B$48*Inputs!$B$29</f>
        <v>395.007242793588</v>
      </c>
    </row>
    <row r="580" customFormat="false" ht="15" hidden="false" customHeight="false" outlineLevel="0" collapsed="false">
      <c r="A580" s="16" t="n">
        <v>579</v>
      </c>
      <c r="B580" s="16" t="n">
        <f aca="false">ROUNDUP(A580/12,0)</f>
        <v>49</v>
      </c>
      <c r="C580" s="10" t="n">
        <f aca="false">F579</f>
        <v>1.28693500300869E-010</v>
      </c>
      <c r="D580" s="10" t="n">
        <f aca="false">IF(AND(A580&lt;=Inputs!$B$9*12,C580&gt;0.000001),C580*Inputs!$B$10/12,0)</f>
        <v>0</v>
      </c>
      <c r="E580" s="10" t="n">
        <f aca="false">IF(AND(A580&lt;=Inputs!$B$9*12,C580&gt;0.000001),MIN(C580,Inputs!$B$41-D580),0)</f>
        <v>0</v>
      </c>
      <c r="F580" s="10" t="n">
        <f aca="false">C580-E580</f>
        <v>1.28693500300869E-010</v>
      </c>
      <c r="G580" s="10" t="n">
        <f aca="false">IF(AND(Inputs!$B$43=1,C580&gt;0.78*Inputs!$B$7,A580&lt;=Inputs!$B$9*6),Inputs!$B$16*Inputs!$B$39/12,0)</f>
        <v>0</v>
      </c>
      <c r="H580" s="10" t="n">
        <f aca="false">IF(B580=1,Inputs!$B$7,INDEX(Annual!$AC$2:$AC$51,B580-1))</f>
        <v>3285264.1208757</v>
      </c>
      <c r="I580" s="10" t="n">
        <f aca="false">Inputs!$B$12*IF(Inputs!$B$35="",H580,MIN(H580,Inputs!$B$7*(1+Inputs!$B$35)^(B580-1)))/12</f>
        <v>2463.94809065678</v>
      </c>
      <c r="J580" s="10" t="n">
        <f aca="false">Inputs!$B$13*Inputs!$B$7*(1+Inputs!$B$22)^(B580-1)/12</f>
        <v>784.202579075542</v>
      </c>
      <c r="K580" s="10" t="n">
        <f aca="false">Inputs!$B$14*Inputs!$B$7*(1+Inputs!$B$22)^(B580-1)/12</f>
        <v>1568.40515815108</v>
      </c>
      <c r="L580" s="10" t="n">
        <f aca="false">Inputs!$B$15*(1+Inputs!$B$22)^(B580-1)</f>
        <v>0</v>
      </c>
      <c r="M580" s="10" t="n">
        <f aca="false">INDEX(Annual!$N$2:$N$51,B580)/12</f>
        <v>0</v>
      </c>
      <c r="N580" s="10" t="n">
        <f aca="false">D580+E580+G580+I580+J580+K580+L580-M580</f>
        <v>4816.5558278834</v>
      </c>
      <c r="O580" s="10" t="n">
        <f aca="false">Inputs!$B$17*(1+Inputs!$B$18)^(B580-1)+Inputs!$B$19*(1+Inputs!$B$22)^(B580-1)</f>
        <v>13090.4350370069</v>
      </c>
      <c r="P580" s="10" t="n">
        <f aca="false">N580-O580</f>
        <v>-8273.87920912355</v>
      </c>
      <c r="Q580" s="10" t="n">
        <f aca="false">Q579*(1+Inputs!$B$42)-U580+MAX(P580,0)</f>
        <v>5084640.25617328</v>
      </c>
      <c r="R580" s="10" t="n">
        <f aca="false">R579+Q579*Inputs!$B$48-U580+MAX(P580,0)</f>
        <v>935360.800181039</v>
      </c>
      <c r="S580" s="10" t="n">
        <f aca="false">S579*(1+Inputs!$B$42)-V580+MAX(-P580,0)</f>
        <v>2921156.99495262</v>
      </c>
      <c r="T580" s="10" t="n">
        <f aca="false">T579+S579*Inputs!$B$48-V580+MAX(-P580,0)</f>
        <v>1651189.81988024</v>
      </c>
      <c r="U580" s="10" t="n">
        <f aca="false">Q579*Inputs!$B$48*Inputs!$B$29</f>
        <v>695.302299003177</v>
      </c>
      <c r="V580" s="10" t="n">
        <f aca="false">S579*Inputs!$B$48*Inputs!$B$29</f>
        <v>398.324016068792</v>
      </c>
    </row>
    <row r="581" customFormat="false" ht="15" hidden="false" customHeight="false" outlineLevel="0" collapsed="false">
      <c r="A581" s="16" t="n">
        <v>580</v>
      </c>
      <c r="B581" s="16" t="n">
        <f aca="false">ROUNDUP(A581/12,0)</f>
        <v>49</v>
      </c>
      <c r="C581" s="10" t="n">
        <f aca="false">F580</f>
        <v>1.28693500300869E-010</v>
      </c>
      <c r="D581" s="10" t="n">
        <f aca="false">IF(AND(A581&lt;=Inputs!$B$9*12,C581&gt;0.000001),C581*Inputs!$B$10/12,0)</f>
        <v>0</v>
      </c>
      <c r="E581" s="10" t="n">
        <f aca="false">IF(AND(A581&lt;=Inputs!$B$9*12,C581&gt;0.000001),MIN(C581,Inputs!$B$41-D581),0)</f>
        <v>0</v>
      </c>
      <c r="F581" s="10" t="n">
        <f aca="false">C581-E581</f>
        <v>1.28693500300869E-010</v>
      </c>
      <c r="G581" s="10" t="n">
        <f aca="false">IF(AND(Inputs!$B$43=1,C581&gt;0.78*Inputs!$B$7,A581&lt;=Inputs!$B$9*6),Inputs!$B$16*Inputs!$B$39/12,0)</f>
        <v>0</v>
      </c>
      <c r="H581" s="10" t="n">
        <f aca="false">IF(B581=1,Inputs!$B$7,INDEX(Annual!$AC$2:$AC$51,B581-1))</f>
        <v>3285264.1208757</v>
      </c>
      <c r="I581" s="10" t="n">
        <f aca="false">Inputs!$B$12*IF(Inputs!$B$35="",H581,MIN(H581,Inputs!$B$7*(1+Inputs!$B$35)^(B581-1)))/12</f>
        <v>2463.94809065678</v>
      </c>
      <c r="J581" s="10" t="n">
        <f aca="false">Inputs!$B$13*Inputs!$B$7*(1+Inputs!$B$22)^(B581-1)/12</f>
        <v>784.202579075542</v>
      </c>
      <c r="K581" s="10" t="n">
        <f aca="false">Inputs!$B$14*Inputs!$B$7*(1+Inputs!$B$22)^(B581-1)/12</f>
        <v>1568.40515815108</v>
      </c>
      <c r="L581" s="10" t="n">
        <f aca="false">Inputs!$B$15*(1+Inputs!$B$22)^(B581-1)</f>
        <v>0</v>
      </c>
      <c r="M581" s="10" t="n">
        <f aca="false">INDEX(Annual!$N$2:$N$51,B581)/12</f>
        <v>0</v>
      </c>
      <c r="N581" s="10" t="n">
        <f aca="false">D581+E581+G581+I581+J581+K581+L581-M581</f>
        <v>4816.5558278834</v>
      </c>
      <c r="O581" s="10" t="n">
        <f aca="false">Inputs!$B$17*(1+Inputs!$B$18)^(B581-1)+Inputs!$B$19*(1+Inputs!$B$22)^(B581-1)</f>
        <v>13090.4350370069</v>
      </c>
      <c r="P581" s="10" t="n">
        <f aca="false">N581-O581</f>
        <v>-8273.87920912355</v>
      </c>
      <c r="Q581" s="10" t="n">
        <f aca="false">Q580*(1+Inputs!$B$42)-U581+MAX(P581,0)</f>
        <v>5112690.41338911</v>
      </c>
      <c r="R581" s="10" t="n">
        <f aca="false">R580+Q580*Inputs!$B$48-U581+MAX(P581,0)</f>
        <v>939322.582380641</v>
      </c>
      <c r="S581" s="10" t="n">
        <f aca="false">S580*(1+Inputs!$B$42)-V581+MAX(-P581,0)</f>
        <v>2945545.86142383</v>
      </c>
      <c r="T581" s="10" t="n">
        <f aca="false">T580+S580*Inputs!$B$48-V581+MAX(-P581,0)</f>
        <v>1661739.76724793</v>
      </c>
      <c r="U581" s="10" t="n">
        <f aca="false">Q580*Inputs!$B$48*Inputs!$B$29</f>
        <v>699.138035223826</v>
      </c>
      <c r="V581" s="10" t="n">
        <f aca="false">S580*Inputs!$B$48*Inputs!$B$29</f>
        <v>401.659086805985</v>
      </c>
    </row>
    <row r="582" customFormat="false" ht="15" hidden="false" customHeight="false" outlineLevel="0" collapsed="false">
      <c r="A582" s="16" t="n">
        <v>581</v>
      </c>
      <c r="B582" s="16" t="n">
        <f aca="false">ROUNDUP(A582/12,0)</f>
        <v>49</v>
      </c>
      <c r="C582" s="10" t="n">
        <f aca="false">F581</f>
        <v>1.28693500300869E-010</v>
      </c>
      <c r="D582" s="10" t="n">
        <f aca="false">IF(AND(A582&lt;=Inputs!$B$9*12,C582&gt;0.000001),C582*Inputs!$B$10/12,0)</f>
        <v>0</v>
      </c>
      <c r="E582" s="10" t="n">
        <f aca="false">IF(AND(A582&lt;=Inputs!$B$9*12,C582&gt;0.000001),MIN(C582,Inputs!$B$41-D582),0)</f>
        <v>0</v>
      </c>
      <c r="F582" s="10" t="n">
        <f aca="false">C582-E582</f>
        <v>1.28693500300869E-010</v>
      </c>
      <c r="G582" s="10" t="n">
        <f aca="false">IF(AND(Inputs!$B$43=1,C582&gt;0.78*Inputs!$B$7,A582&lt;=Inputs!$B$9*6),Inputs!$B$16*Inputs!$B$39/12,0)</f>
        <v>0</v>
      </c>
      <c r="H582" s="10" t="n">
        <f aca="false">IF(B582=1,Inputs!$B$7,INDEX(Annual!$AC$2:$AC$51,B582-1))</f>
        <v>3285264.1208757</v>
      </c>
      <c r="I582" s="10" t="n">
        <f aca="false">Inputs!$B$12*IF(Inputs!$B$35="",H582,MIN(H582,Inputs!$B$7*(1+Inputs!$B$35)^(B582-1)))/12</f>
        <v>2463.94809065678</v>
      </c>
      <c r="J582" s="10" t="n">
        <f aca="false">Inputs!$B$13*Inputs!$B$7*(1+Inputs!$B$22)^(B582-1)/12</f>
        <v>784.202579075542</v>
      </c>
      <c r="K582" s="10" t="n">
        <f aca="false">Inputs!$B$14*Inputs!$B$7*(1+Inputs!$B$22)^(B582-1)/12</f>
        <v>1568.40515815108</v>
      </c>
      <c r="L582" s="10" t="n">
        <f aca="false">Inputs!$B$15*(1+Inputs!$B$22)^(B582-1)</f>
        <v>0</v>
      </c>
      <c r="M582" s="10" t="n">
        <f aca="false">INDEX(Annual!$N$2:$N$51,B582)/12</f>
        <v>0</v>
      </c>
      <c r="N582" s="10" t="n">
        <f aca="false">D582+E582+G582+I582+J582+K582+L582-M582</f>
        <v>4816.5558278834</v>
      </c>
      <c r="O582" s="10" t="n">
        <f aca="false">Inputs!$B$17*(1+Inputs!$B$18)^(B582-1)+Inputs!$B$19*(1+Inputs!$B$22)^(B582-1)</f>
        <v>13090.4350370069</v>
      </c>
      <c r="P582" s="10" t="n">
        <f aca="false">N582-O582</f>
        <v>-8273.87920912355</v>
      </c>
      <c r="Q582" s="10" t="n">
        <f aca="false">Q581*(1+Inputs!$B$42)-U582+MAX(P582,0)</f>
        <v>5140895.31337536</v>
      </c>
      <c r="R582" s="10" t="n">
        <f aca="false">R581+Q581*Inputs!$B$48-U582+MAX(P582,0)</f>
        <v>943306.22032774</v>
      </c>
      <c r="S582" s="10" t="n">
        <f aca="false">S581*(1+Inputs!$B$42)-V582+MAX(-P582,0)</f>
        <v>2970069.27262277</v>
      </c>
      <c r="T582" s="10" t="n">
        <f aca="false">T581+S581*Inputs!$B$48-V582+MAX(-P582,0)</f>
        <v>1672308.71760741</v>
      </c>
      <c r="U582" s="10" t="n">
        <f aca="false">Q581*Inputs!$B$48*Inputs!$B$29</f>
        <v>702.994931841003</v>
      </c>
      <c r="V582" s="10" t="n">
        <f aca="false">S581*Inputs!$B$48*Inputs!$B$29</f>
        <v>405.012555945777</v>
      </c>
    </row>
    <row r="583" customFormat="false" ht="15" hidden="false" customHeight="false" outlineLevel="0" collapsed="false">
      <c r="A583" s="16" t="n">
        <v>582</v>
      </c>
      <c r="B583" s="16" t="n">
        <f aca="false">ROUNDUP(A583/12,0)</f>
        <v>49</v>
      </c>
      <c r="C583" s="10" t="n">
        <f aca="false">F582</f>
        <v>1.28693500300869E-010</v>
      </c>
      <c r="D583" s="10" t="n">
        <f aca="false">IF(AND(A583&lt;=Inputs!$B$9*12,C583&gt;0.000001),C583*Inputs!$B$10/12,0)</f>
        <v>0</v>
      </c>
      <c r="E583" s="10" t="n">
        <f aca="false">IF(AND(A583&lt;=Inputs!$B$9*12,C583&gt;0.000001),MIN(C583,Inputs!$B$41-D583),0)</f>
        <v>0</v>
      </c>
      <c r="F583" s="10" t="n">
        <f aca="false">C583-E583</f>
        <v>1.28693500300869E-010</v>
      </c>
      <c r="G583" s="10" t="n">
        <f aca="false">IF(AND(Inputs!$B$43=1,C583&gt;0.78*Inputs!$B$7,A583&lt;=Inputs!$B$9*6),Inputs!$B$16*Inputs!$B$39/12,0)</f>
        <v>0</v>
      </c>
      <c r="H583" s="10" t="n">
        <f aca="false">IF(B583=1,Inputs!$B$7,INDEX(Annual!$AC$2:$AC$51,B583-1))</f>
        <v>3285264.1208757</v>
      </c>
      <c r="I583" s="10" t="n">
        <f aca="false">Inputs!$B$12*IF(Inputs!$B$35="",H583,MIN(H583,Inputs!$B$7*(1+Inputs!$B$35)^(B583-1)))/12</f>
        <v>2463.94809065678</v>
      </c>
      <c r="J583" s="10" t="n">
        <f aca="false">Inputs!$B$13*Inputs!$B$7*(1+Inputs!$B$22)^(B583-1)/12</f>
        <v>784.202579075542</v>
      </c>
      <c r="K583" s="10" t="n">
        <f aca="false">Inputs!$B$14*Inputs!$B$7*(1+Inputs!$B$22)^(B583-1)/12</f>
        <v>1568.40515815108</v>
      </c>
      <c r="L583" s="10" t="n">
        <f aca="false">Inputs!$B$15*(1+Inputs!$B$22)^(B583-1)</f>
        <v>0</v>
      </c>
      <c r="M583" s="10" t="n">
        <f aca="false">INDEX(Annual!$N$2:$N$51,B583)/12</f>
        <v>0</v>
      </c>
      <c r="N583" s="10" t="n">
        <f aca="false">D583+E583+G583+I583+J583+K583+L583-M583</f>
        <v>4816.5558278834</v>
      </c>
      <c r="O583" s="10" t="n">
        <f aca="false">Inputs!$B$17*(1+Inputs!$B$18)^(B583-1)+Inputs!$B$19*(1+Inputs!$B$22)^(B583-1)</f>
        <v>13090.4350370069</v>
      </c>
      <c r="P583" s="10" t="n">
        <f aca="false">N583-O583</f>
        <v>-8273.87920912355</v>
      </c>
      <c r="Q583" s="10" t="n">
        <f aca="false">Q582*(1+Inputs!$B$42)-U583+MAX(P583,0)</f>
        <v>5169255.80979303</v>
      </c>
      <c r="R583" s="10" t="n">
        <f aca="false">R582+Q582*Inputs!$B$48-U583+MAX(P583,0)</f>
        <v>947311.834592745</v>
      </c>
      <c r="S583" s="10" t="n">
        <f aca="false">S582*(1+Inputs!$B$42)-V583+MAX(-P583,0)</f>
        <v>2994727.97078498</v>
      </c>
      <c r="T583" s="10" t="n">
        <f aca="false">T582+S582*Inputs!$B$48-V583+MAX(-P583,0)</f>
        <v>1682896.77579146</v>
      </c>
      <c r="U583" s="10" t="n">
        <f aca="false">Q582*Inputs!$B$48*Inputs!$B$29</f>
        <v>706.873105589113</v>
      </c>
      <c r="V583" s="10" t="n">
        <f aca="false">S582*Inputs!$B$48*Inputs!$B$29</f>
        <v>408.384524985631</v>
      </c>
    </row>
    <row r="584" customFormat="false" ht="15" hidden="false" customHeight="false" outlineLevel="0" collapsed="false">
      <c r="A584" s="16" t="n">
        <v>583</v>
      </c>
      <c r="B584" s="16" t="n">
        <f aca="false">ROUNDUP(A584/12,0)</f>
        <v>49</v>
      </c>
      <c r="C584" s="10" t="n">
        <f aca="false">F583</f>
        <v>1.28693500300869E-010</v>
      </c>
      <c r="D584" s="10" t="n">
        <f aca="false">IF(AND(A584&lt;=Inputs!$B$9*12,C584&gt;0.000001),C584*Inputs!$B$10/12,0)</f>
        <v>0</v>
      </c>
      <c r="E584" s="10" t="n">
        <f aca="false">IF(AND(A584&lt;=Inputs!$B$9*12,C584&gt;0.000001),MIN(C584,Inputs!$B$41-D584),0)</f>
        <v>0</v>
      </c>
      <c r="F584" s="10" t="n">
        <f aca="false">C584-E584</f>
        <v>1.28693500300869E-010</v>
      </c>
      <c r="G584" s="10" t="n">
        <f aca="false">IF(AND(Inputs!$B$43=1,C584&gt;0.78*Inputs!$B$7,A584&lt;=Inputs!$B$9*6),Inputs!$B$16*Inputs!$B$39/12,0)</f>
        <v>0</v>
      </c>
      <c r="H584" s="10" t="n">
        <f aca="false">IF(B584=1,Inputs!$B$7,INDEX(Annual!$AC$2:$AC$51,B584-1))</f>
        <v>3285264.1208757</v>
      </c>
      <c r="I584" s="10" t="n">
        <f aca="false">Inputs!$B$12*IF(Inputs!$B$35="",H584,MIN(H584,Inputs!$B$7*(1+Inputs!$B$35)^(B584-1)))/12</f>
        <v>2463.94809065678</v>
      </c>
      <c r="J584" s="10" t="n">
        <f aca="false">Inputs!$B$13*Inputs!$B$7*(1+Inputs!$B$22)^(B584-1)/12</f>
        <v>784.202579075542</v>
      </c>
      <c r="K584" s="10" t="n">
        <f aca="false">Inputs!$B$14*Inputs!$B$7*(1+Inputs!$B$22)^(B584-1)/12</f>
        <v>1568.40515815108</v>
      </c>
      <c r="L584" s="10" t="n">
        <f aca="false">Inputs!$B$15*(1+Inputs!$B$22)^(B584-1)</f>
        <v>0</v>
      </c>
      <c r="M584" s="10" t="n">
        <f aca="false">INDEX(Annual!$N$2:$N$51,B584)/12</f>
        <v>0</v>
      </c>
      <c r="N584" s="10" t="n">
        <f aca="false">D584+E584+G584+I584+J584+K584+L584-M584</f>
        <v>4816.5558278834</v>
      </c>
      <c r="O584" s="10" t="n">
        <f aca="false">Inputs!$B$17*(1+Inputs!$B$18)^(B584-1)+Inputs!$B$19*(1+Inputs!$B$22)^(B584-1)</f>
        <v>13090.4350370069</v>
      </c>
      <c r="P584" s="10" t="n">
        <f aca="false">N584-O584</f>
        <v>-8273.87920912355</v>
      </c>
      <c r="Q584" s="10" t="n">
        <f aca="false">Q583*(1+Inputs!$B$42)-U584+MAX(P584,0)</f>
        <v>5197772.76101244</v>
      </c>
      <c r="R584" s="10" t="n">
        <f aca="false">R583+Q583*Inputs!$B$48-U584+MAX(P584,0)</f>
        <v>951339.546411208</v>
      </c>
      <c r="S584" s="10" t="n">
        <f aca="false">S583*(1+Inputs!$B$42)-V584+MAX(-P584,0)</f>
        <v>3019522.70224067</v>
      </c>
      <c r="T584" s="10" t="n">
        <f aca="false">T583+S583*Inputs!$B$48-V584+MAX(-P584,0)</f>
        <v>1693504.04721115</v>
      </c>
      <c r="U584" s="10" t="n">
        <f aca="false">Q583*Inputs!$B$48*Inputs!$B$29</f>
        <v>710.772673846542</v>
      </c>
      <c r="V584" s="10" t="n">
        <f aca="false">S583*Inputs!$B$48*Inputs!$B$29</f>
        <v>411.775095982935</v>
      </c>
    </row>
    <row r="585" customFormat="false" ht="15" hidden="false" customHeight="false" outlineLevel="0" collapsed="false">
      <c r="A585" s="16" t="n">
        <v>584</v>
      </c>
      <c r="B585" s="16" t="n">
        <f aca="false">ROUNDUP(A585/12,0)</f>
        <v>49</v>
      </c>
      <c r="C585" s="10" t="n">
        <f aca="false">F584</f>
        <v>1.28693500300869E-010</v>
      </c>
      <c r="D585" s="10" t="n">
        <f aca="false">IF(AND(A585&lt;=Inputs!$B$9*12,C585&gt;0.000001),C585*Inputs!$B$10/12,0)</f>
        <v>0</v>
      </c>
      <c r="E585" s="10" t="n">
        <f aca="false">IF(AND(A585&lt;=Inputs!$B$9*12,C585&gt;0.000001),MIN(C585,Inputs!$B$41-D585),0)</f>
        <v>0</v>
      </c>
      <c r="F585" s="10" t="n">
        <f aca="false">C585-E585</f>
        <v>1.28693500300869E-010</v>
      </c>
      <c r="G585" s="10" t="n">
        <f aca="false">IF(AND(Inputs!$B$43=1,C585&gt;0.78*Inputs!$B$7,A585&lt;=Inputs!$B$9*6),Inputs!$B$16*Inputs!$B$39/12,0)</f>
        <v>0</v>
      </c>
      <c r="H585" s="10" t="n">
        <f aca="false">IF(B585=1,Inputs!$B$7,INDEX(Annual!$AC$2:$AC$51,B585-1))</f>
        <v>3285264.1208757</v>
      </c>
      <c r="I585" s="10" t="n">
        <f aca="false">Inputs!$B$12*IF(Inputs!$B$35="",H585,MIN(H585,Inputs!$B$7*(1+Inputs!$B$35)^(B585-1)))/12</f>
        <v>2463.94809065678</v>
      </c>
      <c r="J585" s="10" t="n">
        <f aca="false">Inputs!$B$13*Inputs!$B$7*(1+Inputs!$B$22)^(B585-1)/12</f>
        <v>784.202579075542</v>
      </c>
      <c r="K585" s="10" t="n">
        <f aca="false">Inputs!$B$14*Inputs!$B$7*(1+Inputs!$B$22)^(B585-1)/12</f>
        <v>1568.40515815108</v>
      </c>
      <c r="L585" s="10" t="n">
        <f aca="false">Inputs!$B$15*(1+Inputs!$B$22)^(B585-1)</f>
        <v>0</v>
      </c>
      <c r="M585" s="10" t="n">
        <f aca="false">INDEX(Annual!$N$2:$N$51,B585)/12</f>
        <v>0</v>
      </c>
      <c r="N585" s="10" t="n">
        <f aca="false">D585+E585+G585+I585+J585+K585+L585-M585</f>
        <v>4816.5558278834</v>
      </c>
      <c r="O585" s="10" t="n">
        <f aca="false">Inputs!$B$17*(1+Inputs!$B$18)^(B585-1)+Inputs!$B$19*(1+Inputs!$B$22)^(B585-1)</f>
        <v>13090.4350370069</v>
      </c>
      <c r="P585" s="10" t="n">
        <f aca="false">N585-O585</f>
        <v>-8273.87920912355</v>
      </c>
      <c r="Q585" s="10" t="n">
        <f aca="false">Q584*(1+Inputs!$B$42)-U585+MAX(P585,0)</f>
        <v>5226447.03013926</v>
      </c>
      <c r="R585" s="10" t="n">
        <f aca="false">R584+Q584*Inputs!$B$48-U585+MAX(P585,0)</f>
        <v>955389.477687497</v>
      </c>
      <c r="S585" s="10" t="n">
        <f aca="false">S584*(1+Inputs!$B$42)-V585+MAX(-P585,0)</f>
        <v>3044454.21743728</v>
      </c>
      <c r="T585" s="10" t="n">
        <f aca="false">T584+S584*Inputs!$B$48-V585+MAX(-P585,0)</f>
        <v>1704130.6378591</v>
      </c>
      <c r="U585" s="10" t="n">
        <f aca="false">Q584*Inputs!$B$48*Inputs!$B$29</f>
        <v>714.693754639211</v>
      </c>
      <c r="V585" s="10" t="n">
        <f aca="false">S584*Inputs!$B$48*Inputs!$B$29</f>
        <v>415.184371558092</v>
      </c>
    </row>
    <row r="586" customFormat="false" ht="15" hidden="false" customHeight="false" outlineLevel="0" collapsed="false">
      <c r="A586" s="16" t="n">
        <v>585</v>
      </c>
      <c r="B586" s="16" t="n">
        <f aca="false">ROUNDUP(A586/12,0)</f>
        <v>49</v>
      </c>
      <c r="C586" s="10" t="n">
        <f aca="false">F585</f>
        <v>1.28693500300869E-010</v>
      </c>
      <c r="D586" s="10" t="n">
        <f aca="false">IF(AND(A586&lt;=Inputs!$B$9*12,C586&gt;0.000001),C586*Inputs!$B$10/12,0)</f>
        <v>0</v>
      </c>
      <c r="E586" s="10" t="n">
        <f aca="false">IF(AND(A586&lt;=Inputs!$B$9*12,C586&gt;0.000001),MIN(C586,Inputs!$B$41-D586),0)</f>
        <v>0</v>
      </c>
      <c r="F586" s="10" t="n">
        <f aca="false">C586-E586</f>
        <v>1.28693500300869E-010</v>
      </c>
      <c r="G586" s="10" t="n">
        <f aca="false">IF(AND(Inputs!$B$43=1,C586&gt;0.78*Inputs!$B$7,A586&lt;=Inputs!$B$9*6),Inputs!$B$16*Inputs!$B$39/12,0)</f>
        <v>0</v>
      </c>
      <c r="H586" s="10" t="n">
        <f aca="false">IF(B586=1,Inputs!$B$7,INDEX(Annual!$AC$2:$AC$51,B586-1))</f>
        <v>3285264.1208757</v>
      </c>
      <c r="I586" s="10" t="n">
        <f aca="false">Inputs!$B$12*IF(Inputs!$B$35="",H586,MIN(H586,Inputs!$B$7*(1+Inputs!$B$35)^(B586-1)))/12</f>
        <v>2463.94809065678</v>
      </c>
      <c r="J586" s="10" t="n">
        <f aca="false">Inputs!$B$13*Inputs!$B$7*(1+Inputs!$B$22)^(B586-1)/12</f>
        <v>784.202579075542</v>
      </c>
      <c r="K586" s="10" t="n">
        <f aca="false">Inputs!$B$14*Inputs!$B$7*(1+Inputs!$B$22)^(B586-1)/12</f>
        <v>1568.40515815108</v>
      </c>
      <c r="L586" s="10" t="n">
        <f aca="false">Inputs!$B$15*(1+Inputs!$B$22)^(B586-1)</f>
        <v>0</v>
      </c>
      <c r="M586" s="10" t="n">
        <f aca="false">INDEX(Annual!$N$2:$N$51,B586)/12</f>
        <v>0</v>
      </c>
      <c r="N586" s="10" t="n">
        <f aca="false">D586+E586+G586+I586+J586+K586+L586-M586</f>
        <v>4816.5558278834</v>
      </c>
      <c r="O586" s="10" t="n">
        <f aca="false">Inputs!$B$17*(1+Inputs!$B$18)^(B586-1)+Inputs!$B$19*(1+Inputs!$B$22)^(B586-1)</f>
        <v>13090.4350370069</v>
      </c>
      <c r="P586" s="10" t="n">
        <f aca="false">N586-O586</f>
        <v>-8273.87920912355</v>
      </c>
      <c r="Q586" s="10" t="n">
        <f aca="false">Q585*(1+Inputs!$B$42)-U586+MAX(P586,0)</f>
        <v>5255279.4850406</v>
      </c>
      <c r="R586" s="10" t="n">
        <f aca="false">R585+Q585*Inputs!$B$48-U586+MAX(P586,0)</f>
        <v>959461.750998481</v>
      </c>
      <c r="S586" s="10" t="n">
        <f aca="false">S585*(1+Inputs!$B$42)-V586+MAX(-P586,0)</f>
        <v>3069523.27096219</v>
      </c>
      <c r="T586" s="10" t="n">
        <f aca="false">T585+S585*Inputs!$B$48-V586+MAX(-P586,0)</f>
        <v>1714776.65431265</v>
      </c>
      <c r="U586" s="10" t="n">
        <f aca="false">Q585*Inputs!$B$48*Inputs!$B$29</f>
        <v>718.636466644149</v>
      </c>
      <c r="V586" s="10" t="n">
        <f aca="false">S585*Inputs!$B$48*Inputs!$B$29</f>
        <v>418.612454897625</v>
      </c>
    </row>
    <row r="587" customFormat="false" ht="15" hidden="false" customHeight="false" outlineLevel="0" collapsed="false">
      <c r="A587" s="16" t="n">
        <v>586</v>
      </c>
      <c r="B587" s="16" t="n">
        <f aca="false">ROUNDUP(A587/12,0)</f>
        <v>49</v>
      </c>
      <c r="C587" s="10" t="n">
        <f aca="false">F586</f>
        <v>1.28693500300869E-010</v>
      </c>
      <c r="D587" s="10" t="n">
        <f aca="false">IF(AND(A587&lt;=Inputs!$B$9*12,C587&gt;0.000001),C587*Inputs!$B$10/12,0)</f>
        <v>0</v>
      </c>
      <c r="E587" s="10" t="n">
        <f aca="false">IF(AND(A587&lt;=Inputs!$B$9*12,C587&gt;0.000001),MIN(C587,Inputs!$B$41-D587),0)</f>
        <v>0</v>
      </c>
      <c r="F587" s="10" t="n">
        <f aca="false">C587-E587</f>
        <v>1.28693500300869E-010</v>
      </c>
      <c r="G587" s="10" t="n">
        <f aca="false">IF(AND(Inputs!$B$43=1,C587&gt;0.78*Inputs!$B$7,A587&lt;=Inputs!$B$9*6),Inputs!$B$16*Inputs!$B$39/12,0)</f>
        <v>0</v>
      </c>
      <c r="H587" s="10" t="n">
        <f aca="false">IF(B587=1,Inputs!$B$7,INDEX(Annual!$AC$2:$AC$51,B587-1))</f>
        <v>3285264.1208757</v>
      </c>
      <c r="I587" s="10" t="n">
        <f aca="false">Inputs!$B$12*IF(Inputs!$B$35="",H587,MIN(H587,Inputs!$B$7*(1+Inputs!$B$35)^(B587-1)))/12</f>
        <v>2463.94809065678</v>
      </c>
      <c r="J587" s="10" t="n">
        <f aca="false">Inputs!$B$13*Inputs!$B$7*(1+Inputs!$B$22)^(B587-1)/12</f>
        <v>784.202579075542</v>
      </c>
      <c r="K587" s="10" t="n">
        <f aca="false">Inputs!$B$14*Inputs!$B$7*(1+Inputs!$B$22)^(B587-1)/12</f>
        <v>1568.40515815108</v>
      </c>
      <c r="L587" s="10" t="n">
        <f aca="false">Inputs!$B$15*(1+Inputs!$B$22)^(B587-1)</f>
        <v>0</v>
      </c>
      <c r="M587" s="10" t="n">
        <f aca="false">INDEX(Annual!$N$2:$N$51,B587)/12</f>
        <v>0</v>
      </c>
      <c r="N587" s="10" t="n">
        <f aca="false">D587+E587+G587+I587+J587+K587+L587-M587</f>
        <v>4816.5558278834</v>
      </c>
      <c r="O587" s="10" t="n">
        <f aca="false">Inputs!$B$17*(1+Inputs!$B$18)^(B587-1)+Inputs!$B$19*(1+Inputs!$B$22)^(B587-1)</f>
        <v>13090.4350370069</v>
      </c>
      <c r="P587" s="10" t="n">
        <f aca="false">N587-O587</f>
        <v>-8273.87920912355</v>
      </c>
      <c r="Q587" s="10" t="n">
        <f aca="false">Q586*(1+Inputs!$B$42)-U587+MAX(P587,0)</f>
        <v>5284270.99837127</v>
      </c>
      <c r="R587" s="10" t="n">
        <f aca="false">R586+Q586*Inputs!$B$48-U587+MAX(P587,0)</f>
        <v>963556.489597241</v>
      </c>
      <c r="S587" s="10" t="n">
        <f aca="false">S586*(1+Inputs!$B$42)-V587+MAX(-P587,0)</f>
        <v>3094730.6215656</v>
      </c>
      <c r="T587" s="10" t="n">
        <f aca="false">T586+S586*Inputs!$B$48-V587+MAX(-P587,0)</f>
        <v>1725442.20373706</v>
      </c>
      <c r="U587" s="10" t="n">
        <f aca="false">Q586*Inputs!$B$48*Inputs!$B$29</f>
        <v>722.600929193082</v>
      </c>
      <c r="V587" s="10" t="n">
        <f aca="false">S586*Inputs!$B$48*Inputs!$B$29</f>
        <v>422.059449757301</v>
      </c>
    </row>
    <row r="588" customFormat="false" ht="15" hidden="false" customHeight="false" outlineLevel="0" collapsed="false">
      <c r="A588" s="16" t="n">
        <v>587</v>
      </c>
      <c r="B588" s="16" t="n">
        <f aca="false">ROUNDUP(A588/12,0)</f>
        <v>49</v>
      </c>
      <c r="C588" s="10" t="n">
        <f aca="false">F587</f>
        <v>1.28693500300869E-010</v>
      </c>
      <c r="D588" s="10" t="n">
        <f aca="false">IF(AND(A588&lt;=Inputs!$B$9*12,C588&gt;0.000001),C588*Inputs!$B$10/12,0)</f>
        <v>0</v>
      </c>
      <c r="E588" s="10" t="n">
        <f aca="false">IF(AND(A588&lt;=Inputs!$B$9*12,C588&gt;0.000001),MIN(C588,Inputs!$B$41-D588),0)</f>
        <v>0</v>
      </c>
      <c r="F588" s="10" t="n">
        <f aca="false">C588-E588</f>
        <v>1.28693500300869E-010</v>
      </c>
      <c r="G588" s="10" t="n">
        <f aca="false">IF(AND(Inputs!$B$43=1,C588&gt;0.78*Inputs!$B$7,A588&lt;=Inputs!$B$9*6),Inputs!$B$16*Inputs!$B$39/12,0)</f>
        <v>0</v>
      </c>
      <c r="H588" s="10" t="n">
        <f aca="false">IF(B588=1,Inputs!$B$7,INDEX(Annual!$AC$2:$AC$51,B588-1))</f>
        <v>3285264.1208757</v>
      </c>
      <c r="I588" s="10" t="n">
        <f aca="false">Inputs!$B$12*IF(Inputs!$B$35="",H588,MIN(H588,Inputs!$B$7*(1+Inputs!$B$35)^(B588-1)))/12</f>
        <v>2463.94809065678</v>
      </c>
      <c r="J588" s="10" t="n">
        <f aca="false">Inputs!$B$13*Inputs!$B$7*(1+Inputs!$B$22)^(B588-1)/12</f>
        <v>784.202579075542</v>
      </c>
      <c r="K588" s="10" t="n">
        <f aca="false">Inputs!$B$14*Inputs!$B$7*(1+Inputs!$B$22)^(B588-1)/12</f>
        <v>1568.40515815108</v>
      </c>
      <c r="L588" s="10" t="n">
        <f aca="false">Inputs!$B$15*(1+Inputs!$B$22)^(B588-1)</f>
        <v>0</v>
      </c>
      <c r="M588" s="10" t="n">
        <f aca="false">INDEX(Annual!$N$2:$N$51,B588)/12</f>
        <v>0</v>
      </c>
      <c r="N588" s="10" t="n">
        <f aca="false">D588+E588+G588+I588+J588+K588+L588-M588</f>
        <v>4816.5558278834</v>
      </c>
      <c r="O588" s="10" t="n">
        <f aca="false">Inputs!$B$17*(1+Inputs!$B$18)^(B588-1)+Inputs!$B$19*(1+Inputs!$B$22)^(B588-1)</f>
        <v>13090.4350370069</v>
      </c>
      <c r="P588" s="10" t="n">
        <f aca="false">N588-O588</f>
        <v>-8273.87920912355</v>
      </c>
      <c r="Q588" s="10" t="n">
        <f aca="false">Q587*(1+Inputs!$B$42)-U588+MAX(P588,0)</f>
        <v>5313422.44760024</v>
      </c>
      <c r="R588" s="10" t="n">
        <f aca="false">R587+Q587*Inputs!$B$48-U588+MAX(P588,0)</f>
        <v>967673.817416806</v>
      </c>
      <c r="S588" s="10" t="n">
        <f aca="false">S587*(1+Inputs!$B$42)-V588+MAX(-P588,0)</f>
        <v>3120077.03218345</v>
      </c>
      <c r="T588" s="10" t="n">
        <f aca="false">T587+S587*Inputs!$B$48-V588+MAX(-P588,0)</f>
        <v>1736127.39388882</v>
      </c>
      <c r="U588" s="10" t="n">
        <f aca="false">Q587*Inputs!$B$48*Inputs!$B$29</f>
        <v>726.58726227605</v>
      </c>
      <c r="V588" s="10" t="n">
        <f aca="false">S587*Inputs!$B$48*Inputs!$B$29</f>
        <v>425.52546046527</v>
      </c>
    </row>
    <row r="589" customFormat="false" ht="15" hidden="false" customHeight="false" outlineLevel="0" collapsed="false">
      <c r="A589" s="16" t="n">
        <v>588</v>
      </c>
      <c r="B589" s="16" t="n">
        <f aca="false">ROUNDUP(A589/12,0)</f>
        <v>49</v>
      </c>
      <c r="C589" s="10" t="n">
        <f aca="false">F588</f>
        <v>1.28693500300869E-010</v>
      </c>
      <c r="D589" s="10" t="n">
        <f aca="false">IF(AND(A589&lt;=Inputs!$B$9*12,C589&gt;0.000001),C589*Inputs!$B$10/12,0)</f>
        <v>0</v>
      </c>
      <c r="E589" s="10" t="n">
        <f aca="false">IF(AND(A589&lt;=Inputs!$B$9*12,C589&gt;0.000001),MIN(C589,Inputs!$B$41-D589),0)</f>
        <v>0</v>
      </c>
      <c r="F589" s="10" t="n">
        <f aca="false">C589-E589</f>
        <v>1.28693500300869E-010</v>
      </c>
      <c r="G589" s="10" t="n">
        <f aca="false">IF(AND(Inputs!$B$43=1,C589&gt;0.78*Inputs!$B$7,A589&lt;=Inputs!$B$9*6),Inputs!$B$16*Inputs!$B$39/12,0)</f>
        <v>0</v>
      </c>
      <c r="H589" s="10" t="n">
        <f aca="false">IF(B589=1,Inputs!$B$7,INDEX(Annual!$AC$2:$AC$51,B589-1))</f>
        <v>3285264.1208757</v>
      </c>
      <c r="I589" s="10" t="n">
        <f aca="false">Inputs!$B$12*IF(Inputs!$B$35="",H589,MIN(H589,Inputs!$B$7*(1+Inputs!$B$35)^(B589-1)))/12</f>
        <v>2463.94809065678</v>
      </c>
      <c r="J589" s="10" t="n">
        <f aca="false">Inputs!$B$13*Inputs!$B$7*(1+Inputs!$B$22)^(B589-1)/12</f>
        <v>784.202579075542</v>
      </c>
      <c r="K589" s="10" t="n">
        <f aca="false">Inputs!$B$14*Inputs!$B$7*(1+Inputs!$B$22)^(B589-1)/12</f>
        <v>1568.40515815108</v>
      </c>
      <c r="L589" s="10" t="n">
        <f aca="false">Inputs!$B$15*(1+Inputs!$B$22)^(B589-1)</f>
        <v>0</v>
      </c>
      <c r="M589" s="10" t="n">
        <f aca="false">INDEX(Annual!$N$2:$N$51,B589)/12</f>
        <v>0</v>
      </c>
      <c r="N589" s="10" t="n">
        <f aca="false">D589+E589+G589+I589+J589+K589+L589-M589</f>
        <v>4816.5558278834</v>
      </c>
      <c r="O589" s="10" t="n">
        <f aca="false">Inputs!$B$17*(1+Inputs!$B$18)^(B589-1)+Inputs!$B$19*(1+Inputs!$B$22)^(B589-1)</f>
        <v>13090.4350370069</v>
      </c>
      <c r="P589" s="10" t="n">
        <f aca="false">N589-O589</f>
        <v>-8273.87920912355</v>
      </c>
      <c r="Q589" s="10" t="n">
        <f aca="false">Q588*(1+Inputs!$B$42)-U589+MAX(P589,0)</f>
        <v>5342734.71503713</v>
      </c>
      <c r="R589" s="10" t="n">
        <f aca="false">R588+Q588*Inputs!$B$48-U589+MAX(P589,0)</f>
        <v>971813.859073894</v>
      </c>
      <c r="S589" s="10" t="n">
        <f aca="false">S588*(1+Inputs!$B$42)-V589+MAX(-P589,0)</f>
        <v>3145563.26996051</v>
      </c>
      <c r="T589" s="10" t="n">
        <f aca="false">T588+S588*Inputs!$B$48-V589+MAX(-P589,0)</f>
        <v>1746832.33311885</v>
      </c>
      <c r="U589" s="10" t="n">
        <f aca="false">Q588*Inputs!$B$48*Inputs!$B$29</f>
        <v>730.595586545033</v>
      </c>
      <c r="V589" s="10" t="n">
        <f aca="false">S588*Inputs!$B$48*Inputs!$B$29</f>
        <v>429.010591925224</v>
      </c>
    </row>
    <row r="590" customFormat="false" ht="15" hidden="false" customHeight="false" outlineLevel="0" collapsed="false">
      <c r="A590" s="16" t="n">
        <v>589</v>
      </c>
      <c r="B590" s="16" t="n">
        <f aca="false">ROUNDUP(A590/12,0)</f>
        <v>50</v>
      </c>
      <c r="C590" s="10" t="n">
        <f aca="false">F589</f>
        <v>1.28693500300869E-010</v>
      </c>
      <c r="D590" s="10" t="n">
        <f aca="false">IF(AND(A590&lt;=Inputs!$B$9*12,C590&gt;0.000001),C590*Inputs!$B$10/12,0)</f>
        <v>0</v>
      </c>
      <c r="E590" s="10" t="n">
        <f aca="false">IF(AND(A590&lt;=Inputs!$B$9*12,C590&gt;0.000001),MIN(C590,Inputs!$B$41-D590),0)</f>
        <v>0</v>
      </c>
      <c r="F590" s="10" t="n">
        <f aca="false">C590-E590</f>
        <v>1.28693500300869E-010</v>
      </c>
      <c r="G590" s="10" t="n">
        <f aca="false">IF(AND(Inputs!$B$43=1,C590&gt;0.78*Inputs!$B$7,A590&lt;=Inputs!$B$9*6),Inputs!$B$16*Inputs!$B$39/12,0)</f>
        <v>0</v>
      </c>
      <c r="H590" s="10" t="n">
        <f aca="false">IF(B590=1,Inputs!$B$7,INDEX(Annual!$AC$2:$AC$51,B590-1))</f>
        <v>3416674.68571073</v>
      </c>
      <c r="I590" s="10" t="n">
        <f aca="false">Inputs!$B$12*IF(Inputs!$B$35="",H590,MIN(H590,Inputs!$B$7*(1+Inputs!$B$35)^(B590-1)))/12</f>
        <v>2562.50601428305</v>
      </c>
      <c r="J590" s="10" t="n">
        <f aca="false">Inputs!$B$13*Inputs!$B$7*(1+Inputs!$B$22)^(B590-1)/12</f>
        <v>806.160251289657</v>
      </c>
      <c r="K590" s="10" t="n">
        <f aca="false">Inputs!$B$14*Inputs!$B$7*(1+Inputs!$B$22)^(B590-1)/12</f>
        <v>1612.32050257931</v>
      </c>
      <c r="L590" s="10" t="n">
        <f aca="false">Inputs!$B$15*(1+Inputs!$B$22)^(B590-1)</f>
        <v>0</v>
      </c>
      <c r="M590" s="10" t="n">
        <f aca="false">INDEX(Annual!$N$2:$N$51,B590)/12</f>
        <v>0</v>
      </c>
      <c r="N590" s="10" t="n">
        <f aca="false">D590+E590+G590+I590+J590+K590+L590-M590</f>
        <v>4980.98676815202</v>
      </c>
      <c r="O590" s="10" t="n">
        <f aca="false">Inputs!$B$17*(1+Inputs!$B$18)^(B590-1)+Inputs!$B$19*(1+Inputs!$B$22)^(B590-1)</f>
        <v>13548.2050252023</v>
      </c>
      <c r="P590" s="10" t="n">
        <f aca="false">N590-O590</f>
        <v>-8567.21825705032</v>
      </c>
      <c r="Q590" s="10" t="n">
        <f aca="false">Q589*(1+Inputs!$B$42)-U590+MAX(P590,0)</f>
        <v>5372208.68785897</v>
      </c>
      <c r="R590" s="10" t="n">
        <f aca="false">R589+Q589*Inputs!$B$48-U590+MAX(P590,0)</f>
        <v>975976.739872694</v>
      </c>
      <c r="S590" s="10" t="n">
        <f aca="false">S589*(1+Inputs!$B$42)-V590+MAX(-P590,0)</f>
        <v>3171483.44532158</v>
      </c>
      <c r="T590" s="10" t="n">
        <f aca="false">T589+S589*Inputs!$B$48-V590+MAX(-P590,0)</f>
        <v>1757850.46942375</v>
      </c>
      <c r="U590" s="10" t="n">
        <f aca="false">Q589*Inputs!$B$48*Inputs!$B$29</f>
        <v>734.626023317605</v>
      </c>
      <c r="V590" s="10" t="n">
        <f aca="false">S589*Inputs!$B$48*Inputs!$B$29</f>
        <v>432.514949619571</v>
      </c>
    </row>
    <row r="591" customFormat="false" ht="15" hidden="false" customHeight="false" outlineLevel="0" collapsed="false">
      <c r="A591" s="16" t="n">
        <v>590</v>
      </c>
      <c r="B591" s="16" t="n">
        <f aca="false">ROUNDUP(A591/12,0)</f>
        <v>50</v>
      </c>
      <c r="C591" s="10" t="n">
        <f aca="false">F590</f>
        <v>1.28693500300869E-010</v>
      </c>
      <c r="D591" s="10" t="n">
        <f aca="false">IF(AND(A591&lt;=Inputs!$B$9*12,C591&gt;0.000001),C591*Inputs!$B$10/12,0)</f>
        <v>0</v>
      </c>
      <c r="E591" s="10" t="n">
        <f aca="false">IF(AND(A591&lt;=Inputs!$B$9*12,C591&gt;0.000001),MIN(C591,Inputs!$B$41-D591),0)</f>
        <v>0</v>
      </c>
      <c r="F591" s="10" t="n">
        <f aca="false">C591-E591</f>
        <v>1.28693500300869E-010</v>
      </c>
      <c r="G591" s="10" t="n">
        <f aca="false">IF(AND(Inputs!$B$43=1,C591&gt;0.78*Inputs!$B$7,A591&lt;=Inputs!$B$9*6),Inputs!$B$16*Inputs!$B$39/12,0)</f>
        <v>0</v>
      </c>
      <c r="H591" s="10" t="n">
        <f aca="false">IF(B591=1,Inputs!$B$7,INDEX(Annual!$AC$2:$AC$51,B591-1))</f>
        <v>3416674.68571073</v>
      </c>
      <c r="I591" s="10" t="n">
        <f aca="false">Inputs!$B$12*IF(Inputs!$B$35="",H591,MIN(H591,Inputs!$B$7*(1+Inputs!$B$35)^(B591-1)))/12</f>
        <v>2562.50601428305</v>
      </c>
      <c r="J591" s="10" t="n">
        <f aca="false">Inputs!$B$13*Inputs!$B$7*(1+Inputs!$B$22)^(B591-1)/12</f>
        <v>806.160251289657</v>
      </c>
      <c r="K591" s="10" t="n">
        <f aca="false">Inputs!$B$14*Inputs!$B$7*(1+Inputs!$B$22)^(B591-1)/12</f>
        <v>1612.32050257931</v>
      </c>
      <c r="L591" s="10" t="n">
        <f aca="false">Inputs!$B$15*(1+Inputs!$B$22)^(B591-1)</f>
        <v>0</v>
      </c>
      <c r="M591" s="10" t="n">
        <f aca="false">INDEX(Annual!$N$2:$N$51,B591)/12</f>
        <v>0</v>
      </c>
      <c r="N591" s="10" t="n">
        <f aca="false">D591+E591+G591+I591+J591+K591+L591-M591</f>
        <v>4980.98676815202</v>
      </c>
      <c r="O591" s="10" t="n">
        <f aca="false">Inputs!$B$17*(1+Inputs!$B$18)^(B591-1)+Inputs!$B$19*(1+Inputs!$B$22)^(B591-1)</f>
        <v>13548.2050252023</v>
      </c>
      <c r="P591" s="10" t="n">
        <f aca="false">N591-O591</f>
        <v>-8567.21825705032</v>
      </c>
      <c r="Q591" s="10" t="n">
        <f aca="false">Q590*(1+Inputs!$B$42)-U591+MAX(P591,0)</f>
        <v>5401845.25813702</v>
      </c>
      <c r="R591" s="10" t="n">
        <f aca="false">R590+Q590*Inputs!$B$48-U591+MAX(P591,0)</f>
        <v>980162.585808651</v>
      </c>
      <c r="S591" s="10" t="n">
        <f aca="false">S590*(1+Inputs!$B$42)-V591+MAX(-P591,0)</f>
        <v>3197546.6130985</v>
      </c>
      <c r="T591" s="10" t="n">
        <f aca="false">T590+S590*Inputs!$B$48-V591+MAX(-P591,0)</f>
        <v>1768888.80186528</v>
      </c>
      <c r="U591" s="10" t="n">
        <f aca="false">Q590*Inputs!$B$48*Inputs!$B$29</f>
        <v>738.678694580608</v>
      </c>
      <c r="V591" s="10" t="n">
        <f aca="false">S590*Inputs!$B$48*Inputs!$B$29</f>
        <v>436.078973731718</v>
      </c>
    </row>
    <row r="592" customFormat="false" ht="15" hidden="false" customHeight="false" outlineLevel="0" collapsed="false">
      <c r="A592" s="16" t="n">
        <v>591</v>
      </c>
      <c r="B592" s="16" t="n">
        <f aca="false">ROUNDUP(A592/12,0)</f>
        <v>50</v>
      </c>
      <c r="C592" s="10" t="n">
        <f aca="false">F591</f>
        <v>1.28693500300869E-010</v>
      </c>
      <c r="D592" s="10" t="n">
        <f aca="false">IF(AND(A592&lt;=Inputs!$B$9*12,C592&gt;0.000001),C592*Inputs!$B$10/12,0)</f>
        <v>0</v>
      </c>
      <c r="E592" s="10" t="n">
        <f aca="false">IF(AND(A592&lt;=Inputs!$B$9*12,C592&gt;0.000001),MIN(C592,Inputs!$B$41-D592),0)</f>
        <v>0</v>
      </c>
      <c r="F592" s="10" t="n">
        <f aca="false">C592-E592</f>
        <v>1.28693500300869E-010</v>
      </c>
      <c r="G592" s="10" t="n">
        <f aca="false">IF(AND(Inputs!$B$43=1,C592&gt;0.78*Inputs!$B$7,A592&lt;=Inputs!$B$9*6),Inputs!$B$16*Inputs!$B$39/12,0)</f>
        <v>0</v>
      </c>
      <c r="H592" s="10" t="n">
        <f aca="false">IF(B592=1,Inputs!$B$7,INDEX(Annual!$AC$2:$AC$51,B592-1))</f>
        <v>3416674.68571073</v>
      </c>
      <c r="I592" s="10" t="n">
        <f aca="false">Inputs!$B$12*IF(Inputs!$B$35="",H592,MIN(H592,Inputs!$B$7*(1+Inputs!$B$35)^(B592-1)))/12</f>
        <v>2562.50601428305</v>
      </c>
      <c r="J592" s="10" t="n">
        <f aca="false">Inputs!$B$13*Inputs!$B$7*(1+Inputs!$B$22)^(B592-1)/12</f>
        <v>806.160251289657</v>
      </c>
      <c r="K592" s="10" t="n">
        <f aca="false">Inputs!$B$14*Inputs!$B$7*(1+Inputs!$B$22)^(B592-1)/12</f>
        <v>1612.32050257931</v>
      </c>
      <c r="L592" s="10" t="n">
        <f aca="false">Inputs!$B$15*(1+Inputs!$B$22)^(B592-1)</f>
        <v>0</v>
      </c>
      <c r="M592" s="10" t="n">
        <f aca="false">INDEX(Annual!$N$2:$N$51,B592)/12</f>
        <v>0</v>
      </c>
      <c r="N592" s="10" t="n">
        <f aca="false">D592+E592+G592+I592+J592+K592+L592-M592</f>
        <v>4980.98676815202</v>
      </c>
      <c r="O592" s="10" t="n">
        <f aca="false">Inputs!$B$17*(1+Inputs!$B$18)^(B592-1)+Inputs!$B$19*(1+Inputs!$B$22)^(B592-1)</f>
        <v>13548.2050252023</v>
      </c>
      <c r="P592" s="10" t="n">
        <f aca="false">N592-O592</f>
        <v>-8567.21825705032</v>
      </c>
      <c r="Q592" s="10" t="n">
        <f aca="false">Q591*(1+Inputs!$B$42)-U592+MAX(P592,0)</f>
        <v>5431645.3228638</v>
      </c>
      <c r="R592" s="10" t="n">
        <f aca="false">R591+Q591*Inputs!$B$48-U592+MAX(P592,0)</f>
        <v>984371.523572282</v>
      </c>
      <c r="S592" s="10" t="n">
        <f aca="false">S591*(1+Inputs!$B$42)-V592+MAX(-P592,0)</f>
        <v>3223753.56212971</v>
      </c>
      <c r="T592" s="10" t="n">
        <f aca="false">T591+S591*Inputs!$B$48-V592+MAX(-P592,0)</f>
        <v>1779947.44185837</v>
      </c>
      <c r="U592" s="10" t="n">
        <f aca="false">Q591*Inputs!$B$48*Inputs!$B$29</f>
        <v>742.753722993841</v>
      </c>
      <c r="V592" s="10" t="n">
        <f aca="false">S591*Inputs!$B$48*Inputs!$B$29</f>
        <v>439.662659301044</v>
      </c>
    </row>
    <row r="593" customFormat="false" ht="15" hidden="false" customHeight="false" outlineLevel="0" collapsed="false">
      <c r="A593" s="16" t="n">
        <v>592</v>
      </c>
      <c r="B593" s="16" t="n">
        <f aca="false">ROUNDUP(A593/12,0)</f>
        <v>50</v>
      </c>
      <c r="C593" s="10" t="n">
        <f aca="false">F592</f>
        <v>1.28693500300869E-010</v>
      </c>
      <c r="D593" s="10" t="n">
        <f aca="false">IF(AND(A593&lt;=Inputs!$B$9*12,C593&gt;0.000001),C593*Inputs!$B$10/12,0)</f>
        <v>0</v>
      </c>
      <c r="E593" s="10" t="n">
        <f aca="false">IF(AND(A593&lt;=Inputs!$B$9*12,C593&gt;0.000001),MIN(C593,Inputs!$B$41-D593),0)</f>
        <v>0</v>
      </c>
      <c r="F593" s="10" t="n">
        <f aca="false">C593-E593</f>
        <v>1.28693500300869E-010</v>
      </c>
      <c r="G593" s="10" t="n">
        <f aca="false">IF(AND(Inputs!$B$43=1,C593&gt;0.78*Inputs!$B$7,A593&lt;=Inputs!$B$9*6),Inputs!$B$16*Inputs!$B$39/12,0)</f>
        <v>0</v>
      </c>
      <c r="H593" s="10" t="n">
        <f aca="false">IF(B593=1,Inputs!$B$7,INDEX(Annual!$AC$2:$AC$51,B593-1))</f>
        <v>3416674.68571073</v>
      </c>
      <c r="I593" s="10" t="n">
        <f aca="false">Inputs!$B$12*IF(Inputs!$B$35="",H593,MIN(H593,Inputs!$B$7*(1+Inputs!$B$35)^(B593-1)))/12</f>
        <v>2562.50601428305</v>
      </c>
      <c r="J593" s="10" t="n">
        <f aca="false">Inputs!$B$13*Inputs!$B$7*(1+Inputs!$B$22)^(B593-1)/12</f>
        <v>806.160251289657</v>
      </c>
      <c r="K593" s="10" t="n">
        <f aca="false">Inputs!$B$14*Inputs!$B$7*(1+Inputs!$B$22)^(B593-1)/12</f>
        <v>1612.32050257931</v>
      </c>
      <c r="L593" s="10" t="n">
        <f aca="false">Inputs!$B$15*(1+Inputs!$B$22)^(B593-1)</f>
        <v>0</v>
      </c>
      <c r="M593" s="10" t="n">
        <f aca="false">INDEX(Annual!$N$2:$N$51,B593)/12</f>
        <v>0</v>
      </c>
      <c r="N593" s="10" t="n">
        <f aca="false">D593+E593+G593+I593+J593+K593+L593-M593</f>
        <v>4980.98676815202</v>
      </c>
      <c r="O593" s="10" t="n">
        <f aca="false">Inputs!$B$17*(1+Inputs!$B$18)^(B593-1)+Inputs!$B$19*(1+Inputs!$B$22)^(B593-1)</f>
        <v>13548.2050252023</v>
      </c>
      <c r="P593" s="10" t="n">
        <f aca="false">N593-O593</f>
        <v>-8567.21825705032</v>
      </c>
      <c r="Q593" s="10" t="n">
        <f aca="false">Q592*(1+Inputs!$B$42)-U593+MAX(P593,0)</f>
        <v>5461609.7839802</v>
      </c>
      <c r="R593" s="10" t="n">
        <f aca="false">R592+Q592*Inputs!$B$48-U593+MAX(P593,0)</f>
        <v>988603.680553014</v>
      </c>
      <c r="S593" s="10" t="n">
        <f aca="false">S592*(1+Inputs!$B$42)-V593+MAX(-P593,0)</f>
        <v>3250105.08560542</v>
      </c>
      <c r="T593" s="10" t="n">
        <f aca="false">T592+S592*Inputs!$B$48-V593+MAX(-P593,0)</f>
        <v>1791026.50143258</v>
      </c>
      <c r="U593" s="10" t="n">
        <f aca="false">Q592*Inputs!$B$48*Inputs!$B$29</f>
        <v>746.851231893773</v>
      </c>
      <c r="V593" s="10" t="n">
        <f aca="false">S592*Inputs!$B$48*Inputs!$B$29</f>
        <v>443.266114792836</v>
      </c>
    </row>
    <row r="594" customFormat="false" ht="15" hidden="false" customHeight="false" outlineLevel="0" collapsed="false">
      <c r="A594" s="16" t="n">
        <v>593</v>
      </c>
      <c r="B594" s="16" t="n">
        <f aca="false">ROUNDUP(A594/12,0)</f>
        <v>50</v>
      </c>
      <c r="C594" s="10" t="n">
        <f aca="false">F593</f>
        <v>1.28693500300869E-010</v>
      </c>
      <c r="D594" s="10" t="n">
        <f aca="false">IF(AND(A594&lt;=Inputs!$B$9*12,C594&gt;0.000001),C594*Inputs!$B$10/12,0)</f>
        <v>0</v>
      </c>
      <c r="E594" s="10" t="n">
        <f aca="false">IF(AND(A594&lt;=Inputs!$B$9*12,C594&gt;0.000001),MIN(C594,Inputs!$B$41-D594),0)</f>
        <v>0</v>
      </c>
      <c r="F594" s="10" t="n">
        <f aca="false">C594-E594</f>
        <v>1.28693500300869E-010</v>
      </c>
      <c r="G594" s="10" t="n">
        <f aca="false">IF(AND(Inputs!$B$43=1,C594&gt;0.78*Inputs!$B$7,A594&lt;=Inputs!$B$9*6),Inputs!$B$16*Inputs!$B$39/12,0)</f>
        <v>0</v>
      </c>
      <c r="H594" s="10" t="n">
        <f aca="false">IF(B594=1,Inputs!$B$7,INDEX(Annual!$AC$2:$AC$51,B594-1))</f>
        <v>3416674.68571073</v>
      </c>
      <c r="I594" s="10" t="n">
        <f aca="false">Inputs!$B$12*IF(Inputs!$B$35="",H594,MIN(H594,Inputs!$B$7*(1+Inputs!$B$35)^(B594-1)))/12</f>
        <v>2562.50601428305</v>
      </c>
      <c r="J594" s="10" t="n">
        <f aca="false">Inputs!$B$13*Inputs!$B$7*(1+Inputs!$B$22)^(B594-1)/12</f>
        <v>806.160251289657</v>
      </c>
      <c r="K594" s="10" t="n">
        <f aca="false">Inputs!$B$14*Inputs!$B$7*(1+Inputs!$B$22)^(B594-1)/12</f>
        <v>1612.32050257931</v>
      </c>
      <c r="L594" s="10" t="n">
        <f aca="false">Inputs!$B$15*(1+Inputs!$B$22)^(B594-1)</f>
        <v>0</v>
      </c>
      <c r="M594" s="10" t="n">
        <f aca="false">INDEX(Annual!$N$2:$N$51,B594)/12</f>
        <v>0</v>
      </c>
      <c r="N594" s="10" t="n">
        <f aca="false">D594+E594+G594+I594+J594+K594+L594-M594</f>
        <v>4980.98676815202</v>
      </c>
      <c r="O594" s="10" t="n">
        <f aca="false">Inputs!$B$17*(1+Inputs!$B$18)^(B594-1)+Inputs!$B$19*(1+Inputs!$B$22)^(B594-1)</f>
        <v>13548.2050252023</v>
      </c>
      <c r="P594" s="10" t="n">
        <f aca="false">N594-O594</f>
        <v>-8567.21825705032</v>
      </c>
      <c r="Q594" s="10" t="n">
        <f aca="false">Q593*(1+Inputs!$B$42)-U594+MAX(P594,0)</f>
        <v>5491739.5484028</v>
      </c>
      <c r="R594" s="10" t="n">
        <f aca="false">R593+Q593*Inputs!$B$48-U594+MAX(P594,0)</f>
        <v>992859.184843032</v>
      </c>
      <c r="S594" s="10" t="n">
        <f aca="false">S593*(1+Inputs!$B$42)-V594+MAX(-P594,0)</f>
        <v>3276601.98109156</v>
      </c>
      <c r="T594" s="10" t="n">
        <f aca="false">T593+S593*Inputs!$B$48-V594+MAX(-P594,0)</f>
        <v>1802126.09323549</v>
      </c>
      <c r="U594" s="10" t="n">
        <f aca="false">Q593*Inputs!$B$48*Inputs!$B$29</f>
        <v>750.971345297278</v>
      </c>
      <c r="V594" s="10" t="n">
        <f aca="false">S593*Inputs!$B$48*Inputs!$B$29</f>
        <v>446.889449270745</v>
      </c>
    </row>
    <row r="595" customFormat="false" ht="15" hidden="false" customHeight="false" outlineLevel="0" collapsed="false">
      <c r="A595" s="16" t="n">
        <v>594</v>
      </c>
      <c r="B595" s="16" t="n">
        <f aca="false">ROUNDUP(A595/12,0)</f>
        <v>50</v>
      </c>
      <c r="C595" s="10" t="n">
        <f aca="false">F594</f>
        <v>1.28693500300869E-010</v>
      </c>
      <c r="D595" s="10" t="n">
        <f aca="false">IF(AND(A595&lt;=Inputs!$B$9*12,C595&gt;0.000001),C595*Inputs!$B$10/12,0)</f>
        <v>0</v>
      </c>
      <c r="E595" s="10" t="n">
        <f aca="false">IF(AND(A595&lt;=Inputs!$B$9*12,C595&gt;0.000001),MIN(C595,Inputs!$B$41-D595),0)</f>
        <v>0</v>
      </c>
      <c r="F595" s="10" t="n">
        <f aca="false">C595-E595</f>
        <v>1.28693500300869E-010</v>
      </c>
      <c r="G595" s="10" t="n">
        <f aca="false">IF(AND(Inputs!$B$43=1,C595&gt;0.78*Inputs!$B$7,A595&lt;=Inputs!$B$9*6),Inputs!$B$16*Inputs!$B$39/12,0)</f>
        <v>0</v>
      </c>
      <c r="H595" s="10" t="n">
        <f aca="false">IF(B595=1,Inputs!$B$7,INDEX(Annual!$AC$2:$AC$51,B595-1))</f>
        <v>3416674.68571073</v>
      </c>
      <c r="I595" s="10" t="n">
        <f aca="false">Inputs!$B$12*IF(Inputs!$B$35="",H595,MIN(H595,Inputs!$B$7*(1+Inputs!$B$35)^(B595-1)))/12</f>
        <v>2562.50601428305</v>
      </c>
      <c r="J595" s="10" t="n">
        <f aca="false">Inputs!$B$13*Inputs!$B$7*(1+Inputs!$B$22)^(B595-1)/12</f>
        <v>806.160251289657</v>
      </c>
      <c r="K595" s="10" t="n">
        <f aca="false">Inputs!$B$14*Inputs!$B$7*(1+Inputs!$B$22)^(B595-1)/12</f>
        <v>1612.32050257931</v>
      </c>
      <c r="L595" s="10" t="n">
        <f aca="false">Inputs!$B$15*(1+Inputs!$B$22)^(B595-1)</f>
        <v>0</v>
      </c>
      <c r="M595" s="10" t="n">
        <f aca="false">INDEX(Annual!$N$2:$N$51,B595)/12</f>
        <v>0</v>
      </c>
      <c r="N595" s="10" t="n">
        <f aca="false">D595+E595+G595+I595+J595+K595+L595-M595</f>
        <v>4980.98676815202</v>
      </c>
      <c r="O595" s="10" t="n">
        <f aca="false">Inputs!$B$17*(1+Inputs!$B$18)^(B595-1)+Inputs!$B$19*(1+Inputs!$B$22)^(B595-1)</f>
        <v>13548.2050252023</v>
      </c>
      <c r="P595" s="10" t="n">
        <f aca="false">N595-O595</f>
        <v>-8567.21825705032</v>
      </c>
      <c r="Q595" s="10" t="n">
        <f aca="false">Q594*(1+Inputs!$B$42)-U595+MAX(P595,0)</f>
        <v>5522035.52805133</v>
      </c>
      <c r="R595" s="10" t="n">
        <f aca="false">R594+Q594*Inputs!$B$48-U595+MAX(P595,0)</f>
        <v>997138.165241162</v>
      </c>
      <c r="S595" s="10" t="n">
        <f aca="false">S594*(1+Inputs!$B$42)-V595+MAX(-P595,0)</f>
        <v>3303245.05055396</v>
      </c>
      <c r="T595" s="10" t="n">
        <f aca="false">T594+S594*Inputs!$B$48-V595+MAX(-P595,0)</f>
        <v>1813246.33053615</v>
      </c>
      <c r="U595" s="10" t="n">
        <f aca="false">Q594*Inputs!$B$48*Inputs!$B$29</f>
        <v>755.114187905385</v>
      </c>
      <c r="V595" s="10" t="n">
        <f aca="false">S594*Inputs!$B$48*Inputs!$B$29</f>
        <v>450.532772400089</v>
      </c>
    </row>
    <row r="596" customFormat="false" ht="15" hidden="false" customHeight="false" outlineLevel="0" collapsed="false">
      <c r="A596" s="16" t="n">
        <v>595</v>
      </c>
      <c r="B596" s="16" t="n">
        <f aca="false">ROUNDUP(A596/12,0)</f>
        <v>50</v>
      </c>
      <c r="C596" s="10" t="n">
        <f aca="false">F595</f>
        <v>1.28693500300869E-010</v>
      </c>
      <c r="D596" s="10" t="n">
        <f aca="false">IF(AND(A596&lt;=Inputs!$B$9*12,C596&gt;0.000001),C596*Inputs!$B$10/12,0)</f>
        <v>0</v>
      </c>
      <c r="E596" s="10" t="n">
        <f aca="false">IF(AND(A596&lt;=Inputs!$B$9*12,C596&gt;0.000001),MIN(C596,Inputs!$B$41-D596),0)</f>
        <v>0</v>
      </c>
      <c r="F596" s="10" t="n">
        <f aca="false">C596-E596</f>
        <v>1.28693500300869E-010</v>
      </c>
      <c r="G596" s="10" t="n">
        <f aca="false">IF(AND(Inputs!$B$43=1,C596&gt;0.78*Inputs!$B$7,A596&lt;=Inputs!$B$9*6),Inputs!$B$16*Inputs!$B$39/12,0)</f>
        <v>0</v>
      </c>
      <c r="H596" s="10" t="n">
        <f aca="false">IF(B596=1,Inputs!$B$7,INDEX(Annual!$AC$2:$AC$51,B596-1))</f>
        <v>3416674.68571073</v>
      </c>
      <c r="I596" s="10" t="n">
        <f aca="false">Inputs!$B$12*IF(Inputs!$B$35="",H596,MIN(H596,Inputs!$B$7*(1+Inputs!$B$35)^(B596-1)))/12</f>
        <v>2562.50601428305</v>
      </c>
      <c r="J596" s="10" t="n">
        <f aca="false">Inputs!$B$13*Inputs!$B$7*(1+Inputs!$B$22)^(B596-1)/12</f>
        <v>806.160251289657</v>
      </c>
      <c r="K596" s="10" t="n">
        <f aca="false">Inputs!$B$14*Inputs!$B$7*(1+Inputs!$B$22)^(B596-1)/12</f>
        <v>1612.32050257931</v>
      </c>
      <c r="L596" s="10" t="n">
        <f aca="false">Inputs!$B$15*(1+Inputs!$B$22)^(B596-1)</f>
        <v>0</v>
      </c>
      <c r="M596" s="10" t="n">
        <f aca="false">INDEX(Annual!$N$2:$N$51,B596)/12</f>
        <v>0</v>
      </c>
      <c r="N596" s="10" t="n">
        <f aca="false">D596+E596+G596+I596+J596+K596+L596-M596</f>
        <v>4980.98676815202</v>
      </c>
      <c r="O596" s="10" t="n">
        <f aca="false">Inputs!$B$17*(1+Inputs!$B$18)^(B596-1)+Inputs!$B$19*(1+Inputs!$B$22)^(B596-1)</f>
        <v>13548.2050252023</v>
      </c>
      <c r="P596" s="10" t="n">
        <f aca="false">N596-O596</f>
        <v>-8567.21825705032</v>
      </c>
      <c r="Q596" s="10" t="n">
        <f aca="false">Q595*(1+Inputs!$B$42)-U596+MAX(P596,0)</f>
        <v>5552498.63987624</v>
      </c>
      <c r="R596" s="10" t="n">
        <f aca="false">R595+Q595*Inputs!$B$48-U596+MAX(P596,0)</f>
        <v>1001440.75125677</v>
      </c>
      <c r="S596" s="10" t="n">
        <f aca="false">S595*(1+Inputs!$B$42)-V596+MAX(-P596,0)</f>
        <v>3330035.10038262</v>
      </c>
      <c r="T596" s="10" t="n">
        <f aca="false">T595+S595*Inputs!$B$48-V596+MAX(-P596,0)</f>
        <v>1824387.32722842</v>
      </c>
      <c r="U596" s="10" t="n">
        <f aca="false">Q595*Inputs!$B$48*Inputs!$B$29</f>
        <v>759.279885107058</v>
      </c>
      <c r="V596" s="10" t="n">
        <f aca="false">S595*Inputs!$B$48*Inputs!$B$29</f>
        <v>454.196194451169</v>
      </c>
    </row>
    <row r="597" customFormat="false" ht="15" hidden="false" customHeight="false" outlineLevel="0" collapsed="false">
      <c r="A597" s="16" t="n">
        <v>596</v>
      </c>
      <c r="B597" s="16" t="n">
        <f aca="false">ROUNDUP(A597/12,0)</f>
        <v>50</v>
      </c>
      <c r="C597" s="10" t="n">
        <f aca="false">F596</f>
        <v>1.28693500300869E-010</v>
      </c>
      <c r="D597" s="10" t="n">
        <f aca="false">IF(AND(A597&lt;=Inputs!$B$9*12,C597&gt;0.000001),C597*Inputs!$B$10/12,0)</f>
        <v>0</v>
      </c>
      <c r="E597" s="10" t="n">
        <f aca="false">IF(AND(A597&lt;=Inputs!$B$9*12,C597&gt;0.000001),MIN(C597,Inputs!$B$41-D597),0)</f>
        <v>0</v>
      </c>
      <c r="F597" s="10" t="n">
        <f aca="false">C597-E597</f>
        <v>1.28693500300869E-010</v>
      </c>
      <c r="G597" s="10" t="n">
        <f aca="false">IF(AND(Inputs!$B$43=1,C597&gt;0.78*Inputs!$B$7,A597&lt;=Inputs!$B$9*6),Inputs!$B$16*Inputs!$B$39/12,0)</f>
        <v>0</v>
      </c>
      <c r="H597" s="10" t="n">
        <f aca="false">IF(B597=1,Inputs!$B$7,INDEX(Annual!$AC$2:$AC$51,B597-1))</f>
        <v>3416674.68571073</v>
      </c>
      <c r="I597" s="10" t="n">
        <f aca="false">Inputs!$B$12*IF(Inputs!$B$35="",H597,MIN(H597,Inputs!$B$7*(1+Inputs!$B$35)^(B597-1)))/12</f>
        <v>2562.50601428305</v>
      </c>
      <c r="J597" s="10" t="n">
        <f aca="false">Inputs!$B$13*Inputs!$B$7*(1+Inputs!$B$22)^(B597-1)/12</f>
        <v>806.160251289657</v>
      </c>
      <c r="K597" s="10" t="n">
        <f aca="false">Inputs!$B$14*Inputs!$B$7*(1+Inputs!$B$22)^(B597-1)/12</f>
        <v>1612.32050257931</v>
      </c>
      <c r="L597" s="10" t="n">
        <f aca="false">Inputs!$B$15*(1+Inputs!$B$22)^(B597-1)</f>
        <v>0</v>
      </c>
      <c r="M597" s="10" t="n">
        <f aca="false">INDEX(Annual!$N$2:$N$51,B597)/12</f>
        <v>0</v>
      </c>
      <c r="N597" s="10" t="n">
        <f aca="false">D597+E597+G597+I597+J597+K597+L597-M597</f>
        <v>4980.98676815202</v>
      </c>
      <c r="O597" s="10" t="n">
        <f aca="false">Inputs!$B$17*(1+Inputs!$B$18)^(B597-1)+Inputs!$B$19*(1+Inputs!$B$22)^(B597-1)</f>
        <v>13548.2050252023</v>
      </c>
      <c r="P597" s="10" t="n">
        <f aca="false">N597-O597</f>
        <v>-8567.21825705032</v>
      </c>
      <c r="Q597" s="10" t="n">
        <f aca="false">Q596*(1+Inputs!$B$42)-U597+MAX(P597,0)</f>
        <v>5583129.80588649</v>
      </c>
      <c r="R597" s="10" t="n">
        <f aca="false">R596+Q596*Inputs!$B$48-U597+MAX(P597,0)</f>
        <v>1005767.07311367</v>
      </c>
      <c r="S597" s="10" t="n">
        <f aca="false">S596*(1+Inputs!$B$42)-V597+MAX(-P597,0)</f>
        <v>3356972.94141609</v>
      </c>
      <c r="T597" s="10" t="n">
        <f aca="false">T596+S596*Inputs!$B$48-V597+MAX(-P597,0)</f>
        <v>1835549.19783452</v>
      </c>
      <c r="U597" s="10" t="n">
        <f aca="false">Q596*Inputs!$B$48*Inputs!$B$29</f>
        <v>763.468562982983</v>
      </c>
      <c r="V597" s="10" t="n">
        <f aca="false">S596*Inputs!$B$48*Inputs!$B$29</f>
        <v>457.87982630261</v>
      </c>
    </row>
    <row r="598" customFormat="false" ht="15" hidden="false" customHeight="false" outlineLevel="0" collapsed="false">
      <c r="A598" s="16" t="n">
        <v>597</v>
      </c>
      <c r="B598" s="16" t="n">
        <f aca="false">ROUNDUP(A598/12,0)</f>
        <v>50</v>
      </c>
      <c r="C598" s="10" t="n">
        <f aca="false">F597</f>
        <v>1.28693500300869E-010</v>
      </c>
      <c r="D598" s="10" t="n">
        <f aca="false">IF(AND(A598&lt;=Inputs!$B$9*12,C598&gt;0.000001),C598*Inputs!$B$10/12,0)</f>
        <v>0</v>
      </c>
      <c r="E598" s="10" t="n">
        <f aca="false">IF(AND(A598&lt;=Inputs!$B$9*12,C598&gt;0.000001),MIN(C598,Inputs!$B$41-D598),0)</f>
        <v>0</v>
      </c>
      <c r="F598" s="10" t="n">
        <f aca="false">C598-E598</f>
        <v>1.28693500300869E-010</v>
      </c>
      <c r="G598" s="10" t="n">
        <f aca="false">IF(AND(Inputs!$B$43=1,C598&gt;0.78*Inputs!$B$7,A598&lt;=Inputs!$B$9*6),Inputs!$B$16*Inputs!$B$39/12,0)</f>
        <v>0</v>
      </c>
      <c r="H598" s="10" t="n">
        <f aca="false">IF(B598=1,Inputs!$B$7,INDEX(Annual!$AC$2:$AC$51,B598-1))</f>
        <v>3416674.68571073</v>
      </c>
      <c r="I598" s="10" t="n">
        <f aca="false">Inputs!$B$12*IF(Inputs!$B$35="",H598,MIN(H598,Inputs!$B$7*(1+Inputs!$B$35)^(B598-1)))/12</f>
        <v>2562.50601428305</v>
      </c>
      <c r="J598" s="10" t="n">
        <f aca="false">Inputs!$B$13*Inputs!$B$7*(1+Inputs!$B$22)^(B598-1)/12</f>
        <v>806.160251289657</v>
      </c>
      <c r="K598" s="10" t="n">
        <f aca="false">Inputs!$B$14*Inputs!$B$7*(1+Inputs!$B$22)^(B598-1)/12</f>
        <v>1612.32050257931</v>
      </c>
      <c r="L598" s="10" t="n">
        <f aca="false">Inputs!$B$15*(1+Inputs!$B$22)^(B598-1)</f>
        <v>0</v>
      </c>
      <c r="M598" s="10" t="n">
        <f aca="false">INDEX(Annual!$N$2:$N$51,B598)/12</f>
        <v>0</v>
      </c>
      <c r="N598" s="10" t="n">
        <f aca="false">D598+E598+G598+I598+J598+K598+L598-M598</f>
        <v>4980.98676815202</v>
      </c>
      <c r="O598" s="10" t="n">
        <f aca="false">Inputs!$B$17*(1+Inputs!$B$18)^(B598-1)+Inputs!$B$19*(1+Inputs!$B$22)^(B598-1)</f>
        <v>13548.2050252023</v>
      </c>
      <c r="P598" s="10" t="n">
        <f aca="false">N598-O598</f>
        <v>-8567.21825705032</v>
      </c>
      <c r="Q598" s="10" t="n">
        <f aca="false">Q597*(1+Inputs!$B$42)-U598+MAX(P598,0)</f>
        <v>5613929.95317742</v>
      </c>
      <c r="R598" s="10" t="n">
        <f aca="false">R597+Q597*Inputs!$B$48-U598+MAX(P598,0)</f>
        <v>1010117.26175409</v>
      </c>
      <c r="S598" s="10" t="n">
        <f aca="false">S597*(1+Inputs!$B$42)-V598+MAX(-P598,0)</f>
        <v>3384059.38896605</v>
      </c>
      <c r="T598" s="10" t="n">
        <f aca="false">T597+S597*Inputs!$B$48-V598+MAX(-P598,0)</f>
        <v>1846732.05750842</v>
      </c>
      <c r="U598" s="10" t="n">
        <f aca="false">Q597*Inputs!$B$48*Inputs!$B$29</f>
        <v>767.680348309393</v>
      </c>
      <c r="V598" s="10" t="n">
        <f aca="false">S597*Inputs!$B$48*Inputs!$B$29</f>
        <v>461.583779444712</v>
      </c>
    </row>
    <row r="599" customFormat="false" ht="15" hidden="false" customHeight="false" outlineLevel="0" collapsed="false">
      <c r="A599" s="16" t="n">
        <v>598</v>
      </c>
      <c r="B599" s="16" t="n">
        <f aca="false">ROUNDUP(A599/12,0)</f>
        <v>50</v>
      </c>
      <c r="C599" s="10" t="n">
        <f aca="false">F598</f>
        <v>1.28693500300869E-010</v>
      </c>
      <c r="D599" s="10" t="n">
        <f aca="false">IF(AND(A599&lt;=Inputs!$B$9*12,C599&gt;0.000001),C599*Inputs!$B$10/12,0)</f>
        <v>0</v>
      </c>
      <c r="E599" s="10" t="n">
        <f aca="false">IF(AND(A599&lt;=Inputs!$B$9*12,C599&gt;0.000001),MIN(C599,Inputs!$B$41-D599),0)</f>
        <v>0</v>
      </c>
      <c r="F599" s="10" t="n">
        <f aca="false">C599-E599</f>
        <v>1.28693500300869E-010</v>
      </c>
      <c r="G599" s="10" t="n">
        <f aca="false">IF(AND(Inputs!$B$43=1,C599&gt;0.78*Inputs!$B$7,A599&lt;=Inputs!$B$9*6),Inputs!$B$16*Inputs!$B$39/12,0)</f>
        <v>0</v>
      </c>
      <c r="H599" s="10" t="n">
        <f aca="false">IF(B599=1,Inputs!$B$7,INDEX(Annual!$AC$2:$AC$51,B599-1))</f>
        <v>3416674.68571073</v>
      </c>
      <c r="I599" s="10" t="n">
        <f aca="false">Inputs!$B$12*IF(Inputs!$B$35="",H599,MIN(H599,Inputs!$B$7*(1+Inputs!$B$35)^(B599-1)))/12</f>
        <v>2562.50601428305</v>
      </c>
      <c r="J599" s="10" t="n">
        <f aca="false">Inputs!$B$13*Inputs!$B$7*(1+Inputs!$B$22)^(B599-1)/12</f>
        <v>806.160251289657</v>
      </c>
      <c r="K599" s="10" t="n">
        <f aca="false">Inputs!$B$14*Inputs!$B$7*(1+Inputs!$B$22)^(B599-1)/12</f>
        <v>1612.32050257931</v>
      </c>
      <c r="L599" s="10" t="n">
        <f aca="false">Inputs!$B$15*(1+Inputs!$B$22)^(B599-1)</f>
        <v>0</v>
      </c>
      <c r="M599" s="10" t="n">
        <f aca="false">INDEX(Annual!$N$2:$N$51,B599)/12</f>
        <v>0</v>
      </c>
      <c r="N599" s="10" t="n">
        <f aca="false">D599+E599+G599+I599+J599+K599+L599-M599</f>
        <v>4980.98676815202</v>
      </c>
      <c r="O599" s="10" t="n">
        <f aca="false">Inputs!$B$17*(1+Inputs!$B$18)^(B599-1)+Inputs!$B$19*(1+Inputs!$B$22)^(B599-1)</f>
        <v>13548.2050252023</v>
      </c>
      <c r="P599" s="10" t="n">
        <f aca="false">N599-O599</f>
        <v>-8567.21825705032</v>
      </c>
      <c r="Q599" s="10" t="n">
        <f aca="false">Q598*(1+Inputs!$B$42)-U599+MAX(P599,0)</f>
        <v>5644900.01395883</v>
      </c>
      <c r="R599" s="10" t="n">
        <f aca="false">R598+Q598*Inputs!$B$48-U599+MAX(P599,0)</f>
        <v>1014491.44884261</v>
      </c>
      <c r="S599" s="10" t="n">
        <f aca="false">S598*(1+Inputs!$B$42)-V599+MAX(-P599,0)</f>
        <v>3411295.26284194</v>
      </c>
      <c r="T599" s="10" t="n">
        <f aca="false">T598+S598*Inputs!$B$48-V599+MAX(-P599,0)</f>
        <v>1857936.02203937</v>
      </c>
      <c r="U599" s="10" t="n">
        <f aca="false">Q598*Inputs!$B$48*Inputs!$B$29</f>
        <v>771.915368561895</v>
      </c>
      <c r="V599" s="10" t="n">
        <f aca="false">S598*Inputs!$B$48*Inputs!$B$29</f>
        <v>465.308165982832</v>
      </c>
    </row>
    <row r="600" customFormat="false" ht="15" hidden="false" customHeight="false" outlineLevel="0" collapsed="false">
      <c r="A600" s="16" t="n">
        <v>599</v>
      </c>
      <c r="B600" s="16" t="n">
        <f aca="false">ROUNDUP(A600/12,0)</f>
        <v>50</v>
      </c>
      <c r="C600" s="10" t="n">
        <f aca="false">F599</f>
        <v>1.28693500300869E-010</v>
      </c>
      <c r="D600" s="10" t="n">
        <f aca="false">IF(AND(A600&lt;=Inputs!$B$9*12,C600&gt;0.000001),C600*Inputs!$B$10/12,0)</f>
        <v>0</v>
      </c>
      <c r="E600" s="10" t="n">
        <f aca="false">IF(AND(A600&lt;=Inputs!$B$9*12,C600&gt;0.000001),MIN(C600,Inputs!$B$41-D600),0)</f>
        <v>0</v>
      </c>
      <c r="F600" s="10" t="n">
        <f aca="false">C600-E600</f>
        <v>1.28693500300869E-010</v>
      </c>
      <c r="G600" s="10" t="n">
        <f aca="false">IF(AND(Inputs!$B$43=1,C600&gt;0.78*Inputs!$B$7,A600&lt;=Inputs!$B$9*6),Inputs!$B$16*Inputs!$B$39/12,0)</f>
        <v>0</v>
      </c>
      <c r="H600" s="10" t="n">
        <f aca="false">IF(B600=1,Inputs!$B$7,INDEX(Annual!$AC$2:$AC$51,B600-1))</f>
        <v>3416674.68571073</v>
      </c>
      <c r="I600" s="10" t="n">
        <f aca="false">Inputs!$B$12*IF(Inputs!$B$35="",H600,MIN(H600,Inputs!$B$7*(1+Inputs!$B$35)^(B600-1)))/12</f>
        <v>2562.50601428305</v>
      </c>
      <c r="J600" s="10" t="n">
        <f aca="false">Inputs!$B$13*Inputs!$B$7*(1+Inputs!$B$22)^(B600-1)/12</f>
        <v>806.160251289657</v>
      </c>
      <c r="K600" s="10" t="n">
        <f aca="false">Inputs!$B$14*Inputs!$B$7*(1+Inputs!$B$22)^(B600-1)/12</f>
        <v>1612.32050257931</v>
      </c>
      <c r="L600" s="10" t="n">
        <f aca="false">Inputs!$B$15*(1+Inputs!$B$22)^(B600-1)</f>
        <v>0</v>
      </c>
      <c r="M600" s="10" t="n">
        <f aca="false">INDEX(Annual!$N$2:$N$51,B600)/12</f>
        <v>0</v>
      </c>
      <c r="N600" s="10" t="n">
        <f aca="false">D600+E600+G600+I600+J600+K600+L600-M600</f>
        <v>4980.98676815202</v>
      </c>
      <c r="O600" s="10" t="n">
        <f aca="false">Inputs!$B$17*(1+Inputs!$B$18)^(B600-1)+Inputs!$B$19*(1+Inputs!$B$22)^(B600-1)</f>
        <v>13548.2050252023</v>
      </c>
      <c r="P600" s="10" t="n">
        <f aca="false">N600-O600</f>
        <v>-8567.21825705032</v>
      </c>
      <c r="Q600" s="10" t="n">
        <f aca="false">Q599*(1+Inputs!$B$42)-U600+MAX(P600,0)</f>
        <v>5676040.9255832</v>
      </c>
      <c r="R600" s="10" t="n">
        <f aca="false">R599+Q599*Inputs!$B$48-U600+MAX(P600,0)</f>
        <v>1018889.76677015</v>
      </c>
      <c r="S600" s="10" t="n">
        <f aca="false">S599*(1+Inputs!$B$42)-V600+MAX(-P600,0)</f>
        <v>3438681.38737583</v>
      </c>
      <c r="T600" s="10" t="n">
        <f aca="false">T599+S599*Inputs!$B$48-V600+MAX(-P600,0)</f>
        <v>1869161.20785539</v>
      </c>
      <c r="U600" s="10" t="n">
        <f aca="false">Q599*Inputs!$B$48*Inputs!$B$29</f>
        <v>776.173751919339</v>
      </c>
      <c r="V600" s="10" t="n">
        <f aca="false">S599*Inputs!$B$48*Inputs!$B$29</f>
        <v>469.053098640767</v>
      </c>
    </row>
    <row r="601" customFormat="false" ht="15" hidden="false" customHeight="false" outlineLevel="0" collapsed="false">
      <c r="A601" s="16" t="n">
        <v>600</v>
      </c>
      <c r="B601" s="16" t="n">
        <f aca="false">ROUNDUP(A601/12,0)</f>
        <v>50</v>
      </c>
      <c r="C601" s="10" t="n">
        <f aca="false">F600</f>
        <v>1.28693500300869E-010</v>
      </c>
      <c r="D601" s="10" t="n">
        <f aca="false">IF(AND(A601&lt;=Inputs!$B$9*12,C601&gt;0.000001),C601*Inputs!$B$10/12,0)</f>
        <v>0</v>
      </c>
      <c r="E601" s="10" t="n">
        <f aca="false">IF(AND(A601&lt;=Inputs!$B$9*12,C601&gt;0.000001),MIN(C601,Inputs!$B$41-D601),0)</f>
        <v>0</v>
      </c>
      <c r="F601" s="10" t="n">
        <f aca="false">C601-E601</f>
        <v>1.28693500300869E-010</v>
      </c>
      <c r="G601" s="10" t="n">
        <f aca="false">IF(AND(Inputs!$B$43=1,C601&gt;0.78*Inputs!$B$7,A601&lt;=Inputs!$B$9*6),Inputs!$B$16*Inputs!$B$39/12,0)</f>
        <v>0</v>
      </c>
      <c r="H601" s="10" t="n">
        <f aca="false">IF(B601=1,Inputs!$B$7,INDEX(Annual!$AC$2:$AC$51,B601-1))</f>
        <v>3416674.68571073</v>
      </c>
      <c r="I601" s="10" t="n">
        <f aca="false">Inputs!$B$12*IF(Inputs!$B$35="",H601,MIN(H601,Inputs!$B$7*(1+Inputs!$B$35)^(B601-1)))/12</f>
        <v>2562.50601428305</v>
      </c>
      <c r="J601" s="10" t="n">
        <f aca="false">Inputs!$B$13*Inputs!$B$7*(1+Inputs!$B$22)^(B601-1)/12</f>
        <v>806.160251289657</v>
      </c>
      <c r="K601" s="10" t="n">
        <f aca="false">Inputs!$B$14*Inputs!$B$7*(1+Inputs!$B$22)^(B601-1)/12</f>
        <v>1612.32050257931</v>
      </c>
      <c r="L601" s="10" t="n">
        <f aca="false">Inputs!$B$15*(1+Inputs!$B$22)^(B601-1)</f>
        <v>0</v>
      </c>
      <c r="M601" s="10" t="n">
        <f aca="false">INDEX(Annual!$N$2:$N$51,B601)/12</f>
        <v>0</v>
      </c>
      <c r="N601" s="10" t="n">
        <f aca="false">D601+E601+G601+I601+J601+K601+L601-M601</f>
        <v>4980.98676815202</v>
      </c>
      <c r="O601" s="10" t="n">
        <f aca="false">Inputs!$B$17*(1+Inputs!$B$18)^(B601-1)+Inputs!$B$19*(1+Inputs!$B$22)^(B601-1)</f>
        <v>13548.2050252023</v>
      </c>
      <c r="P601" s="10" t="n">
        <f aca="false">N601-O601</f>
        <v>-8567.21825705032</v>
      </c>
      <c r="Q601" s="10" t="n">
        <f aca="false">Q600*(1+Inputs!$B$42)-U601+MAX(P601,0)</f>
        <v>5707353.63057404</v>
      </c>
      <c r="R601" s="10" t="n">
        <f aca="false">R600+Q600*Inputs!$B$48-U601+MAX(P601,0)</f>
        <v>1023312.348658</v>
      </c>
      <c r="S601" s="10" t="n">
        <f aca="false">S600*(1+Inputs!$B$42)-V601+MAX(-P601,0)</f>
        <v>3466218.5914473</v>
      </c>
      <c r="T601" s="10" t="n">
        <f aca="false">T600+S600*Inputs!$B$48-V601+MAX(-P601,0)</f>
        <v>1880407.73202677</v>
      </c>
      <c r="U601" s="10" t="n">
        <f aca="false">Q600*Inputs!$B$48*Inputs!$B$29</f>
        <v>780.45562726769</v>
      </c>
      <c r="V601" s="10" t="n">
        <f aca="false">S600*Inputs!$B$48*Inputs!$B$29</f>
        <v>472.818690764176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2" min="1" style="0" width="14"/>
    <col collapsed="false" customWidth="true" hidden="false" outlineLevel="0" max="13" min="13" style="0" width="2"/>
    <col collapsed="false" customWidth="true" hidden="false" outlineLevel="0" max="29" min="14" style="0" width="14"/>
  </cols>
  <sheetData>
    <row r="1" customFormat="false" ht="39.55" hidden="false" customHeight="false" outlineLevel="0" collapsed="false">
      <c r="A1" s="35" t="s">
        <v>152</v>
      </c>
      <c r="B1" s="35" t="s">
        <v>171</v>
      </c>
      <c r="C1" s="35" t="s">
        <v>154</v>
      </c>
      <c r="D1" s="35" t="s">
        <v>155</v>
      </c>
      <c r="E1" s="35" t="s">
        <v>172</v>
      </c>
      <c r="F1" s="35" t="s">
        <v>173</v>
      </c>
      <c r="G1" s="35" t="s">
        <v>33</v>
      </c>
      <c r="H1" s="35" t="s">
        <v>174</v>
      </c>
      <c r="I1" s="35" t="s">
        <v>175</v>
      </c>
      <c r="J1" s="35" t="s">
        <v>176</v>
      </c>
      <c r="K1" s="35" t="s">
        <v>177</v>
      </c>
      <c r="L1" s="35" t="s">
        <v>178</v>
      </c>
      <c r="M1" s="35"/>
      <c r="N1" s="35" t="s">
        <v>161</v>
      </c>
      <c r="O1" s="35" t="s">
        <v>162</v>
      </c>
      <c r="P1" s="35" t="s">
        <v>163</v>
      </c>
      <c r="Q1" s="35" t="s">
        <v>179</v>
      </c>
      <c r="R1" s="35" t="s">
        <v>180</v>
      </c>
      <c r="S1" s="35" t="s">
        <v>96</v>
      </c>
      <c r="T1" s="35" t="s">
        <v>39</v>
      </c>
      <c r="U1" s="35" t="s">
        <v>181</v>
      </c>
      <c r="V1" s="35" t="s">
        <v>182</v>
      </c>
      <c r="W1" s="35" t="s">
        <v>183</v>
      </c>
      <c r="X1" s="35" t="s">
        <v>184</v>
      </c>
      <c r="Y1" s="35" t="s">
        <v>185</v>
      </c>
      <c r="Z1" s="35" t="s">
        <v>186</v>
      </c>
      <c r="AA1" s="35" t="s">
        <v>187</v>
      </c>
      <c r="AB1" s="35" t="s">
        <v>188</v>
      </c>
      <c r="AC1" s="35" t="s">
        <v>189</v>
      </c>
    </row>
    <row r="2" customFormat="false" ht="15" hidden="false" customHeight="false" outlineLevel="0" collapsed="false">
      <c r="A2" s="2" t="n">
        <v>1</v>
      </c>
      <c r="B2" s="2" t="str">
        <f aca="false">TEXT(2026+A2,"0")</f>
        <v>2027</v>
      </c>
      <c r="C2" s="10" t="n">
        <f aca="false">SUMIF(Monthly!$B$2:$B$601,A2,Monthly!$D$2:$D$601)</f>
        <v>28993.2567839205</v>
      </c>
      <c r="D2" s="10" t="n">
        <f aca="false">SUMIF(Monthly!$B$2:$B$601,A2,Monthly!$E$2:$E$601)</f>
        <v>3848.93276384794</v>
      </c>
      <c r="E2" s="10" t="n">
        <f aca="false">AVERAGEIF(Monthly!$B$2:$B$601,A2,Monthly!$C$2:$C$601)</f>
        <v>398259.02175715</v>
      </c>
      <c r="F2" s="10" t="n">
        <f aca="false">C2*IF(E2&lt;=Inputs!$B$46,1,Inputs!$B$46/E2)</f>
        <v>28993.2567839205</v>
      </c>
      <c r="G2" s="10" t="n">
        <f aca="false">Inputs!$B$12*IF(Inputs!$B$35="",Inputs!$B$7,MIN(Inputs!$B$7,Inputs!$B$7*(1+Inputs!$B$35)^(A2-1)))</f>
        <v>4500</v>
      </c>
      <c r="H2" s="7" t="n">
        <f aca="false">Inputs!$B$52</f>
        <v>40804</v>
      </c>
      <c r="I2" s="10" t="n">
        <f aca="false">Inputs!$B$44*(1+Inputs!$B$22)^A2</f>
        <v>33101.6</v>
      </c>
      <c r="J2" s="10" t="n">
        <f aca="false">F2+MIN(H2,G2+Inputs!$B$27)+Inputs!$B$28</f>
        <v>33493.2567839205</v>
      </c>
      <c r="K2" s="10" t="n">
        <f aca="false">MIN(H2,Inputs!$B$27)+Inputs!$B$28</f>
        <v>0</v>
      </c>
      <c r="L2" s="2" t="str">
        <f aca="false">IF(J2&gt;I2,"Yes","No")</f>
        <v>Yes</v>
      </c>
      <c r="M2" s="2"/>
      <c r="N2" s="10" t="n">
        <f aca="false">IF(Inputs!$B$25="Yes",Inputs!$B$26*(MAX(I2,J2)-MAX(I2,K2)),0)</f>
        <v>0</v>
      </c>
      <c r="O2" s="10" t="n">
        <f aca="false">SUMIF(Monthly!$B$2:$B$601,A2,Monthly!$N$2:$N$601)</f>
        <v>44842.1895477685</v>
      </c>
      <c r="P2" s="10" t="n">
        <f aca="false">SUMIF(Monthly!$B$2:$B$601,A2,Monthly!$O$2:$O$601)</f>
        <v>30180</v>
      </c>
      <c r="Q2" s="10" t="n">
        <f aca="false">AC2</f>
        <v>520000</v>
      </c>
      <c r="R2" s="10" t="n">
        <f aca="false">INDEX(Monthly!$F$2:$F$601,A2*12)</f>
        <v>396151.067236152</v>
      </c>
      <c r="S2" s="10" t="n">
        <f aca="false">Q2*Inputs!$B$23</f>
        <v>31200</v>
      </c>
      <c r="T2" s="10" t="n">
        <f aca="false">MAX(0,Q2-S2-(Inputs!$B$7+Inputs!$B$40)-IF(A2&gt;=2,Inputs!$B$45,0))*Inputs!$B$29</f>
        <v>0</v>
      </c>
      <c r="U2" s="10" t="n">
        <f aca="false">INDEX(Monthly!$S$2:$S$601,A2*12)-Inputs!$B$29*MAX(0,INDEX(Monthly!$S$2:$S$601,A2*12)-INDEX(Monthly!$T$2:$T$601,A2*12))</f>
        <v>0</v>
      </c>
      <c r="V2" s="10" t="n">
        <f aca="false">Q2-S2-R2-T2+U2</f>
        <v>92648.932763848</v>
      </c>
      <c r="W2" s="10" t="n">
        <f aca="false">INDEX(Monthly!$Q$2:$Q$601,A2*12)-Inputs!$B$29*MAX(0,INDEX(Monthly!$Q$2:$Q$601,A2*12)-INDEX(Monthly!$R$2:$R$601,A2*12))</f>
        <v>134245.630423921</v>
      </c>
      <c r="X2" s="10" t="n">
        <f aca="false">V2-W2</f>
        <v>-41596.6976600733</v>
      </c>
      <c r="Y2" s="36" t="n">
        <f aca="false">(1+Inputs!$B$22)^A2</f>
        <v>1.028</v>
      </c>
      <c r="Z2" s="10" t="n">
        <f aca="false">X2/Y2</f>
        <v>-40463.7136771141</v>
      </c>
      <c r="AA2" s="2" t="str">
        <f aca="false">IF(AND(X2&gt;=0,COUNTIF(X2:X$51,"&lt;0")=0),A2,"")</f>
        <v/>
      </c>
      <c r="AB2" s="37" t="n">
        <f aca="false">IF(Inputs!$B$32="Revert",(1+Inputs!$B$18)*EXP(LN(1+Inputs!$B$33)*(0.5^(A2/Inputs!$B$34)-0.5^((A2-1)/Inputs!$B$34)))-1,Inputs!$B$20)</f>
        <v>0.04</v>
      </c>
      <c r="AC2" s="38" t="n">
        <f aca="false">Inputs!$B$7*(1+AB2)</f>
        <v>520000</v>
      </c>
    </row>
    <row r="3" customFormat="false" ht="15" hidden="false" customHeight="false" outlineLevel="0" collapsed="false">
      <c r="A3" s="2" t="n">
        <v>2</v>
      </c>
      <c r="B3" s="2" t="str">
        <f aca="false">TEXT(2026+A3,"0")</f>
        <v>2028</v>
      </c>
      <c r="C3" s="10" t="n">
        <f aca="false">SUMIF(Monthly!$B$2:$B$601,A3,Monthly!$D$2:$D$601)</f>
        <v>28703.5133898293</v>
      </c>
      <c r="D3" s="10" t="n">
        <f aca="false">SUMIF(Monthly!$B$2:$B$601,A3,Monthly!$E$2:$E$601)</f>
        <v>4138.67615793916</v>
      </c>
      <c r="E3" s="10" t="n">
        <f aca="false">AVERAGEIF(Monthly!$B$2:$B$601,A3,Monthly!$C$2:$C$601)</f>
        <v>394279.030080073</v>
      </c>
      <c r="F3" s="10" t="n">
        <f aca="false">C3*IF(E3&lt;=Inputs!$B$46,1,Inputs!$B$46/E3)</f>
        <v>28703.5133898293</v>
      </c>
      <c r="G3" s="10" t="n">
        <f aca="false">Inputs!$B$12*IF(Inputs!$B$35="",AC2,MIN(AC2,Inputs!$B$7*(1+Inputs!$B$35)^(A3-1)))</f>
        <v>4680</v>
      </c>
      <c r="H3" s="7" t="n">
        <f aca="false">Inputs!$B$53</f>
        <v>41212</v>
      </c>
      <c r="I3" s="10" t="n">
        <f aca="false">Inputs!$B$44*(1+Inputs!$B$22)^A3</f>
        <v>34028.4448</v>
      </c>
      <c r="J3" s="10" t="n">
        <f aca="false">F3+MIN(H3,G3+Inputs!$B$27)+Inputs!$B$28</f>
        <v>33383.5133898293</v>
      </c>
      <c r="K3" s="10" t="n">
        <f aca="false">MIN(H3,Inputs!$B$27)+Inputs!$B$28</f>
        <v>0</v>
      </c>
      <c r="L3" s="2" t="str">
        <f aca="false">IF(J3&gt;I3,"Yes","No")</f>
        <v>No</v>
      </c>
      <c r="M3" s="2"/>
      <c r="N3" s="10" t="n">
        <f aca="false">IF(Inputs!$B$25="Yes",Inputs!$B$26*(MAX(I3,J3)-MAX(I3,K3)),0)</f>
        <v>0</v>
      </c>
      <c r="O3" s="10" t="n">
        <f aca="false">SUMIF(Monthly!$B$2:$B$601,A3,Monthly!$N$2:$N$601)</f>
        <v>45232.1895477685</v>
      </c>
      <c r="P3" s="10" t="n">
        <f aca="false">SUMIF(Monthly!$B$2:$B$601,A3,Monthly!$O$2:$O$601)</f>
        <v>31235.04</v>
      </c>
      <c r="Q3" s="10" t="n">
        <f aca="false">AC3</f>
        <v>540800</v>
      </c>
      <c r="R3" s="10" t="n">
        <f aca="false">INDEX(Monthly!$F$2:$F$601,A3*12)</f>
        <v>392012.391078213</v>
      </c>
      <c r="S3" s="10" t="n">
        <f aca="false">Q3*Inputs!$B$23</f>
        <v>32448</v>
      </c>
      <c r="T3" s="10" t="n">
        <f aca="false">MAX(0,Q3-S3-(Inputs!$B$7+Inputs!$B$40)-IF(A3&gt;=2,Inputs!$B$45,0))*Inputs!$B$29</f>
        <v>0</v>
      </c>
      <c r="U3" s="10" t="n">
        <f aca="false">INDEX(Monthly!$S$2:$S$601,A3*12)-Inputs!$B$29*MAX(0,INDEX(Monthly!$S$2:$S$601,A3*12)-INDEX(Monthly!$T$2:$T$601,A3*12))</f>
        <v>0</v>
      </c>
      <c r="V3" s="10" t="n">
        <f aca="false">Q3-S3-R3-T3+U3</f>
        <v>116339.608921787</v>
      </c>
      <c r="W3" s="10" t="n">
        <f aca="false">INDEX(Monthly!$Q$2:$Q$601,A3*12)-Inputs!$B$29*MAX(0,INDEX(Monthly!$Q$2:$Q$601,A3*12)-INDEX(Monthly!$R$2:$R$601,A3*12))</f>
        <v>156663.465683793</v>
      </c>
      <c r="X3" s="10" t="n">
        <f aca="false">V3-W3</f>
        <v>-40323.8567620057</v>
      </c>
      <c r="Y3" s="36" t="n">
        <f aca="false">(1+Inputs!$B$22)^A3</f>
        <v>1.056784</v>
      </c>
      <c r="Z3" s="10" t="n">
        <f aca="false">X3/Y3</f>
        <v>-38157.1416315971</v>
      </c>
      <c r="AA3" s="2" t="str">
        <f aca="false">IF(AND(X3&gt;=0,COUNTIF(X3:X$51,"&lt;0")=0),A3,"")</f>
        <v/>
      </c>
      <c r="AB3" s="37" t="n">
        <f aca="false">IF(Inputs!$B$32="Revert",(1+Inputs!$B$18)*EXP(LN(1+Inputs!$B$33)*(0.5^(A3/Inputs!$B$34)-0.5^((A3-1)/Inputs!$B$34)))-1,Inputs!$B$20)</f>
        <v>0.04</v>
      </c>
      <c r="AC3" s="38" t="n">
        <f aca="false">AC2*(1+AB3)</f>
        <v>540800</v>
      </c>
    </row>
    <row r="4" customFormat="false" ht="15" hidden="false" customHeight="false" outlineLevel="0" collapsed="false">
      <c r="A4" s="2" t="n">
        <v>3</v>
      </c>
      <c r="B4" s="2" t="str">
        <f aca="false">TEXT(2026+A4,"0")</f>
        <v>2029</v>
      </c>
      <c r="C4" s="10" t="n">
        <f aca="false">SUMIF(Monthly!$B$2:$B$601,A4,Monthly!$D$2:$D$601)</f>
        <v>28391.9584340481</v>
      </c>
      <c r="D4" s="10" t="n">
        <f aca="false">SUMIF(Monthly!$B$2:$B$601,A4,Monthly!$E$2:$E$601)</f>
        <v>4450.23111372042</v>
      </c>
      <c r="E4" s="10" t="n">
        <f aca="false">AVERAGEIF(Monthly!$B$2:$B$601,A4,Monthly!$C$2:$C$601)</f>
        <v>389999.429039122</v>
      </c>
      <c r="F4" s="10" t="n">
        <f aca="false">C4*IF(E4&lt;=Inputs!$B$46,1,Inputs!$B$46/E4)</f>
        <v>28391.9584340481</v>
      </c>
      <c r="G4" s="10" t="n">
        <f aca="false">Inputs!$B$12*IF(Inputs!$B$35="",AC3,MIN(AC3,Inputs!$B$7*(1+Inputs!$B$35)^(A4-1)))</f>
        <v>4867.2</v>
      </c>
      <c r="H4" s="7" t="n">
        <f aca="false">Inputs!$B$54</f>
        <v>41624</v>
      </c>
      <c r="I4" s="10" t="n">
        <f aca="false">Inputs!$B$44*(1+Inputs!$B$22)^A4</f>
        <v>34981.2412544</v>
      </c>
      <c r="J4" s="10" t="n">
        <f aca="false">F4+MIN(H4,G4+Inputs!$B$27)+Inputs!$B$28</f>
        <v>33259.1584340481</v>
      </c>
      <c r="K4" s="10" t="n">
        <f aca="false">MIN(H4,Inputs!$B$27)+Inputs!$B$28</f>
        <v>0</v>
      </c>
      <c r="L4" s="2" t="str">
        <f aca="false">IF(J4&gt;I4,"Yes","No")</f>
        <v>No</v>
      </c>
      <c r="M4" s="2"/>
      <c r="N4" s="10" t="n">
        <f aca="false">IF(Inputs!$B$25="Yes",Inputs!$B$26*(MAX(I4,J4)-MAX(I4,K4)),0)</f>
        <v>0</v>
      </c>
      <c r="O4" s="10" t="n">
        <f aca="false">SUMIF(Monthly!$B$2:$B$601,A4,Monthly!$N$2:$N$601)</f>
        <v>45635.2695477685</v>
      </c>
      <c r="P4" s="10" t="n">
        <f aca="false">SUMIF(Monthly!$B$2:$B$601,A4,Monthly!$O$2:$O$601)</f>
        <v>32326.97112</v>
      </c>
      <c r="Q4" s="10" t="n">
        <f aca="false">AC4</f>
        <v>562432</v>
      </c>
      <c r="R4" s="10" t="n">
        <f aca="false">INDEX(Monthly!$F$2:$F$601,A4*12)</f>
        <v>387562.159964493</v>
      </c>
      <c r="S4" s="10" t="n">
        <f aca="false">Q4*Inputs!$B$23</f>
        <v>33745.92</v>
      </c>
      <c r="T4" s="10" t="n">
        <f aca="false">MAX(0,Q4-S4-(Inputs!$B$7+Inputs!$B$40)-IF(A4&gt;=2,Inputs!$B$45,0))*Inputs!$B$29</f>
        <v>0</v>
      </c>
      <c r="U4" s="10" t="n">
        <f aca="false">INDEX(Monthly!$S$2:$S$601,A4*12)-Inputs!$B$29*MAX(0,INDEX(Monthly!$S$2:$S$601,A4*12)-INDEX(Monthly!$T$2:$T$601,A4*12))</f>
        <v>0</v>
      </c>
      <c r="V4" s="10" t="n">
        <f aca="false">Q4-S4-R4-T4+U4</f>
        <v>141123.920035507</v>
      </c>
      <c r="W4" s="10" t="n">
        <f aca="false">INDEX(Monthly!$Q$2:$Q$601,A4*12)-Inputs!$B$29*MAX(0,INDEX(Monthly!$Q$2:$Q$601,A4*12)-INDEX(Monthly!$R$2:$R$601,A4*12))</f>
        <v>179780.775035658</v>
      </c>
      <c r="X4" s="10" t="n">
        <f aca="false">V4-W4</f>
        <v>-38656.8550001506</v>
      </c>
      <c r="Y4" s="36" t="n">
        <f aca="false">(1+Inputs!$B$22)^A4</f>
        <v>1.086373952</v>
      </c>
      <c r="Z4" s="10" t="n">
        <f aca="false">X4/Y4</f>
        <v>-35583.3780154466</v>
      </c>
      <c r="AA4" s="2" t="str">
        <f aca="false">IF(AND(X4&gt;=0,COUNTIF(X4:X$51,"&lt;0")=0),A4,"")</f>
        <v/>
      </c>
      <c r="AB4" s="37" t="n">
        <f aca="false">IF(Inputs!$B$32="Revert",(1+Inputs!$B$18)*EXP(LN(1+Inputs!$B$33)*(0.5^(A4/Inputs!$B$34)-0.5^((A4-1)/Inputs!$B$34)))-1,Inputs!$B$20)</f>
        <v>0.04</v>
      </c>
      <c r="AC4" s="38" t="n">
        <f aca="false">AC3*(1+AB4)</f>
        <v>562432</v>
      </c>
    </row>
    <row r="5" customFormat="false" ht="15" hidden="false" customHeight="false" outlineLevel="0" collapsed="false">
      <c r="A5" s="2" t="n">
        <v>4</v>
      </c>
      <c r="B5" s="2" t="str">
        <f aca="false">TEXT(2026+A5,"0")</f>
        <v>2030</v>
      </c>
      <c r="C5" s="10" t="n">
        <f aca="false">SUMIF(Monthly!$B$2:$B$601,A5,Monthly!$D$2:$D$601)</f>
        <v>28056.9499663785</v>
      </c>
      <c r="D5" s="10" t="n">
        <f aca="false">SUMIF(Monthly!$B$2:$B$601,A5,Monthly!$E$2:$E$601)</f>
        <v>4785.23958138994</v>
      </c>
      <c r="E5" s="10" t="n">
        <f aca="false">AVERAGEIF(Monthly!$B$2:$B$601,A5,Monthly!$C$2:$C$601)</f>
        <v>385397.664373331</v>
      </c>
      <c r="F5" s="10" t="n">
        <f aca="false">C5*IF(E5&lt;=Inputs!$B$46,1,Inputs!$B$46/E5)</f>
        <v>28056.9499663785</v>
      </c>
      <c r="G5" s="10" t="n">
        <f aca="false">Inputs!$B$12*IF(Inputs!$B$35="",AC4,MIN(AC4,Inputs!$B$7*(1+Inputs!$B$35)^(A5-1)))</f>
        <v>5061.888</v>
      </c>
      <c r="H5" s="7" t="n">
        <f aca="false">Inputs!$B$55</f>
        <v>10000</v>
      </c>
      <c r="I5" s="10" t="n">
        <f aca="false">Inputs!$B$44*(1+Inputs!$B$22)^A5</f>
        <v>35960.7160095232</v>
      </c>
      <c r="J5" s="10" t="n">
        <f aca="false">F5+MIN(H5,G5+Inputs!$B$27)+Inputs!$B$28</f>
        <v>33118.8379663785</v>
      </c>
      <c r="K5" s="10" t="n">
        <f aca="false">MIN(H5,Inputs!$B$27)+Inputs!$B$28</f>
        <v>0</v>
      </c>
      <c r="L5" s="2" t="str">
        <f aca="false">IF(J5&gt;I5,"Yes","No")</f>
        <v>No</v>
      </c>
      <c r="M5" s="2"/>
      <c r="N5" s="10" t="n">
        <f aca="false">IF(Inputs!$B$25="Yes",Inputs!$B$26*(MAX(I5,J5)-MAX(I5,K5)),0)</f>
        <v>0</v>
      </c>
      <c r="O5" s="10" t="n">
        <f aca="false">SUMIF(Monthly!$B$2:$B$601,A5,Monthly!$N$2:$N$601)</f>
        <v>46051.8821877685</v>
      </c>
      <c r="P5" s="10" t="n">
        <f aca="false">SUMIF(Monthly!$B$2:$B$601,A5,Monthly!$O$2:$O$601)</f>
        <v>33457.08356136</v>
      </c>
      <c r="Q5" s="10" t="n">
        <f aca="false">AC5</f>
        <v>584929.28</v>
      </c>
      <c r="R5" s="10" t="n">
        <f aca="false">INDEX(Monthly!$F$2:$F$601,A5*12)</f>
        <v>382776.920383103</v>
      </c>
      <c r="S5" s="10" t="n">
        <f aca="false">Q5*Inputs!$B$23</f>
        <v>35095.7568</v>
      </c>
      <c r="T5" s="10" t="n">
        <f aca="false">MAX(0,Q5-S5-(Inputs!$B$7+Inputs!$B$40)-IF(A5&gt;=2,Inputs!$B$45,0))*Inputs!$B$29</f>
        <v>0</v>
      </c>
      <c r="U5" s="10" t="n">
        <f aca="false">INDEX(Monthly!$S$2:$S$601,A5*12)-Inputs!$B$29*MAX(0,INDEX(Monthly!$S$2:$S$601,A5*12)-INDEX(Monthly!$T$2:$T$601,A5*12))</f>
        <v>0</v>
      </c>
      <c r="V5" s="10" t="n">
        <f aca="false">Q5-S5-R5-T5+U5</f>
        <v>167056.602816898</v>
      </c>
      <c r="W5" s="10" t="n">
        <f aca="false">INDEX(Monthly!$Q$2:$Q$601,A5*12)-Inputs!$B$29*MAX(0,INDEX(Monthly!$Q$2:$Q$601,A5*12)-INDEX(Monthly!$R$2:$R$601,A5*12))</f>
        <v>203626.037957261</v>
      </c>
      <c r="X5" s="10" t="n">
        <f aca="false">V5-W5</f>
        <v>-36569.4351403629</v>
      </c>
      <c r="Y5" s="36" t="n">
        <f aca="false">(1+Inputs!$B$22)^A5</f>
        <v>1.116792422656</v>
      </c>
      <c r="Z5" s="10" t="n">
        <f aca="false">X5/Y5</f>
        <v>-32745.0602264941</v>
      </c>
      <c r="AA5" s="2" t="str">
        <f aca="false">IF(AND(X5&gt;=0,COUNTIF(X5:X$51,"&lt;0")=0),A5,"")</f>
        <v/>
      </c>
      <c r="AB5" s="37" t="n">
        <f aca="false">IF(Inputs!$B$32="Revert",(1+Inputs!$B$18)*EXP(LN(1+Inputs!$B$33)*(0.5^(A5/Inputs!$B$34)-0.5^((A5-1)/Inputs!$B$34)))-1,Inputs!$B$20)</f>
        <v>0.04</v>
      </c>
      <c r="AC5" s="38" t="n">
        <f aca="false">AC4*(1+AB5)</f>
        <v>584929.28</v>
      </c>
    </row>
    <row r="6" customFormat="false" ht="15" hidden="false" customHeight="false" outlineLevel="0" collapsed="false">
      <c r="A6" s="2" t="n">
        <v>5</v>
      </c>
      <c r="B6" s="2" t="str">
        <f aca="false">TEXT(2026+A6,"0")</f>
        <v>2031</v>
      </c>
      <c r="C6" s="10" t="n">
        <f aca="false">SUMIF(Monthly!$B$2:$B$601,A6,Monthly!$D$2:$D$601)</f>
        <v>27696.7224324308</v>
      </c>
      <c r="D6" s="10" t="n">
        <f aca="false">SUMIF(Monthly!$B$2:$B$601,A6,Monthly!$E$2:$E$601)</f>
        <v>5145.46711533766</v>
      </c>
      <c r="E6" s="10" t="n">
        <f aca="false">AVERAGEIF(Monthly!$B$2:$B$601,A6,Monthly!$C$2:$C$601)</f>
        <v>380449.483961962</v>
      </c>
      <c r="F6" s="10" t="n">
        <f aca="false">C6*IF(E6&lt;=Inputs!$B$46,1,Inputs!$B$46/E6)</f>
        <v>27696.7224324308</v>
      </c>
      <c r="G6" s="10" t="n">
        <f aca="false">Inputs!$B$12*IF(Inputs!$B$35="",AC5,MIN(AC5,Inputs!$B$7*(1+Inputs!$B$35)^(A6-1)))</f>
        <v>5264.36352</v>
      </c>
      <c r="H6" s="7" t="n">
        <f aca="false">Inputs!$B$55</f>
        <v>10000</v>
      </c>
      <c r="I6" s="10" t="n">
        <f aca="false">Inputs!$B$44*(1+Inputs!$B$22)^A6</f>
        <v>36967.6160577899</v>
      </c>
      <c r="J6" s="10" t="n">
        <f aca="false">F6+MIN(H6,G6+Inputs!$B$27)+Inputs!$B$28</f>
        <v>32961.0859524308</v>
      </c>
      <c r="K6" s="10" t="n">
        <f aca="false">MIN(H6,Inputs!$B$27)+Inputs!$B$28</f>
        <v>0</v>
      </c>
      <c r="L6" s="2" t="str">
        <f aca="false">IF(J6&gt;I6,"Yes","No")</f>
        <v>No</v>
      </c>
      <c r="M6" s="2"/>
      <c r="N6" s="10" t="n">
        <f aca="false">IF(Inputs!$B$25="Yes",Inputs!$B$26*(MAX(I6,J6)-MAX(I6,K6)),0)</f>
        <v>0</v>
      </c>
      <c r="O6" s="10" t="n">
        <f aca="false">SUMIF(Monthly!$B$2:$B$601,A6,Monthly!$N$2:$N$601)</f>
        <v>46482.4962376885</v>
      </c>
      <c r="P6" s="10" t="n">
        <f aca="false">SUMIF(Monthly!$B$2:$B$601,A6,Monthly!$O$2:$O$601)</f>
        <v>34626.7126548281</v>
      </c>
      <c r="Q6" s="10" t="n">
        <f aca="false">AC6</f>
        <v>608326.4512</v>
      </c>
      <c r="R6" s="10" t="n">
        <f aca="false">INDEX(Monthly!$F$2:$F$601,A6*12)</f>
        <v>377631.453267765</v>
      </c>
      <c r="S6" s="10" t="n">
        <f aca="false">Q6*Inputs!$B$23</f>
        <v>36499.587072</v>
      </c>
      <c r="T6" s="10" t="n">
        <f aca="false">MAX(0,Q6-S6-(Inputs!$B$7+Inputs!$B$40)-IF(A6&gt;=2,Inputs!$B$45,0))*Inputs!$B$29</f>
        <v>0</v>
      </c>
      <c r="U6" s="10" t="n">
        <f aca="false">INDEX(Monthly!$S$2:$S$601,A6*12)-Inputs!$B$29*MAX(0,INDEX(Monthly!$S$2:$S$601,A6*12)-INDEX(Monthly!$T$2:$T$601,A6*12))</f>
        <v>0</v>
      </c>
      <c r="V6" s="10" t="n">
        <f aca="false">Q6-S6-R6-T6+U6</f>
        <v>194195.410860235</v>
      </c>
      <c r="W6" s="10" t="n">
        <f aca="false">INDEX(Monthly!$Q$2:$Q$601,A6*12)-Inputs!$B$29*MAX(0,INDEX(Monthly!$Q$2:$Q$601,A6*12)-INDEX(Monthly!$R$2:$R$601,A6*12))</f>
        <v>228229.004323255</v>
      </c>
      <c r="X6" s="10" t="n">
        <f aca="false">V6-W6</f>
        <v>-34033.5934630196</v>
      </c>
      <c r="Y6" s="36" t="n">
        <f aca="false">(1+Inputs!$B$22)^A6</f>
        <v>1.14806261049037</v>
      </c>
      <c r="Z6" s="10" t="n">
        <f aca="false">X6/Y6</f>
        <v>-29644.3705700711</v>
      </c>
      <c r="AA6" s="2" t="str">
        <f aca="false">IF(AND(X6&gt;=0,COUNTIF(X6:X$51,"&lt;0")=0),A6,"")</f>
        <v/>
      </c>
      <c r="AB6" s="37" t="n">
        <f aca="false">IF(Inputs!$B$32="Revert",(1+Inputs!$B$18)*EXP(LN(1+Inputs!$B$33)*(0.5^(A6/Inputs!$B$34)-0.5^((A6-1)/Inputs!$B$34)))-1,Inputs!$B$20)</f>
        <v>0.04</v>
      </c>
      <c r="AC6" s="38" t="n">
        <f aca="false">AC5*(1+AB6)</f>
        <v>608326.4512</v>
      </c>
    </row>
    <row r="7" customFormat="false" ht="15" hidden="false" customHeight="false" outlineLevel="0" collapsed="false">
      <c r="A7" s="2" t="n">
        <v>6</v>
      </c>
      <c r="B7" s="2" t="str">
        <f aca="false">TEXT(2026+A7,"0")</f>
        <v>2032</v>
      </c>
      <c r="C7" s="10" t="n">
        <f aca="false">SUMIF(Monthly!$B$2:$B$601,A7,Monthly!$D$2:$D$601)</f>
        <v>27309.3773688366</v>
      </c>
      <c r="D7" s="10" t="n">
        <f aca="false">SUMIF(Monthly!$B$2:$B$601,A7,Monthly!$E$2:$E$601)</f>
        <v>5532.81217893191</v>
      </c>
      <c r="E7" s="10" t="n">
        <f aca="false">AVERAGEIF(Monthly!$B$2:$B$601,A7,Monthly!$C$2:$C$601)</f>
        <v>375128.810011491</v>
      </c>
      <c r="F7" s="10" t="n">
        <f aca="false">C7*IF(E7&lt;=Inputs!$B$46,1,Inputs!$B$46/E7)</f>
        <v>27309.3773688366</v>
      </c>
      <c r="G7" s="10" t="n">
        <f aca="false">Inputs!$B$12*IF(Inputs!$B$35="",AC6,MIN(AC6,Inputs!$B$7*(1+Inputs!$B$35)^(A7-1)))</f>
        <v>5474.9380608</v>
      </c>
      <c r="H7" s="7" t="n">
        <f aca="false">Inputs!$B$55</f>
        <v>10000</v>
      </c>
      <c r="I7" s="10" t="n">
        <f aca="false">Inputs!$B$44*(1+Inputs!$B$22)^A7</f>
        <v>38002.709307408</v>
      </c>
      <c r="J7" s="10" t="n">
        <f aca="false">F7+MIN(H7,G7+Inputs!$B$27)+Inputs!$B$28</f>
        <v>32784.3154296366</v>
      </c>
      <c r="K7" s="10" t="n">
        <f aca="false">MIN(H7,Inputs!$B$27)+Inputs!$B$28</f>
        <v>0</v>
      </c>
      <c r="L7" s="2" t="str">
        <f aca="false">IF(J7&gt;I7,"Yes","No")</f>
        <v>No</v>
      </c>
      <c r="M7" s="2"/>
      <c r="N7" s="10" t="n">
        <f aca="false">IF(Inputs!$B$25="Yes",Inputs!$B$26*(MAX(I7,J7)-MAX(I7,K7)),0)</f>
        <v>0</v>
      </c>
      <c r="O7" s="10" t="n">
        <f aca="false">SUMIF(Monthly!$B$2:$B$601,A7,Monthly!$N$2:$N$601)</f>
        <v>46927.5971872462</v>
      </c>
      <c r="P7" s="10" t="n">
        <f aca="false">SUMIF(Monthly!$B$2:$B$601,A7,Monthly!$O$2:$O$601)</f>
        <v>35837.2404392945</v>
      </c>
      <c r="Q7" s="10" t="n">
        <f aca="false">AC7</f>
        <v>632659.509248</v>
      </c>
      <c r="R7" s="10" t="n">
        <f aca="false">INDEX(Monthly!$F$2:$F$601,A7*12)</f>
        <v>372098.641088833</v>
      </c>
      <c r="S7" s="10" t="n">
        <f aca="false">Q7*Inputs!$B$23</f>
        <v>37959.57055488</v>
      </c>
      <c r="T7" s="10" t="n">
        <f aca="false">MAX(0,Q7-S7-(Inputs!$B$7+Inputs!$B$40)-IF(A7&gt;=2,Inputs!$B$45,0))*Inputs!$B$29</f>
        <v>0</v>
      </c>
      <c r="U7" s="10" t="n">
        <f aca="false">INDEX(Monthly!$S$2:$S$601,A7*12)-Inputs!$B$29*MAX(0,INDEX(Monthly!$S$2:$S$601,A7*12)-INDEX(Monthly!$T$2:$T$601,A7*12))</f>
        <v>0</v>
      </c>
      <c r="V7" s="10" t="n">
        <f aca="false">Q7-S7-R7-T7+U7</f>
        <v>222601.297604287</v>
      </c>
      <c r="W7" s="10" t="n">
        <f aca="false">INDEX(Monthly!$Q$2:$Q$601,A7*12)-Inputs!$B$29*MAX(0,INDEX(Monthly!$Q$2:$Q$601,A7*12)-INDEX(Monthly!$R$2:$R$601,A7*12))</f>
        <v>253620.757926551</v>
      </c>
      <c r="X7" s="10" t="n">
        <f aca="false">V7-W7</f>
        <v>-31019.4603222639</v>
      </c>
      <c r="Y7" s="36" t="n">
        <f aca="false">(1+Inputs!$B$22)^A7</f>
        <v>1.1802083635841</v>
      </c>
      <c r="Z7" s="10" t="n">
        <f aca="false">X7/Y7</f>
        <v>-26283.0371986713</v>
      </c>
      <c r="AA7" s="2" t="str">
        <f aca="false">IF(AND(X7&gt;=0,COUNTIF(X7:X$51,"&lt;0")=0),A7,"")</f>
        <v/>
      </c>
      <c r="AB7" s="37" t="n">
        <f aca="false">IF(Inputs!$B$32="Revert",(1+Inputs!$B$18)*EXP(LN(1+Inputs!$B$33)*(0.5^(A7/Inputs!$B$34)-0.5^((A7-1)/Inputs!$B$34)))-1,Inputs!$B$20)</f>
        <v>0.04</v>
      </c>
      <c r="AC7" s="38" t="n">
        <f aca="false">AC6*(1+AB7)</f>
        <v>632659.509248</v>
      </c>
    </row>
    <row r="8" customFormat="false" ht="15" hidden="false" customHeight="false" outlineLevel="0" collapsed="false">
      <c r="A8" s="2" t="n">
        <v>7</v>
      </c>
      <c r="B8" s="2" t="str">
        <f aca="false">TEXT(2026+A8,"0")</f>
        <v>2033</v>
      </c>
      <c r="C8" s="10" t="n">
        <f aca="false">SUMIF(Monthly!$B$2:$B$601,A8,Monthly!$D$2:$D$601)</f>
        <v>26892.8733980085</v>
      </c>
      <c r="D8" s="10" t="n">
        <f aca="false">SUMIF(Monthly!$B$2:$B$601,A8,Monthly!$E$2:$E$601)</f>
        <v>5949.31614975999</v>
      </c>
      <c r="E8" s="10" t="n">
        <f aca="false">AVERAGEIF(Monthly!$B$2:$B$601,A8,Monthly!$C$2:$C$601)</f>
        <v>369407.601620996</v>
      </c>
      <c r="F8" s="10" t="n">
        <f aca="false">C8*IF(E8&lt;=Inputs!$B$46,1,Inputs!$B$46/E8)</f>
        <v>26892.8733980085</v>
      </c>
      <c r="G8" s="10" t="n">
        <f aca="false">Inputs!$B$12*IF(Inputs!$B$35="",AC7,MIN(AC7,Inputs!$B$7*(1+Inputs!$B$35)^(A8-1)))</f>
        <v>5693.935583232</v>
      </c>
      <c r="H8" s="7" t="n">
        <f aca="false">Inputs!$B$55</f>
        <v>10000</v>
      </c>
      <c r="I8" s="10" t="n">
        <f aca="false">Inputs!$B$44*(1+Inputs!$B$22)^A8</f>
        <v>39066.7851680154</v>
      </c>
      <c r="J8" s="10" t="n">
        <f aca="false">F8+MIN(H8,G8+Inputs!$B$27)+Inputs!$B$28</f>
        <v>32586.8089812405</v>
      </c>
      <c r="K8" s="10" t="n">
        <f aca="false">MIN(H8,Inputs!$B$27)+Inputs!$B$28</f>
        <v>0</v>
      </c>
      <c r="L8" s="2" t="str">
        <f aca="false">IF(J8&gt;I8,"Yes","No")</f>
        <v>No</v>
      </c>
      <c r="M8" s="2"/>
      <c r="N8" s="10" t="n">
        <f aca="false">IF(Inputs!$B$25="Yes",Inputs!$B$26*(MAX(I8,J8)-MAX(I8,K8)),0)</f>
        <v>0</v>
      </c>
      <c r="O8" s="10" t="n">
        <f aca="false">SUMIF(Monthly!$B$2:$B$601,A8,Monthly!$N$2:$N$601)</f>
        <v>47387.6878578812</v>
      </c>
      <c r="P8" s="10" t="n">
        <f aca="false">SUMIF(Monthly!$B$2:$B$601,A8,Monthly!$O$2:$O$601)</f>
        <v>37090.0972957806</v>
      </c>
      <c r="Q8" s="10" t="n">
        <f aca="false">AC8</f>
        <v>657965.88961792</v>
      </c>
      <c r="R8" s="10" t="n">
        <f aca="false">INDEX(Monthly!$F$2:$F$601,A8*12)</f>
        <v>366149.324939073</v>
      </c>
      <c r="S8" s="10" t="n">
        <f aca="false">Q8*Inputs!$B$23</f>
        <v>39477.9533770752</v>
      </c>
      <c r="T8" s="10" t="n">
        <f aca="false">MAX(0,Q8-S8-(Inputs!$B$7+Inputs!$B$40)-IF(A8&gt;=2,Inputs!$B$45,0))*Inputs!$B$29</f>
        <v>0</v>
      </c>
      <c r="U8" s="10" t="n">
        <f aca="false">INDEX(Monthly!$S$2:$S$601,A8*12)-Inputs!$B$29*MAX(0,INDEX(Monthly!$S$2:$S$601,A8*12)-INDEX(Monthly!$T$2:$T$601,A8*12))</f>
        <v>0</v>
      </c>
      <c r="V8" s="10" t="n">
        <f aca="false">Q8-S8-R8-T8+U8</f>
        <v>252338.611301772</v>
      </c>
      <c r="W8" s="10" t="n">
        <f aca="false">INDEX(Monthly!$Q$2:$Q$601,A8*12)-Inputs!$B$29*MAX(0,INDEX(Monthly!$Q$2:$Q$601,A8*12)-INDEX(Monthly!$R$2:$R$601,A8*12))</f>
        <v>279833.783548765</v>
      </c>
      <c r="X8" s="10" t="n">
        <f aca="false">V8-W8</f>
        <v>-27495.1722469934</v>
      </c>
      <c r="Y8" s="36" t="n">
        <f aca="false">(1+Inputs!$B$22)^A8</f>
        <v>1.21325419776445</v>
      </c>
      <c r="Z8" s="10" t="n">
        <f aca="false">X8/Y8</f>
        <v>-22662.3343217407</v>
      </c>
      <c r="AA8" s="2" t="str">
        <f aca="false">IF(AND(X8&gt;=0,COUNTIF(X8:X$51,"&lt;0")=0),A8,"")</f>
        <v/>
      </c>
      <c r="AB8" s="37" t="n">
        <f aca="false">IF(Inputs!$B$32="Revert",(1+Inputs!$B$18)*EXP(LN(1+Inputs!$B$33)*(0.5^(A8/Inputs!$B$34)-0.5^((A8-1)/Inputs!$B$34)))-1,Inputs!$B$20)</f>
        <v>0.04</v>
      </c>
      <c r="AC8" s="38" t="n">
        <f aca="false">AC7*(1+AB8)</f>
        <v>657965.88961792</v>
      </c>
    </row>
    <row r="9" customFormat="false" ht="15" hidden="false" customHeight="false" outlineLevel="0" collapsed="false">
      <c r="A9" s="2" t="n">
        <v>8</v>
      </c>
      <c r="B9" s="2" t="str">
        <f aca="false">TEXT(2026+A9,"0")</f>
        <v>2034</v>
      </c>
      <c r="C9" s="10" t="n">
        <f aca="false">SUMIF(Monthly!$B$2:$B$601,A9,Monthly!$D$2:$D$601)</f>
        <v>26445.0154697162</v>
      </c>
      <c r="D9" s="10" t="n">
        <f aca="false">SUMIF(Monthly!$B$2:$B$601,A9,Monthly!$E$2:$E$601)</f>
        <v>6397.17407805226</v>
      </c>
      <c r="E9" s="10" t="n">
        <f aca="false">AVERAGEIF(Monthly!$B$2:$B$601,A9,Monthly!$C$2:$C$601)</f>
        <v>363255.707001596</v>
      </c>
      <c r="F9" s="10" t="n">
        <f aca="false">C9*IF(E9&lt;=Inputs!$B$46,1,Inputs!$B$46/E9)</f>
        <v>26445.0154697162</v>
      </c>
      <c r="G9" s="10" t="n">
        <f aca="false">Inputs!$B$12*IF(Inputs!$B$35="",AC8,MIN(AC8,Inputs!$B$7*(1+Inputs!$B$35)^(A9-1)))</f>
        <v>5921.69300656128</v>
      </c>
      <c r="H9" s="7" t="n">
        <f aca="false">Inputs!$B$55</f>
        <v>10000</v>
      </c>
      <c r="I9" s="10" t="n">
        <f aca="false">Inputs!$B$44*(1+Inputs!$B$22)^A9</f>
        <v>40160.6551527198</v>
      </c>
      <c r="J9" s="10" t="n">
        <f aca="false">F9+MIN(H9,G9+Inputs!$B$27)+Inputs!$B$28</f>
        <v>32366.7084762775</v>
      </c>
      <c r="K9" s="10" t="n">
        <f aca="false">MIN(H9,Inputs!$B$27)+Inputs!$B$28</f>
        <v>0</v>
      </c>
      <c r="L9" s="2" t="str">
        <f aca="false">IF(J9&gt;I9,"Yes","No")</f>
        <v>No</v>
      </c>
      <c r="M9" s="2"/>
      <c r="N9" s="10" t="n">
        <f aca="false">IF(Inputs!$B$25="Yes",Inputs!$B$26*(MAX(I9,J9)-MAX(I9,K9)),0)</f>
        <v>0</v>
      </c>
      <c r="O9" s="10" t="n">
        <f aca="false">SUMIF(Monthly!$B$2:$B$601,A9,Monthly!$N$2:$N$601)</f>
        <v>47863.2890375632</v>
      </c>
      <c r="P9" s="10" t="n">
        <f aca="false">SUMIF(Monthly!$B$2:$B$601,A9,Monthly!$O$2:$O$601)</f>
        <v>38386.7636385948</v>
      </c>
      <c r="Q9" s="10" t="n">
        <f aca="false">AC9</f>
        <v>684284.525202637</v>
      </c>
      <c r="R9" s="10" t="n">
        <f aca="false">INDEX(Monthly!$F$2:$F$601,A9*12)</f>
        <v>359752.150861021</v>
      </c>
      <c r="S9" s="10" t="n">
        <f aca="false">Q9*Inputs!$B$23</f>
        <v>41057.0715121582</v>
      </c>
      <c r="T9" s="10" t="n">
        <f aca="false">MAX(0,Q9-S9-(Inputs!$B$7+Inputs!$B$40)-IF(A9&gt;=2,Inputs!$B$45,0))*Inputs!$B$29</f>
        <v>0</v>
      </c>
      <c r="U9" s="10" t="n">
        <f aca="false">INDEX(Monthly!$S$2:$S$601,A9*12)-Inputs!$B$29*MAX(0,INDEX(Monthly!$S$2:$S$601,A9*12)-INDEX(Monthly!$T$2:$T$601,A9*12))</f>
        <v>0</v>
      </c>
      <c r="V9" s="10" t="n">
        <f aca="false">Q9-S9-R9-T9+U9</f>
        <v>283475.302829458</v>
      </c>
      <c r="W9" s="10" t="n">
        <f aca="false">INDEX(Monthly!$Q$2:$Q$601,A9*12)-Inputs!$B$29*MAX(0,INDEX(Monthly!$Q$2:$Q$601,A9*12)-INDEX(Monthly!$R$2:$R$601,A9*12))</f>
        <v>306902.037795768</v>
      </c>
      <c r="X9" s="10" t="n">
        <f aca="false">V9-W9</f>
        <v>-23426.7349663097</v>
      </c>
      <c r="Y9" s="36" t="n">
        <f aca="false">(1+Inputs!$B$22)^A9</f>
        <v>1.24722531530186</v>
      </c>
      <c r="Z9" s="10" t="n">
        <f aca="false">X9/Y9</f>
        <v>-18783.0816764972</v>
      </c>
      <c r="AA9" s="2" t="str">
        <f aca="false">IF(AND(X9&gt;=0,COUNTIF(X9:X$51,"&lt;0")=0),A9,"")</f>
        <v/>
      </c>
      <c r="AB9" s="37" t="n">
        <f aca="false">IF(Inputs!$B$32="Revert",(1+Inputs!$B$18)*EXP(LN(1+Inputs!$B$33)*(0.5^(A9/Inputs!$B$34)-0.5^((A9-1)/Inputs!$B$34)))-1,Inputs!$B$20)</f>
        <v>0.04</v>
      </c>
      <c r="AC9" s="38" t="n">
        <f aca="false">AC8*(1+AB9)</f>
        <v>684284.525202637</v>
      </c>
    </row>
    <row r="10" customFormat="false" ht="15" hidden="false" customHeight="false" outlineLevel="0" collapsed="false">
      <c r="A10" s="2" t="n">
        <v>9</v>
      </c>
      <c r="B10" s="2" t="str">
        <f aca="false">TEXT(2026+A10,"0")</f>
        <v>2035</v>
      </c>
      <c r="C10" s="10" t="n">
        <f aca="false">SUMIF(Monthly!$B$2:$B$601,A10,Monthly!$D$2:$D$601)</f>
        <v>25963.44329278</v>
      </c>
      <c r="D10" s="10" t="n">
        <f aca="false">SUMIF(Monthly!$B$2:$B$601,A10,Monthly!$E$2:$E$601)</f>
        <v>6878.74625498843</v>
      </c>
      <c r="E10" s="10" t="n">
        <f aca="false">AVERAGEIF(Monthly!$B$2:$B$601,A10,Monthly!$C$2:$C$601)</f>
        <v>356640.704571154</v>
      </c>
      <c r="F10" s="10" t="n">
        <f aca="false">C10*IF(E10&lt;=Inputs!$B$46,1,Inputs!$B$46/E10)</f>
        <v>25963.44329278</v>
      </c>
      <c r="G10" s="10" t="n">
        <f aca="false">Inputs!$B$12*IF(Inputs!$B$35="",AC9,MIN(AC9,Inputs!$B$7*(1+Inputs!$B$35)^(A10-1)))</f>
        <v>6158.56072682373</v>
      </c>
      <c r="H10" s="7" t="n">
        <f aca="false">Inputs!$B$55</f>
        <v>10000</v>
      </c>
      <c r="I10" s="10" t="n">
        <f aca="false">Inputs!$B$44*(1+Inputs!$B$22)^A10</f>
        <v>41285.153496996</v>
      </c>
      <c r="J10" s="10" t="n">
        <f aca="false">F10+MIN(H10,G10+Inputs!$B$27)+Inputs!$B$28</f>
        <v>32122.0040196038</v>
      </c>
      <c r="K10" s="10" t="n">
        <f aca="false">MIN(H10,Inputs!$B$27)+Inputs!$B$28</f>
        <v>0</v>
      </c>
      <c r="L10" s="2" t="str">
        <f aca="false">IF(J10&gt;I10,"Yes","No")</f>
        <v>No</v>
      </c>
      <c r="M10" s="2"/>
      <c r="N10" s="10" t="n">
        <f aca="false">IF(Inputs!$B$25="Yes",Inputs!$B$26*(MAX(I10,J10)-MAX(I10,K10)),0)</f>
        <v>0</v>
      </c>
      <c r="O10" s="10" t="n">
        <f aca="false">SUMIF(Monthly!$B$2:$B$601,A10,Monthly!$N$2:$N$601)</f>
        <v>48354.9401393561</v>
      </c>
      <c r="P10" s="10" t="n">
        <f aca="false">SUMIF(Monthly!$B$2:$B$601,A10,Monthly!$O$2:$O$601)</f>
        <v>39728.7716656564</v>
      </c>
      <c r="Q10" s="10" t="n">
        <f aca="false">AC10</f>
        <v>711655.906210742</v>
      </c>
      <c r="R10" s="10" t="n">
        <f aca="false">INDEX(Monthly!$F$2:$F$601,A10*12)</f>
        <v>352873.404606032</v>
      </c>
      <c r="S10" s="10" t="n">
        <f aca="false">Q10*Inputs!$B$23</f>
        <v>42699.3543726445</v>
      </c>
      <c r="T10" s="10" t="n">
        <f aca="false">MAX(0,Q10-S10-(Inputs!$B$7+Inputs!$B$40)-IF(A10&gt;=2,Inputs!$B$45,0))*Inputs!$B$29</f>
        <v>0</v>
      </c>
      <c r="U10" s="10" t="n">
        <f aca="false">INDEX(Monthly!$S$2:$S$601,A10*12)-Inputs!$B$29*MAX(0,INDEX(Monthly!$S$2:$S$601,A10*12)-INDEX(Monthly!$T$2:$T$601,A10*12))</f>
        <v>0</v>
      </c>
      <c r="V10" s="10" t="n">
        <f aca="false">Q10-S10-R10-T10+U10</f>
        <v>316083.147232065</v>
      </c>
      <c r="W10" s="10" t="n">
        <f aca="false">INDEX(Monthly!$Q$2:$Q$601,A10*12)-Inputs!$B$29*MAX(0,INDEX(Monthly!$Q$2:$Q$601,A10*12)-INDEX(Monthly!$R$2:$R$601,A10*12))</f>
        <v>334861.023928194</v>
      </c>
      <c r="X10" s="10" t="n">
        <f aca="false">V10-W10</f>
        <v>-18777.8766961285</v>
      </c>
      <c r="Y10" s="36" t="n">
        <f aca="false">(1+Inputs!$B$22)^A10</f>
        <v>1.28214762413031</v>
      </c>
      <c r="Z10" s="10" t="n">
        <f aca="false">X10/Y10</f>
        <v>-14645.6432494391</v>
      </c>
      <c r="AA10" s="2" t="str">
        <f aca="false">IF(AND(X10&gt;=0,COUNTIF(X10:X$51,"&lt;0")=0),A10,"")</f>
        <v/>
      </c>
      <c r="AB10" s="37" t="n">
        <f aca="false">IF(Inputs!$B$32="Revert",(1+Inputs!$B$18)*EXP(LN(1+Inputs!$B$33)*(0.5^(A10/Inputs!$B$34)-0.5^((A10-1)/Inputs!$B$34)))-1,Inputs!$B$20)</f>
        <v>0.04</v>
      </c>
      <c r="AC10" s="38" t="n">
        <f aca="false">AC9*(1+AB10)</f>
        <v>711655.906210742</v>
      </c>
    </row>
    <row r="11" customFormat="false" ht="15" hidden="false" customHeight="false" outlineLevel="0" collapsed="false">
      <c r="A11" s="2" t="n">
        <v>10</v>
      </c>
      <c r="B11" s="2" t="str">
        <f aca="false">TEXT(2026+A11,"0")</f>
        <v>2036</v>
      </c>
      <c r="C11" s="10" t="n">
        <f aca="false">SUMIF(Monthly!$B$2:$B$601,A11,Monthly!$D$2:$D$601)</f>
        <v>25445.6188959153</v>
      </c>
      <c r="D11" s="10" t="n">
        <f aca="false">SUMIF(Monthly!$B$2:$B$601,A11,Monthly!$E$2:$E$601)</f>
        <v>7396.5706518532</v>
      </c>
      <c r="E11" s="10" t="n">
        <f aca="false">AVERAGEIF(Monthly!$B$2:$B$601,A11,Monthly!$C$2:$C$601)</f>
        <v>349527.732086748</v>
      </c>
      <c r="F11" s="10" t="n">
        <f aca="false">C11*IF(E11&lt;=Inputs!$B$46,1,Inputs!$B$46/E11)</f>
        <v>25445.6188959153</v>
      </c>
      <c r="G11" s="10" t="n">
        <f aca="false">Inputs!$B$12*IF(Inputs!$B$35="",AC10,MIN(AC10,Inputs!$B$7*(1+Inputs!$B$35)^(A11-1)))</f>
        <v>6404.90315589668</v>
      </c>
      <c r="H11" s="7" t="n">
        <f aca="false">Inputs!$B$55</f>
        <v>10000</v>
      </c>
      <c r="I11" s="10" t="n">
        <f aca="false">Inputs!$B$44*(1+Inputs!$B$22)^A11</f>
        <v>42441.1377949119</v>
      </c>
      <c r="J11" s="10" t="n">
        <f aca="false">F11+MIN(H11,G11+Inputs!$B$27)+Inputs!$B$28</f>
        <v>31850.522051812</v>
      </c>
      <c r="K11" s="10" t="n">
        <f aca="false">MIN(H11,Inputs!$B$27)+Inputs!$B$28</f>
        <v>0</v>
      </c>
      <c r="L11" s="2" t="str">
        <f aca="false">IF(J11&gt;I11,"Yes","No")</f>
        <v>No</v>
      </c>
      <c r="M11" s="2"/>
      <c r="N11" s="10" t="n">
        <f aca="false">IF(Inputs!$B$25="Yes",Inputs!$B$26*(MAX(I11,J11)-MAX(I11,K11)),0)</f>
        <v>0</v>
      </c>
      <c r="O11" s="10" t="n">
        <f aca="false">SUMIF(Monthly!$B$2:$B$601,A11,Monthly!$N$2:$N$601)</f>
        <v>48863.1998846425</v>
      </c>
      <c r="P11" s="10" t="n">
        <f aca="false">SUMIF(Monthly!$B$2:$B$601,A11,Monthly!$O$2:$O$601)</f>
        <v>41117.7071700571</v>
      </c>
      <c r="Q11" s="10" t="n">
        <f aca="false">AC11</f>
        <v>740122.142459172</v>
      </c>
      <c r="R11" s="10" t="n">
        <f aca="false">INDEX(Monthly!$F$2:$F$601,A11*12)</f>
        <v>345476.833954179</v>
      </c>
      <c r="S11" s="10" t="n">
        <f aca="false">Q11*Inputs!$B$23</f>
        <v>44407.3285475503</v>
      </c>
      <c r="T11" s="10" t="n">
        <f aca="false">MAX(0,Q11-S11-(Inputs!$B$7+Inputs!$B$40)-IF(A11&gt;=2,Inputs!$B$45,0))*Inputs!$B$29</f>
        <v>0</v>
      </c>
      <c r="U11" s="10" t="n">
        <f aca="false">INDEX(Monthly!$S$2:$S$601,A11*12)-Inputs!$B$29*MAX(0,INDEX(Monthly!$S$2:$S$601,A11*12)-INDEX(Monthly!$T$2:$T$601,A11*12))</f>
        <v>0</v>
      </c>
      <c r="V11" s="10" t="n">
        <f aca="false">Q11-S11-R11-T11+U11</f>
        <v>350237.979957443</v>
      </c>
      <c r="W11" s="10" t="n">
        <f aca="false">INDEX(Monthly!$Q$2:$Q$601,A11*12)-Inputs!$B$29*MAX(0,INDEX(Monthly!$Q$2:$Q$601,A11*12)-INDEX(Monthly!$R$2:$R$601,A11*12))</f>
        <v>363747.870931605</v>
      </c>
      <c r="X11" s="10" t="n">
        <f aca="false">V11-W11</f>
        <v>-13509.8909741621</v>
      </c>
      <c r="Y11" s="36" t="n">
        <f aca="false">(1+Inputs!$B$22)^A11</f>
        <v>1.31804775760596</v>
      </c>
      <c r="Z11" s="10" t="n">
        <f aca="false">X11/Y11</f>
        <v>-10249.9252369283</v>
      </c>
      <c r="AA11" s="2" t="str">
        <f aca="false">IF(AND(X11&gt;=0,COUNTIF(X11:X$51,"&lt;0")=0),A11,"")</f>
        <v/>
      </c>
      <c r="AB11" s="37" t="n">
        <f aca="false">IF(Inputs!$B$32="Revert",(1+Inputs!$B$18)*EXP(LN(1+Inputs!$B$33)*(0.5^(A11/Inputs!$B$34)-0.5^((A11-1)/Inputs!$B$34)))-1,Inputs!$B$20)</f>
        <v>0.04</v>
      </c>
      <c r="AC11" s="38" t="n">
        <f aca="false">AC10*(1+AB11)</f>
        <v>740122.142459172</v>
      </c>
    </row>
    <row r="12" customFormat="false" ht="15" hidden="false" customHeight="false" outlineLevel="0" collapsed="false">
      <c r="A12" s="2" t="n">
        <v>11</v>
      </c>
      <c r="B12" s="2" t="str">
        <f aca="false">TEXT(2026+A12,"0")</f>
        <v>2037</v>
      </c>
      <c r="C12" s="10" t="n">
        <f aca="false">SUMIF(Monthly!$B$2:$B$601,A12,Monthly!$D$2:$D$601)</f>
        <v>24888.8132521708</v>
      </c>
      <c r="D12" s="10" t="n">
        <f aca="false">SUMIF(Monthly!$B$2:$B$601,A12,Monthly!$E$2:$E$601)</f>
        <v>7953.37629559764</v>
      </c>
      <c r="E12" s="10" t="n">
        <f aca="false">AVERAGEIF(Monthly!$B$2:$B$601,A12,Monthly!$C$2:$C$601)</f>
        <v>341879.302914435</v>
      </c>
      <c r="F12" s="10" t="n">
        <f aca="false">C12*IF(E12&lt;=Inputs!$B$46,1,Inputs!$B$46/E12)</f>
        <v>24888.8132521708</v>
      </c>
      <c r="G12" s="10" t="n">
        <f aca="false">Inputs!$B$12*IF(Inputs!$B$35="",AC11,MIN(AC11,Inputs!$B$7*(1+Inputs!$B$35)^(A12-1)))</f>
        <v>6661.09928213255</v>
      </c>
      <c r="H12" s="7" t="n">
        <f aca="false">Inputs!$B$55</f>
        <v>10000</v>
      </c>
      <c r="I12" s="10" t="n">
        <f aca="false">Inputs!$B$44*(1+Inputs!$B$22)^A12</f>
        <v>43629.4896531694</v>
      </c>
      <c r="J12" s="10" t="n">
        <f aca="false">F12+MIN(H12,G12+Inputs!$B$27)+Inputs!$B$28</f>
        <v>31549.9125343034</v>
      </c>
      <c r="K12" s="10" t="n">
        <f aca="false">MIN(H12,Inputs!$B$27)+Inputs!$B$28</f>
        <v>0</v>
      </c>
      <c r="L12" s="2" t="str">
        <f aca="false">IF(J12&gt;I12,"Yes","No")</f>
        <v>No</v>
      </c>
      <c r="M12" s="2"/>
      <c r="N12" s="10" t="n">
        <f aca="false">IF(Inputs!$B$25="Yes",Inputs!$B$26*(MAX(I12,J12)-MAX(I12,K12)),0)</f>
        <v>0</v>
      </c>
      <c r="O12" s="10" t="n">
        <f aca="false">SUMIF(Monthly!$B$2:$B$601,A12,Monthly!$N$2:$N$601)</f>
        <v>49388.6470119457</v>
      </c>
      <c r="P12" s="10" t="n">
        <f aca="false">SUMIF(Monthly!$B$2:$B$601,A12,Monthly!$O$2:$O$601)</f>
        <v>42555.2114150027</v>
      </c>
      <c r="Q12" s="10" t="n">
        <f aca="false">AC12</f>
        <v>769727.028157539</v>
      </c>
      <c r="R12" s="10" t="n">
        <f aca="false">INDEX(Monthly!$F$2:$F$601,A12*12)</f>
        <v>337523.457658582</v>
      </c>
      <c r="S12" s="10" t="n">
        <f aca="false">Q12*Inputs!$B$23</f>
        <v>46183.6216894523</v>
      </c>
      <c r="T12" s="10" t="n">
        <f aca="false">MAX(0,Q12-S12-(Inputs!$B$7+Inputs!$B$40)-IF(A12&gt;=2,Inputs!$B$45,0))*Inputs!$B$29</f>
        <v>0</v>
      </c>
      <c r="U12" s="10" t="n">
        <f aca="false">INDEX(Monthly!$S$2:$S$601,A12*12)-Inputs!$B$29*MAX(0,INDEX(Monthly!$S$2:$S$601,A12*12)-INDEX(Monthly!$T$2:$T$601,A12*12))</f>
        <v>0</v>
      </c>
      <c r="V12" s="10" t="n">
        <f aca="false">Q12-S12-R12-T12+U12</f>
        <v>386019.948809505</v>
      </c>
      <c r="W12" s="10" t="n">
        <f aca="false">INDEX(Monthly!$Q$2:$Q$601,A12*12)-Inputs!$B$29*MAX(0,INDEX(Monthly!$Q$2:$Q$601,A12*12)-INDEX(Monthly!$R$2:$R$601,A12*12))</f>
        <v>393601.417086745</v>
      </c>
      <c r="X12" s="10" t="n">
        <f aca="false">V12-W12</f>
        <v>-7581.46827723965</v>
      </c>
      <c r="Y12" s="36" t="n">
        <f aca="false">(1+Inputs!$B$22)^A12</f>
        <v>1.35495309481893</v>
      </c>
      <c r="Z12" s="10" t="n">
        <f aca="false">X12/Y12</f>
        <v>-5595.37323190721</v>
      </c>
      <c r="AA12" s="2" t="str">
        <f aca="false">IF(AND(X12&gt;=0,COUNTIF(X12:X$51,"&lt;0")=0),A12,"")</f>
        <v/>
      </c>
      <c r="AB12" s="37" t="n">
        <f aca="false">IF(Inputs!$B$32="Revert",(1+Inputs!$B$18)*EXP(LN(1+Inputs!$B$33)*(0.5^(A12/Inputs!$B$34)-0.5^((A12-1)/Inputs!$B$34)))-1,Inputs!$B$20)</f>
        <v>0.04</v>
      </c>
      <c r="AC12" s="38" t="n">
        <f aca="false">AC11*(1+AB12)</f>
        <v>769727.028157539</v>
      </c>
    </row>
    <row r="13" customFormat="false" ht="15" hidden="false" customHeight="false" outlineLevel="0" collapsed="false">
      <c r="A13" s="2" t="n">
        <v>12</v>
      </c>
      <c r="B13" s="2" t="str">
        <f aca="false">TEXT(2026+A13,"0")</f>
        <v>2038</v>
      </c>
      <c r="C13" s="10" t="n">
        <f aca="false">SUMIF(Monthly!$B$2:$B$601,A13,Monthly!$D$2:$D$601)</f>
        <v>24290.0918964703</v>
      </c>
      <c r="D13" s="10" t="n">
        <f aca="false">SUMIF(Monthly!$B$2:$B$601,A13,Monthly!$E$2:$E$601)</f>
        <v>8552.09765129814</v>
      </c>
      <c r="E13" s="10" t="n">
        <f aca="false">AVERAGEIF(Monthly!$B$2:$B$601,A13,Monthly!$C$2:$C$601)</f>
        <v>333655.108467999</v>
      </c>
      <c r="F13" s="10" t="n">
        <f aca="false">C13*IF(E13&lt;=Inputs!$B$46,1,Inputs!$B$46/E13)</f>
        <v>24290.0918964703</v>
      </c>
      <c r="G13" s="10" t="n">
        <f aca="false">Inputs!$B$12*IF(Inputs!$B$35="",AC12,MIN(AC12,Inputs!$B$7*(1+Inputs!$B$35)^(A13-1)))</f>
        <v>6927.54325341785</v>
      </c>
      <c r="H13" s="7" t="n">
        <f aca="false">Inputs!$B$55</f>
        <v>10000</v>
      </c>
      <c r="I13" s="10" t="n">
        <f aca="false">Inputs!$B$44*(1+Inputs!$B$22)^A13</f>
        <v>44851.1153634582</v>
      </c>
      <c r="J13" s="10" t="n">
        <f aca="false">F13+MIN(H13,G13+Inputs!$B$27)+Inputs!$B$28</f>
        <v>31217.6351498882</v>
      </c>
      <c r="K13" s="10" t="n">
        <f aca="false">MIN(H13,Inputs!$B$27)+Inputs!$B$28</f>
        <v>0</v>
      </c>
      <c r="L13" s="2" t="str">
        <f aca="false">IF(J13&gt;I13,"Yes","No")</f>
        <v>No</v>
      </c>
      <c r="M13" s="2"/>
      <c r="N13" s="10" t="n">
        <f aca="false">IF(Inputs!$B$25="Yes",Inputs!$B$26*(MAX(I13,J13)-MAX(I13,K13)),0)</f>
        <v>0</v>
      </c>
      <c r="O13" s="10" t="n">
        <f aca="false">SUMIF(Monthly!$B$2:$B$601,A13,Monthly!$N$2:$N$601)</f>
        <v>49931.8810123283</v>
      </c>
      <c r="P13" s="10" t="n">
        <f aca="false">SUMIF(Monthly!$B$2:$B$601,A13,Monthly!$O$2:$O$601)</f>
        <v>44042.9830743532</v>
      </c>
      <c r="Q13" s="10" t="n">
        <f aca="false">AC13</f>
        <v>800516.109283841</v>
      </c>
      <c r="R13" s="10" t="n">
        <f aca="false">INDEX(Monthly!$F$2:$F$601,A13*12)</f>
        <v>328971.360007283</v>
      </c>
      <c r="S13" s="10" t="n">
        <f aca="false">Q13*Inputs!$B$23</f>
        <v>48030.9665570304</v>
      </c>
      <c r="T13" s="10" t="n">
        <f aca="false">MAX(0,Q13-S13-(Inputs!$B$7+Inputs!$B$40)-IF(A13&gt;=2,Inputs!$B$45,0))*Inputs!$B$29</f>
        <v>0</v>
      </c>
      <c r="U13" s="10" t="n">
        <f aca="false">INDEX(Monthly!$S$2:$S$601,A13*12)-Inputs!$B$29*MAX(0,INDEX(Monthly!$S$2:$S$601,A13*12)-INDEX(Monthly!$T$2:$T$601,A13*12))</f>
        <v>0</v>
      </c>
      <c r="V13" s="10" t="n">
        <f aca="false">Q13-S13-R13-T13+U13</f>
        <v>423513.782719527</v>
      </c>
      <c r="W13" s="10" t="n">
        <f aca="false">INDEX(Monthly!$Q$2:$Q$601,A13*12)-Inputs!$B$29*MAX(0,INDEX(Monthly!$Q$2:$Q$601,A13*12)-INDEX(Monthly!$R$2:$R$601,A13*12))</f>
        <v>424462.298317194</v>
      </c>
      <c r="X13" s="10" t="n">
        <f aca="false">V13-W13</f>
        <v>-948.515597666905</v>
      </c>
      <c r="Y13" s="36" t="n">
        <f aca="false">(1+Inputs!$B$22)^A13</f>
        <v>1.39289178147386</v>
      </c>
      <c r="Z13" s="10" t="n">
        <f aca="false">X13/Y13</f>
        <v>-680.968622460573</v>
      </c>
      <c r="AA13" s="2" t="str">
        <f aca="false">IF(AND(X13&gt;=0,COUNTIF(X13:X$51,"&lt;0")=0),A13,"")</f>
        <v/>
      </c>
      <c r="AB13" s="37" t="n">
        <f aca="false">IF(Inputs!$B$32="Revert",(1+Inputs!$B$18)*EXP(LN(1+Inputs!$B$33)*(0.5^(A13/Inputs!$B$34)-0.5^((A13-1)/Inputs!$B$34)))-1,Inputs!$B$20)</f>
        <v>0.04</v>
      </c>
      <c r="AC13" s="38" t="n">
        <f aca="false">AC12*(1+AB13)</f>
        <v>800516.109283841</v>
      </c>
    </row>
    <row r="14" customFormat="false" ht="15" hidden="false" customHeight="false" outlineLevel="0" collapsed="false">
      <c r="A14" s="2" t="n">
        <v>13</v>
      </c>
      <c r="B14" s="2" t="str">
        <f aca="false">TEXT(2026+A14,"0")</f>
        <v>2039</v>
      </c>
      <c r="C14" s="10" t="n">
        <f aca="false">SUMIF(Monthly!$B$2:$B$601,A14,Monthly!$D$2:$D$601)</f>
        <v>23646.2994604577</v>
      </c>
      <c r="D14" s="10" t="n">
        <f aca="false">SUMIF(Monthly!$B$2:$B$601,A14,Monthly!$E$2:$E$601)</f>
        <v>9195.89008731081</v>
      </c>
      <c r="E14" s="10" t="n">
        <f aca="false">AVERAGEIF(Monthly!$B$2:$B$601,A14,Monthly!$C$2:$C$601)</f>
        <v>324811.805775517</v>
      </c>
      <c r="F14" s="10" t="n">
        <f aca="false">C14*IF(E14&lt;=Inputs!$B$46,1,Inputs!$B$46/E14)</f>
        <v>23646.2994604577</v>
      </c>
      <c r="G14" s="10" t="n">
        <f aca="false">Inputs!$B$12*IF(Inputs!$B$35="",AC13,MIN(AC13,Inputs!$B$7*(1+Inputs!$B$35)^(A14-1)))</f>
        <v>7204.64498355456</v>
      </c>
      <c r="H14" s="7" t="n">
        <f aca="false">Inputs!$B$55</f>
        <v>10000</v>
      </c>
      <c r="I14" s="10" t="n">
        <f aca="false">Inputs!$B$44*(1+Inputs!$B$22)^A14</f>
        <v>46106.946593635</v>
      </c>
      <c r="J14" s="10" t="n">
        <f aca="false">F14+MIN(H14,G14+Inputs!$B$27)+Inputs!$B$28</f>
        <v>30850.9444440122</v>
      </c>
      <c r="K14" s="10" t="n">
        <f aca="false">MIN(H14,Inputs!$B$27)+Inputs!$B$28</f>
        <v>0</v>
      </c>
      <c r="L14" s="2" t="str">
        <f aca="false">IF(J14&gt;I14,"Yes","No")</f>
        <v>No</v>
      </c>
      <c r="M14" s="2"/>
      <c r="N14" s="10" t="n">
        <f aca="false">IF(Inputs!$B$25="Yes",Inputs!$B$26*(MAX(I14,J14)-MAX(I14,K14)),0)</f>
        <v>0</v>
      </c>
      <c r="O14" s="10" t="n">
        <f aca="false">SUMIF(Monthly!$B$2:$B$601,A14,Monthly!$N$2:$N$601)</f>
        <v>50493.522892377</v>
      </c>
      <c r="P14" s="10" t="n">
        <f aca="false">SUMIF(Monthly!$B$2:$B$601,A14,Monthly!$O$2:$O$601)</f>
        <v>45582.7802410561</v>
      </c>
      <c r="Q14" s="10" t="n">
        <f aca="false">AC14</f>
        <v>832536.753655194</v>
      </c>
      <c r="R14" s="10" t="n">
        <f aca="false">INDEX(Monthly!$F$2:$F$601,A14*12)</f>
        <v>319775.469919973</v>
      </c>
      <c r="S14" s="10" t="n">
        <f aca="false">Q14*Inputs!$B$23</f>
        <v>49952.2052193117</v>
      </c>
      <c r="T14" s="10" t="n">
        <f aca="false">MAX(0,Q14-S14-(Inputs!$B$7+Inputs!$B$40)-IF(A14&gt;=2,Inputs!$B$45,0))*Inputs!$B$29</f>
        <v>0</v>
      </c>
      <c r="U14" s="10" t="n">
        <f aca="false">INDEX(Monthly!$S$2:$S$601,A14*12)-Inputs!$B$29*MAX(0,INDEX(Monthly!$S$2:$S$601,A14*12)-INDEX(Monthly!$T$2:$T$601,A14*12))</f>
        <v>0</v>
      </c>
      <c r="V14" s="10" t="n">
        <f aca="false">Q14-S14-R14-T14+U14</f>
        <v>462809.07851591</v>
      </c>
      <c r="W14" s="10" t="n">
        <f aca="false">INDEX(Monthly!$Q$2:$Q$601,A14*12)-Inputs!$B$29*MAX(0,INDEX(Monthly!$Q$2:$Q$601,A14*12)-INDEX(Monthly!$R$2:$R$601,A14*12))</f>
        <v>456373.041609644</v>
      </c>
      <c r="X14" s="10" t="n">
        <f aca="false">V14-W14</f>
        <v>6436.03690626583</v>
      </c>
      <c r="Y14" s="36" t="n">
        <f aca="false">(1+Inputs!$B$22)^A14</f>
        <v>1.43189275135512</v>
      </c>
      <c r="Z14" s="10" t="n">
        <f aca="false">X14/Y14</f>
        <v>4494.77581346428</v>
      </c>
      <c r="AA14" s="2" t="n">
        <f aca="false">IF(AND(X14&gt;=0,COUNTIF(X14:X$51,"&lt;0")=0),A14,"")</f>
        <v>13</v>
      </c>
      <c r="AB14" s="37" t="n">
        <f aca="false">IF(Inputs!$B$32="Revert",(1+Inputs!$B$18)*EXP(LN(1+Inputs!$B$33)*(0.5^(A14/Inputs!$B$34)-0.5^((A14-1)/Inputs!$B$34)))-1,Inputs!$B$20)</f>
        <v>0.04</v>
      </c>
      <c r="AC14" s="38" t="n">
        <f aca="false">AC13*(1+AB14)</f>
        <v>832536.753655194</v>
      </c>
    </row>
    <row r="15" customFormat="false" ht="15" hidden="false" customHeight="false" outlineLevel="0" collapsed="false">
      <c r="A15" s="2" t="n">
        <v>14</v>
      </c>
      <c r="B15" s="2" t="str">
        <f aca="false">TEXT(2026+A15,"0")</f>
        <v>2040</v>
      </c>
      <c r="C15" s="10" t="n">
        <f aca="false">SUMIF(Monthly!$B$2:$B$601,A15,Monthly!$D$2:$D$601)</f>
        <v>22954.0430431428</v>
      </c>
      <c r="D15" s="10" t="n">
        <f aca="false">SUMIF(Monthly!$B$2:$B$601,A15,Monthly!$E$2:$E$601)</f>
        <v>9888.14650462569</v>
      </c>
      <c r="E15" s="10" t="n">
        <f aca="false">AVERAGEIF(Monthly!$B$2:$B$601,A15,Monthly!$C$2:$C$601)</f>
        <v>315302.789054159</v>
      </c>
      <c r="F15" s="10" t="n">
        <f aca="false">C15*IF(E15&lt;=Inputs!$B$46,1,Inputs!$B$46/E15)</f>
        <v>22954.0430431428</v>
      </c>
      <c r="G15" s="10" t="n">
        <f aca="false">Inputs!$B$12*IF(Inputs!$B$35="",AC14,MIN(AC14,Inputs!$B$7*(1+Inputs!$B$35)^(A15-1)))</f>
        <v>7492.83078289675</v>
      </c>
      <c r="H15" s="7" t="n">
        <f aca="false">Inputs!$B$55</f>
        <v>10000</v>
      </c>
      <c r="I15" s="10" t="n">
        <f aca="false">Inputs!$B$44*(1+Inputs!$B$22)^A15</f>
        <v>47397.9410982568</v>
      </c>
      <c r="J15" s="10" t="n">
        <f aca="false">F15+MIN(H15,G15+Inputs!$B$27)+Inputs!$B$28</f>
        <v>30446.8738260395</v>
      </c>
      <c r="K15" s="10" t="n">
        <f aca="false">MIN(H15,Inputs!$B$27)+Inputs!$B$28</f>
        <v>0</v>
      </c>
      <c r="L15" s="2" t="str">
        <f aca="false">IF(J15&gt;I15,"Yes","No")</f>
        <v>No</v>
      </c>
      <c r="M15" s="2"/>
      <c r="N15" s="10" t="n">
        <f aca="false">IF(Inputs!$B$25="Yes",Inputs!$B$26*(MAX(I15,J15)-MAX(I15,K15)),0)</f>
        <v>0</v>
      </c>
      <c r="O15" s="10" t="n">
        <f aca="false">SUMIF(Monthly!$B$2:$B$601,A15,Monthly!$N$2:$N$601)</f>
        <v>51074.2159658286</v>
      </c>
      <c r="P15" s="10" t="n">
        <f aca="false">SUMIF(Monthly!$B$2:$B$601,A15,Monthly!$O$2:$O$601)</f>
        <v>47176.4225058484</v>
      </c>
      <c r="Q15" s="10" t="n">
        <f aca="false">AC15</f>
        <v>865838.223801402</v>
      </c>
      <c r="R15" s="10" t="n">
        <f aca="false">INDEX(Monthly!$F$2:$F$601,A15*12)</f>
        <v>309887.323415347</v>
      </c>
      <c r="S15" s="10" t="n">
        <f aca="false">Q15*Inputs!$B$23</f>
        <v>51950.2934280841</v>
      </c>
      <c r="T15" s="10" t="n">
        <f aca="false">MAX(0,Q15-S15-(Inputs!$B$7+Inputs!$B$40)-IF(A15&gt;=2,Inputs!$B$45,0))*Inputs!$B$29</f>
        <v>0</v>
      </c>
      <c r="U15" s="10" t="n">
        <f aca="false">INDEX(Monthly!$S$2:$S$601,A15*12)-Inputs!$B$29*MAX(0,INDEX(Monthly!$S$2:$S$601,A15*12)-INDEX(Monthly!$T$2:$T$601,A15*12))</f>
        <v>0</v>
      </c>
      <c r="V15" s="10" t="n">
        <f aca="false">Q15-S15-R15-T15+U15</f>
        <v>504000.606957971</v>
      </c>
      <c r="W15" s="10" t="n">
        <f aca="false">INDEX(Monthly!$Q$2:$Q$601,A15*12)-Inputs!$B$29*MAX(0,INDEX(Monthly!$Q$2:$Q$601,A15*12)-INDEX(Monthly!$R$2:$R$601,A15*12))</f>
        <v>489378.163821203</v>
      </c>
      <c r="X15" s="10" t="n">
        <f aca="false">V15-W15</f>
        <v>14622.443136768</v>
      </c>
      <c r="Y15" s="36" t="n">
        <f aca="false">(1+Inputs!$B$22)^A15</f>
        <v>1.47198574839307</v>
      </c>
      <c r="Z15" s="10" t="n">
        <f aca="false">X15/Y15</f>
        <v>9933.82113429494</v>
      </c>
      <c r="AA15" s="2" t="n">
        <f aca="false">IF(AND(X15&gt;=0,COUNTIF(X15:X$51,"&lt;0")=0),A15,"")</f>
        <v>14</v>
      </c>
      <c r="AB15" s="37" t="n">
        <f aca="false">IF(Inputs!$B$32="Revert",(1+Inputs!$B$18)*EXP(LN(1+Inputs!$B$33)*(0.5^(A15/Inputs!$B$34)-0.5^((A15-1)/Inputs!$B$34)))-1,Inputs!$B$20)</f>
        <v>0.04</v>
      </c>
      <c r="AC15" s="38" t="n">
        <f aca="false">AC14*(1+AB15)</f>
        <v>865838.223801402</v>
      </c>
    </row>
    <row r="16" customFormat="false" ht="15" hidden="false" customHeight="false" outlineLevel="0" collapsed="false">
      <c r="A16" s="2" t="n">
        <v>15</v>
      </c>
      <c r="B16" s="2" t="str">
        <f aca="false">TEXT(2026+A16,"0")</f>
        <v>2041</v>
      </c>
      <c r="C16" s="10" t="n">
        <f aca="false">SUMIF(Monthly!$B$2:$B$601,A16,Monthly!$D$2:$D$601)</f>
        <v>22209.6743297083</v>
      </c>
      <c r="D16" s="10" t="n">
        <f aca="false">SUMIF(Monthly!$B$2:$B$601,A16,Monthly!$E$2:$E$601)</f>
        <v>10632.5152180602</v>
      </c>
      <c r="E16" s="10" t="n">
        <f aca="false">AVERAGEIF(Monthly!$B$2:$B$601,A16,Monthly!$C$2:$C$601)</f>
        <v>305077.944089399</v>
      </c>
      <c r="F16" s="10" t="n">
        <f aca="false">C16*IF(E16&lt;=Inputs!$B$46,1,Inputs!$B$46/E16)</f>
        <v>22209.6743297083</v>
      </c>
      <c r="G16" s="10" t="n">
        <f aca="false">Inputs!$B$12*IF(Inputs!$B$35="",AC15,MIN(AC15,Inputs!$B$7*(1+Inputs!$B$35)^(A16-1)))</f>
        <v>7792.54401421262</v>
      </c>
      <c r="H16" s="7" t="n">
        <f aca="false">Inputs!$B$55</f>
        <v>10000</v>
      </c>
      <c r="I16" s="10" t="n">
        <f aca="false">Inputs!$B$44*(1+Inputs!$B$22)^A16</f>
        <v>48725.083449008</v>
      </c>
      <c r="J16" s="10" t="n">
        <f aca="false">F16+MIN(H16,G16+Inputs!$B$27)+Inputs!$B$28</f>
        <v>30002.2183439209</v>
      </c>
      <c r="K16" s="10" t="n">
        <f aca="false">MIN(H16,Inputs!$B$27)+Inputs!$B$28</f>
        <v>0</v>
      </c>
      <c r="L16" s="2" t="str">
        <f aca="false">IF(J16&gt;I16,"Yes","No")</f>
        <v>No</v>
      </c>
      <c r="M16" s="2"/>
      <c r="N16" s="10" t="n">
        <f aca="false">IF(Inputs!$B$25="Yes",Inputs!$B$26*(MAX(I16,J16)-MAX(I16,K16)),0)</f>
        <v>0</v>
      </c>
      <c r="O16" s="10" t="n">
        <f aca="false">SUMIF(Monthly!$B$2:$B$601,A16,Monthly!$N$2:$N$601)</f>
        <v>51674.6266749291</v>
      </c>
      <c r="P16" s="10" t="n">
        <f aca="false">SUMIF(Monthly!$B$2:$B$601,A16,Monthly!$O$2:$O$601)</f>
        <v>48825.7931086864</v>
      </c>
      <c r="Q16" s="10" t="n">
        <f aca="false">AC16</f>
        <v>900471.752753458</v>
      </c>
      <c r="R16" s="10" t="n">
        <f aca="false">INDEX(Monthly!$F$2:$F$601,A16*12)</f>
        <v>299254.808197287</v>
      </c>
      <c r="S16" s="10" t="n">
        <f aca="false">Q16*Inputs!$B$23</f>
        <v>54028.3051652075</v>
      </c>
      <c r="T16" s="10" t="n">
        <f aca="false">MAX(0,Q16-S16-(Inputs!$B$7+Inputs!$B$40)-IF(A16&gt;=2,Inputs!$B$45,0))*Inputs!$B$29</f>
        <v>0</v>
      </c>
      <c r="U16" s="10" t="n">
        <f aca="false">INDEX(Monthly!$S$2:$S$601,A16*12)-Inputs!$B$29*MAX(0,INDEX(Monthly!$S$2:$S$601,A16*12)-INDEX(Monthly!$T$2:$T$601,A16*12))</f>
        <v>0</v>
      </c>
      <c r="V16" s="10" t="n">
        <f aca="false">Q16-S16-R16-T16+U16</f>
        <v>547188.639390964</v>
      </c>
      <c r="W16" s="10" t="n">
        <f aca="false">INDEX(Monthly!$Q$2:$Q$601,A16*12)-Inputs!$B$29*MAX(0,INDEX(Monthly!$Q$2:$Q$601,A16*12)-INDEX(Monthly!$R$2:$R$601,A16*12))</f>
        <v>523524.276208507</v>
      </c>
      <c r="X16" s="10" t="n">
        <f aca="false">V16-W16</f>
        <v>23664.3631824568</v>
      </c>
      <c r="Y16" s="36" t="n">
        <f aca="false">(1+Inputs!$B$22)^A16</f>
        <v>1.51320134934807</v>
      </c>
      <c r="Z16" s="10" t="n">
        <f aca="false">X16/Y16</f>
        <v>15638.6083006416</v>
      </c>
      <c r="AA16" s="2" t="n">
        <f aca="false">IF(AND(X16&gt;=0,COUNTIF(X16:X$51,"&lt;0")=0),A16,"")</f>
        <v>15</v>
      </c>
      <c r="AB16" s="37" t="n">
        <f aca="false">IF(Inputs!$B$32="Revert",(1+Inputs!$B$18)*EXP(LN(1+Inputs!$B$33)*(0.5^(A16/Inputs!$B$34)-0.5^((A16-1)/Inputs!$B$34)))-1,Inputs!$B$20)</f>
        <v>0.04</v>
      </c>
      <c r="AC16" s="38" t="n">
        <f aca="false">AC15*(1+AB16)</f>
        <v>900471.752753458</v>
      </c>
    </row>
    <row r="17" customFormat="false" ht="15" hidden="false" customHeight="false" outlineLevel="0" collapsed="false">
      <c r="A17" s="2" t="n">
        <v>16</v>
      </c>
      <c r="B17" s="2" t="str">
        <f aca="false">TEXT(2026+A17,"0")</f>
        <v>2042</v>
      </c>
      <c r="C17" s="10" t="n">
        <f aca="false">SUMIF(Monthly!$B$2:$B$601,A17,Monthly!$D$2:$D$601)</f>
        <v>21409.2703642393</v>
      </c>
      <c r="D17" s="10" t="n">
        <f aca="false">SUMIF(Monthly!$B$2:$B$601,A17,Monthly!$E$2:$E$601)</f>
        <v>11432.9191835292</v>
      </c>
      <c r="E17" s="10" t="n">
        <f aca="false">AVERAGEIF(Monthly!$B$2:$B$601,A17,Monthly!$C$2:$C$601)</f>
        <v>294083.384124166</v>
      </c>
      <c r="F17" s="10" t="n">
        <f aca="false">C17*IF(E17&lt;=Inputs!$B$46,1,Inputs!$B$46/E17)</f>
        <v>21409.2703642393</v>
      </c>
      <c r="G17" s="10" t="n">
        <f aca="false">Inputs!$B$12*IF(Inputs!$B$35="",AC16,MIN(AC16,Inputs!$B$7*(1+Inputs!$B$35)^(A17-1)))</f>
        <v>8104.24577478112</v>
      </c>
      <c r="H17" s="7" t="n">
        <f aca="false">Inputs!$B$55</f>
        <v>10000</v>
      </c>
      <c r="I17" s="10" t="n">
        <f aca="false">Inputs!$B$44*(1+Inputs!$B$22)^A17</f>
        <v>50089.3857855802</v>
      </c>
      <c r="J17" s="10" t="n">
        <f aca="false">F17+MIN(H17,G17+Inputs!$B$27)+Inputs!$B$28</f>
        <v>29513.5161390204</v>
      </c>
      <c r="K17" s="10" t="n">
        <f aca="false">MIN(H17,Inputs!$B$27)+Inputs!$B$28</f>
        <v>0</v>
      </c>
      <c r="L17" s="2" t="str">
        <f aca="false">IF(J17&gt;I17,"Yes","No")</f>
        <v>No</v>
      </c>
      <c r="M17" s="2"/>
      <c r="N17" s="10" t="n">
        <f aca="false">IF(Inputs!$B$25="Yes",Inputs!$B$26*(MAX(I17,J17)-MAX(I17,K17)),0)</f>
        <v>0</v>
      </c>
      <c r="O17" s="10" t="n">
        <f aca="false">SUMIF(Monthly!$B$2:$B$601,A17,Monthly!$N$2:$N$601)</f>
        <v>52295.4454426601</v>
      </c>
      <c r="P17" s="10" t="n">
        <f aca="false">SUMIF(Monthly!$B$2:$B$601,A17,Monthly!$O$2:$O$601)</f>
        <v>50532.8411654474</v>
      </c>
      <c r="Q17" s="10" t="n">
        <f aca="false">AC17</f>
        <v>936490.622863596</v>
      </c>
      <c r="R17" s="10" t="n">
        <f aca="false">INDEX(Monthly!$F$2:$F$601,A17*12)</f>
        <v>287821.889013758</v>
      </c>
      <c r="S17" s="10" t="n">
        <f aca="false">Q17*Inputs!$B$23</f>
        <v>56189.4373718158</v>
      </c>
      <c r="T17" s="10" t="n">
        <f aca="false">MAX(0,Q17-S17-(Inputs!$B$7+Inputs!$B$40)-IF(A17&gt;=2,Inputs!$B$45,0))*Inputs!$B$29</f>
        <v>0</v>
      </c>
      <c r="U17" s="10" t="n">
        <f aca="false">INDEX(Monthly!$S$2:$S$601,A17*12)-Inputs!$B$29*MAX(0,INDEX(Monthly!$S$2:$S$601,A17*12)-INDEX(Monthly!$T$2:$T$601,A17*12))</f>
        <v>0</v>
      </c>
      <c r="V17" s="10" t="n">
        <f aca="false">Q17-S17-R17-T17+U17</f>
        <v>592479.296478023</v>
      </c>
      <c r="W17" s="10" t="n">
        <f aca="false">INDEX(Monthly!$Q$2:$Q$601,A17*12)-Inputs!$B$29*MAX(0,INDEX(Monthly!$Q$2:$Q$601,A17*12)-INDEX(Monthly!$R$2:$R$601,A17*12))</f>
        <v>558860.195035245</v>
      </c>
      <c r="X17" s="10" t="n">
        <f aca="false">V17-W17</f>
        <v>33619.1014427781</v>
      </c>
      <c r="Y17" s="36" t="n">
        <f aca="false">(1+Inputs!$B$22)^A17</f>
        <v>1.55557098712982</v>
      </c>
      <c r="Z17" s="10" t="n">
        <f aca="false">X17/Y17</f>
        <v>21612.0651008082</v>
      </c>
      <c r="AA17" s="2" t="n">
        <f aca="false">IF(AND(X17&gt;=0,COUNTIF(X17:X$51,"&lt;0")=0),A17,"")</f>
        <v>16</v>
      </c>
      <c r="AB17" s="37" t="n">
        <f aca="false">IF(Inputs!$B$32="Revert",(1+Inputs!$B$18)*EXP(LN(1+Inputs!$B$33)*(0.5^(A17/Inputs!$B$34)-0.5^((A17-1)/Inputs!$B$34)))-1,Inputs!$B$20)</f>
        <v>0.04</v>
      </c>
      <c r="AC17" s="38" t="n">
        <f aca="false">AC16*(1+AB17)</f>
        <v>936490.622863596</v>
      </c>
    </row>
    <row r="18" customFormat="false" ht="15" hidden="false" customHeight="false" outlineLevel="0" collapsed="false">
      <c r="A18" s="2" t="n">
        <v>17</v>
      </c>
      <c r="B18" s="2" t="str">
        <f aca="false">TEXT(2026+A18,"0")</f>
        <v>2043</v>
      </c>
      <c r="C18" s="10" t="n">
        <f aca="false">SUMIF(Monthly!$B$2:$B$601,A18,Monthly!$D$2:$D$601)</f>
        <v>20548.6128750462</v>
      </c>
      <c r="D18" s="10" t="n">
        <f aca="false">SUMIF(Monthly!$B$2:$B$601,A18,Monthly!$E$2:$E$601)</f>
        <v>12293.5766727222</v>
      </c>
      <c r="E18" s="10" t="n">
        <f aca="false">AVERAGEIF(Monthly!$B$2:$B$601,A18,Monthly!$C$2:$C$601)</f>
        <v>282261.16586602</v>
      </c>
      <c r="F18" s="10" t="n">
        <f aca="false">C18*IF(E18&lt;=Inputs!$B$46,1,Inputs!$B$46/E18)</f>
        <v>20548.6128750462</v>
      </c>
      <c r="G18" s="10" t="n">
        <f aca="false">Inputs!$B$12*IF(Inputs!$B$35="",AC17,MIN(AC17,Inputs!$B$7*(1+Inputs!$B$35)^(A18-1)))</f>
        <v>8428.41560577237</v>
      </c>
      <c r="H18" s="7" t="n">
        <f aca="false">Inputs!$B$55</f>
        <v>10000</v>
      </c>
      <c r="I18" s="10" t="n">
        <f aca="false">Inputs!$B$44*(1+Inputs!$B$22)^A18</f>
        <v>51491.8885875764</v>
      </c>
      <c r="J18" s="10" t="n">
        <f aca="false">F18+MIN(H18,G18+Inputs!$B$27)+Inputs!$B$28</f>
        <v>28977.0284808186</v>
      </c>
      <c r="K18" s="10" t="n">
        <f aca="false">MIN(H18,Inputs!$B$27)+Inputs!$B$28</f>
        <v>0</v>
      </c>
      <c r="L18" s="2" t="str">
        <f aca="false">IF(J18&gt;I18,"Yes","No")</f>
        <v>No</v>
      </c>
      <c r="M18" s="2"/>
      <c r="N18" s="10" t="n">
        <f aca="false">IF(Inputs!$B$25="Yes",Inputs!$B$26*(MAX(I18,J18)-MAX(I18,K18)),0)</f>
        <v>0</v>
      </c>
      <c r="O18" s="10" t="n">
        <f aca="false">SUMIF(Monthly!$B$2:$B$601,A18,Monthly!$N$2:$N$601)</f>
        <v>52937.3875570145</v>
      </c>
      <c r="P18" s="10" t="n">
        <f aca="false">SUMIF(Monthly!$B$2:$B$601,A18,Monthly!$O$2:$O$601)</f>
        <v>52299.5839725379</v>
      </c>
      <c r="Q18" s="10" t="n">
        <f aca="false">AC18</f>
        <v>973950.24777814</v>
      </c>
      <c r="R18" s="10" t="n">
        <f aca="false">INDEX(Monthly!$F$2:$F$601,A18*12)</f>
        <v>275528.312341035</v>
      </c>
      <c r="S18" s="10" t="n">
        <f aca="false">Q18*Inputs!$B$23</f>
        <v>58437.0148666884</v>
      </c>
      <c r="T18" s="10" t="n">
        <f aca="false">MAX(0,Q18-S18-(Inputs!$B$7+Inputs!$B$40)-IF(A18&gt;=2,Inputs!$B$45,0))*Inputs!$B$29</f>
        <v>0</v>
      </c>
      <c r="U18" s="10" t="n">
        <f aca="false">INDEX(Monthly!$S$2:$S$601,A18*12)-Inputs!$B$29*MAX(0,INDEX(Monthly!$S$2:$S$601,A18*12)-INDEX(Monthly!$T$2:$T$601,A18*12))</f>
        <v>0</v>
      </c>
      <c r="V18" s="10" t="n">
        <f aca="false">Q18-S18-R18-T18+U18</f>
        <v>639984.920570417</v>
      </c>
      <c r="W18" s="10" t="n">
        <f aca="false">INDEX(Monthly!$Q$2:$Q$601,A18*12)-Inputs!$B$29*MAX(0,INDEX(Monthly!$Q$2:$Q$601,A18*12)-INDEX(Monthly!$R$2:$R$601,A18*12))</f>
        <v>595437.058637895</v>
      </c>
      <c r="X18" s="10" t="n">
        <f aca="false">V18-W18</f>
        <v>44547.8619325218</v>
      </c>
      <c r="Y18" s="36" t="n">
        <f aca="false">(1+Inputs!$B$22)^A18</f>
        <v>1.59912697476945</v>
      </c>
      <c r="Z18" s="10" t="n">
        <f aca="false">X18/Y18</f>
        <v>27857.6139577311</v>
      </c>
      <c r="AA18" s="2" t="n">
        <f aca="false">IF(AND(X18&gt;=0,COUNTIF(X18:X$51,"&lt;0")=0),A18,"")</f>
        <v>17</v>
      </c>
      <c r="AB18" s="37" t="n">
        <f aca="false">IF(Inputs!$B$32="Revert",(1+Inputs!$B$18)*EXP(LN(1+Inputs!$B$33)*(0.5^(A18/Inputs!$B$34)-0.5^((A18-1)/Inputs!$B$34)))-1,Inputs!$B$20)</f>
        <v>0.04</v>
      </c>
      <c r="AC18" s="38" t="n">
        <f aca="false">AC17*(1+AB18)</f>
        <v>973950.24777814</v>
      </c>
    </row>
    <row r="19" customFormat="false" ht="15" hidden="false" customHeight="false" outlineLevel="0" collapsed="false">
      <c r="A19" s="2" t="n">
        <v>18</v>
      </c>
      <c r="B19" s="2" t="str">
        <f aca="false">TEXT(2026+A19,"0")</f>
        <v>2044</v>
      </c>
      <c r="C19" s="10" t="n">
        <f aca="false">SUMIF(Monthly!$B$2:$B$601,A19,Monthly!$D$2:$D$601)</f>
        <v>19623.1660436201</v>
      </c>
      <c r="D19" s="10" t="n">
        <f aca="false">SUMIF(Monthly!$B$2:$B$601,A19,Monthly!$E$2:$E$601)</f>
        <v>13219.0235041483</v>
      </c>
      <c r="E19" s="10" t="n">
        <f aca="false">AVERAGEIF(Monthly!$B$2:$B$601,A19,Monthly!$C$2:$C$601)</f>
        <v>269548.984115661</v>
      </c>
      <c r="F19" s="10" t="n">
        <f aca="false">C19*IF(E19&lt;=Inputs!$B$46,1,Inputs!$B$46/E19)</f>
        <v>19623.1660436201</v>
      </c>
      <c r="G19" s="10" t="n">
        <f aca="false">Inputs!$B$12*IF(Inputs!$B$35="",AC18,MIN(AC18,Inputs!$B$7*(1+Inputs!$B$35)^(A19-1)))</f>
        <v>8765.55223000326</v>
      </c>
      <c r="H19" s="7" t="n">
        <f aca="false">Inputs!$B$55</f>
        <v>10000</v>
      </c>
      <c r="I19" s="10" t="n">
        <f aca="false">Inputs!$B$44*(1+Inputs!$B$22)^A19</f>
        <v>52933.6614680286</v>
      </c>
      <c r="J19" s="10" t="n">
        <f aca="false">F19+MIN(H19,G19+Inputs!$B$27)+Inputs!$B$28</f>
        <v>28388.7182736234</v>
      </c>
      <c r="K19" s="10" t="n">
        <f aca="false">MIN(H19,Inputs!$B$27)+Inputs!$B$28</f>
        <v>0</v>
      </c>
      <c r="L19" s="2" t="str">
        <f aca="false">IF(J19&gt;I19,"Yes","No")</f>
        <v>No</v>
      </c>
      <c r="M19" s="2"/>
      <c r="N19" s="10" t="n">
        <f aca="false">IF(Inputs!$B$25="Yes",Inputs!$B$26*(MAX(I19,J19)-MAX(I19,K19)),0)</f>
        <v>0</v>
      </c>
      <c r="O19" s="10" t="n">
        <f aca="false">SUMIF(Monthly!$B$2:$B$601,A19,Monthly!$N$2:$N$601)</f>
        <v>53601.1940885426</v>
      </c>
      <c r="P19" s="10" t="n">
        <f aca="false">SUMIF(Monthly!$B$2:$B$601,A19,Monthly!$O$2:$O$601)</f>
        <v>54128.1093921329</v>
      </c>
      <c r="Q19" s="10" t="n">
        <f aca="false">AC19</f>
        <v>1012908.25768927</v>
      </c>
      <c r="R19" s="10" t="n">
        <f aca="false">INDEX(Monthly!$F$2:$F$601,A19*12)</f>
        <v>262309.288836887</v>
      </c>
      <c r="S19" s="10" t="n">
        <f aca="false">Q19*Inputs!$B$23</f>
        <v>60774.495461356</v>
      </c>
      <c r="T19" s="10" t="n">
        <f aca="false">MAX(0,Q19-S19-(Inputs!$B$7+Inputs!$B$40)-IF(A19&gt;=2,Inputs!$B$45,0))*Inputs!$B$29</f>
        <v>0</v>
      </c>
      <c r="U19" s="10" t="n">
        <f aca="false">INDEX(Monthly!$S$2:$S$601,A19*12)-Inputs!$B$29*MAX(0,INDEX(Monthly!$S$2:$S$601,A19*12)-INDEX(Monthly!$T$2:$T$601,A19*12))</f>
        <v>541.102651295359</v>
      </c>
      <c r="V19" s="10" t="n">
        <f aca="false">Q19-S19-R19-T19+U19</f>
        <v>690365.576042318</v>
      </c>
      <c r="W19" s="10" t="n">
        <f aca="false">INDEX(Monthly!$Q$2:$Q$601,A19*12)-Inputs!$B$29*MAX(0,INDEX(Monthly!$Q$2:$Q$601,A19*12)-INDEX(Monthly!$R$2:$R$601,A19*12))</f>
        <v>633849.554005573</v>
      </c>
      <c r="X19" s="10" t="n">
        <f aca="false">V19-W19</f>
        <v>56516.0220367452</v>
      </c>
      <c r="Y19" s="36" t="n">
        <f aca="false">(1+Inputs!$B$22)^A19</f>
        <v>1.643902530063</v>
      </c>
      <c r="Z19" s="10" t="n">
        <f aca="false">X19/Y19</f>
        <v>34379.1806407034</v>
      </c>
      <c r="AA19" s="2" t="n">
        <f aca="false">IF(AND(X19&gt;=0,COUNTIF(X19:X$51,"&lt;0")=0),A19,"")</f>
        <v>18</v>
      </c>
      <c r="AB19" s="37" t="n">
        <f aca="false">IF(Inputs!$B$32="Revert",(1+Inputs!$B$18)*EXP(LN(1+Inputs!$B$33)*(0.5^(A19/Inputs!$B$34)-0.5^((A19-1)/Inputs!$B$34)))-1,Inputs!$B$20)</f>
        <v>0.04</v>
      </c>
      <c r="AC19" s="38" t="n">
        <f aca="false">AC18*(1+AB19)</f>
        <v>1012908.25768927</v>
      </c>
    </row>
    <row r="20" customFormat="false" ht="15" hidden="false" customHeight="false" outlineLevel="0" collapsed="false">
      <c r="A20" s="2" t="n">
        <v>19</v>
      </c>
      <c r="B20" s="2" t="str">
        <f aca="false">TEXT(2026+A20,"0")</f>
        <v>2045</v>
      </c>
      <c r="C20" s="10" t="n">
        <f aca="false">SUMIF(Monthly!$B$2:$B$601,A20,Monthly!$D$2:$D$601)</f>
        <v>18628.0526000602</v>
      </c>
      <c r="D20" s="10" t="n">
        <f aca="false">SUMIF(Monthly!$B$2:$B$601,A20,Monthly!$E$2:$E$601)</f>
        <v>14214.1369477083</v>
      </c>
      <c r="E20" s="10" t="n">
        <f aca="false">AVERAGEIF(Monthly!$B$2:$B$601,A20,Monthly!$C$2:$C$601)</f>
        <v>255879.84340742</v>
      </c>
      <c r="F20" s="10" t="n">
        <f aca="false">C20*IF(E20&lt;=Inputs!$B$46,1,Inputs!$B$46/E20)</f>
        <v>18628.0526000602</v>
      </c>
      <c r="G20" s="10" t="n">
        <f aca="false">Inputs!$B$12*IF(Inputs!$B$35="",AC19,MIN(AC19,Inputs!$B$7*(1+Inputs!$B$35)^(A20-1)))</f>
        <v>9116.17431920339</v>
      </c>
      <c r="H20" s="7" t="n">
        <f aca="false">Inputs!$B$55</f>
        <v>10000</v>
      </c>
      <c r="I20" s="10" t="n">
        <f aca="false">Inputs!$B$44*(1+Inputs!$B$22)^A20</f>
        <v>54415.8039891334</v>
      </c>
      <c r="J20" s="10" t="n">
        <f aca="false">F20+MIN(H20,G20+Inputs!$B$27)+Inputs!$B$28</f>
        <v>27744.2269192636</v>
      </c>
      <c r="K20" s="10" t="n">
        <f aca="false">MIN(H20,Inputs!$B$27)+Inputs!$B$28</f>
        <v>0</v>
      </c>
      <c r="L20" s="2" t="str">
        <f aca="false">IF(J20&gt;I20,"Yes","No")</f>
        <v>No</v>
      </c>
      <c r="M20" s="2"/>
      <c r="N20" s="10" t="n">
        <f aca="false">IF(Inputs!$B$25="Yes",Inputs!$B$26*(MAX(I20,J20)-MAX(I20,K20)),0)</f>
        <v>0</v>
      </c>
      <c r="O20" s="10" t="n">
        <f aca="false">SUMIF(Monthly!$B$2:$B$601,A20,Monthly!$N$2:$N$601)</f>
        <v>54287.6328424443</v>
      </c>
      <c r="P20" s="10" t="n">
        <f aca="false">SUMIF(Monthly!$B$2:$B$601,A20,Monthly!$O$2:$O$601)</f>
        <v>56020.5783208694</v>
      </c>
      <c r="Q20" s="10" t="n">
        <f aca="false">AC20</f>
        <v>1053424.58799684</v>
      </c>
      <c r="R20" s="10" t="n">
        <f aca="false">INDEX(Monthly!$F$2:$F$601,A20*12)</f>
        <v>248095.151889179</v>
      </c>
      <c r="S20" s="10" t="n">
        <f aca="false">Q20*Inputs!$B$23</f>
        <v>63205.4752798102</v>
      </c>
      <c r="T20" s="10" t="n">
        <f aca="false">MAX(0,Q20-S20-(Inputs!$B$7+Inputs!$B$40)-IF(A20&gt;=2,Inputs!$B$45,0))*Inputs!$B$29</f>
        <v>0</v>
      </c>
      <c r="U20" s="10" t="n">
        <f aca="false">INDEX(Monthly!$S$2:$S$601,A20*12)-Inputs!$B$29*MAX(0,INDEX(Monthly!$S$2:$S$601,A20*12)-INDEX(Monthly!$T$2:$T$601,A20*12))</f>
        <v>2353.00402383504</v>
      </c>
      <c r="V20" s="10" t="n">
        <f aca="false">Q20-S20-R20-T20+U20</f>
        <v>744476.964851683</v>
      </c>
      <c r="W20" s="10" t="n">
        <f aca="false">INDEX(Monthly!$Q$2:$Q$601,A20*12)-Inputs!$B$29*MAX(0,INDEX(Monthly!$Q$2:$Q$601,A20*12)-INDEX(Monthly!$R$2:$R$601,A20*12))</f>
        <v>674883.538769798</v>
      </c>
      <c r="X20" s="10" t="n">
        <f aca="false">V20-W20</f>
        <v>69593.4260818849</v>
      </c>
      <c r="Y20" s="36" t="n">
        <f aca="false">(1+Inputs!$B$22)^A20</f>
        <v>1.68993180090476</v>
      </c>
      <c r="Z20" s="10" t="n">
        <f aca="false">X20/Y20</f>
        <v>41181.2039069421</v>
      </c>
      <c r="AA20" s="2" t="n">
        <f aca="false">IF(AND(X20&gt;=0,COUNTIF(X20:X$51,"&lt;0")=0),A20,"")</f>
        <v>19</v>
      </c>
      <c r="AB20" s="37" t="n">
        <f aca="false">IF(Inputs!$B$32="Revert",(1+Inputs!$B$18)*EXP(LN(1+Inputs!$B$33)*(0.5^(A20/Inputs!$B$34)-0.5^((A20-1)/Inputs!$B$34)))-1,Inputs!$B$20)</f>
        <v>0.04</v>
      </c>
      <c r="AC20" s="38" t="n">
        <f aca="false">AC19*(1+AB20)</f>
        <v>1053424.58799684</v>
      </c>
    </row>
    <row r="21" customFormat="false" ht="15" hidden="false" customHeight="false" outlineLevel="0" collapsed="false">
      <c r="A21" s="2" t="n">
        <v>20</v>
      </c>
      <c r="B21" s="2" t="str">
        <f aca="false">TEXT(2026+A21,"0")</f>
        <v>2046</v>
      </c>
      <c r="C21" s="10" t="n">
        <f aca="false">SUMIF(Monthly!$B$2:$B$601,A21,Monthly!$D$2:$D$601)</f>
        <v>17558.028118991</v>
      </c>
      <c r="D21" s="10" t="n">
        <f aca="false">SUMIF(Monthly!$B$2:$B$601,A21,Monthly!$E$2:$E$601)</f>
        <v>15284.1614287774</v>
      </c>
      <c r="E21" s="10" t="n">
        <f aca="false">AVERAGEIF(Monthly!$B$2:$B$601,A21,Monthly!$C$2:$C$601)</f>
        <v>241181.704931195</v>
      </c>
      <c r="F21" s="10" t="n">
        <f aca="false">C21*IF(E21&lt;=Inputs!$B$46,1,Inputs!$B$46/E21)</f>
        <v>17558.028118991</v>
      </c>
      <c r="G21" s="10" t="n">
        <f aca="false">Inputs!$B$12*IF(Inputs!$B$35="",AC20,MIN(AC20,Inputs!$B$7*(1+Inputs!$B$35)^(A21-1)))</f>
        <v>9480.82129197153</v>
      </c>
      <c r="H21" s="7" t="n">
        <f aca="false">Inputs!$B$55</f>
        <v>10000</v>
      </c>
      <c r="I21" s="10" t="n">
        <f aca="false">Inputs!$B$44*(1+Inputs!$B$22)^A21</f>
        <v>55939.4465008291</v>
      </c>
      <c r="J21" s="10" t="n">
        <f aca="false">F21+MIN(H21,G21+Inputs!$B$27)+Inputs!$B$28</f>
        <v>27038.8494109626</v>
      </c>
      <c r="K21" s="10" t="n">
        <f aca="false">MIN(H21,Inputs!$B$27)+Inputs!$B$28</f>
        <v>0</v>
      </c>
      <c r="L21" s="2" t="str">
        <f aca="false">IF(J21&gt;I21,"Yes","No")</f>
        <v>No</v>
      </c>
      <c r="M21" s="2"/>
      <c r="N21" s="10" t="n">
        <f aca="false">IF(Inputs!$B$25="Yes",Inputs!$B$26*(MAX(I21,J21)-MAX(I21,K21)),0)</f>
        <v>0</v>
      </c>
      <c r="O21" s="10" t="n">
        <f aca="false">SUMIF(Monthly!$B$2:$B$601,A21,Monthly!$N$2:$N$601)</f>
        <v>54997.4993465257</v>
      </c>
      <c r="P21" s="10" t="n">
        <f aca="false">SUMIF(Monthly!$B$2:$B$601,A21,Monthly!$O$2:$O$601)</f>
        <v>57979.2272449119</v>
      </c>
      <c r="Q21" s="10" t="n">
        <f aca="false">AC21</f>
        <v>1095561.57151671</v>
      </c>
      <c r="R21" s="10" t="n">
        <f aca="false">INDEX(Monthly!$F$2:$F$601,A21*12)</f>
        <v>232810.990460401</v>
      </c>
      <c r="S21" s="10" t="n">
        <f aca="false">Q21*Inputs!$B$23</f>
        <v>65733.6942910026</v>
      </c>
      <c r="T21" s="10" t="n">
        <f aca="false">MAX(0,Q21-S21-(Inputs!$B$7+Inputs!$B$40)-IF(A21&gt;=2,Inputs!$B$45,0))*Inputs!$B$29</f>
        <v>2599.18158385616</v>
      </c>
      <c r="U21" s="10" t="n">
        <f aca="false">INDEX(Monthly!$S$2:$S$601,A21*12)-Inputs!$B$29*MAX(0,INDEX(Monthly!$S$2:$S$601,A21*12)-INDEX(Monthly!$T$2:$T$601,A21*12))</f>
        <v>5555.73185593016</v>
      </c>
      <c r="V21" s="10" t="n">
        <f aca="false">Q21-S21-R21-T21+U21</f>
        <v>799973.437037381</v>
      </c>
      <c r="W21" s="10" t="n">
        <f aca="false">INDEX(Monthly!$Q$2:$Q$601,A21*12)-Inputs!$B$29*MAX(0,INDEX(Monthly!$Q$2:$Q$601,A21*12)-INDEX(Monthly!$R$2:$R$601,A21*12))</f>
        <v>718717.918429689</v>
      </c>
      <c r="X21" s="10" t="n">
        <f aca="false">V21-W21</f>
        <v>81255.5186076914</v>
      </c>
      <c r="Y21" s="36" t="n">
        <f aca="false">(1+Inputs!$B$22)^A21</f>
        <v>1.7372498913301</v>
      </c>
      <c r="Z21" s="10" t="n">
        <f aca="false">X21/Y21</f>
        <v>46772.4988864322</v>
      </c>
      <c r="AA21" s="2" t="n">
        <f aca="false">IF(AND(X21&gt;=0,COUNTIF(X21:X$51,"&lt;0")=0),A21,"")</f>
        <v>20</v>
      </c>
      <c r="AB21" s="37" t="n">
        <f aca="false">IF(Inputs!$B$32="Revert",(1+Inputs!$B$18)*EXP(LN(1+Inputs!$B$33)*(0.5^(A21/Inputs!$B$34)-0.5^((A21-1)/Inputs!$B$34)))-1,Inputs!$B$20)</f>
        <v>0.04</v>
      </c>
      <c r="AC21" s="38" t="n">
        <f aca="false">AC20*(1+AB21)</f>
        <v>1095561.57151671</v>
      </c>
    </row>
    <row r="22" customFormat="false" ht="15" hidden="false" customHeight="false" outlineLevel="0" collapsed="false">
      <c r="A22" s="2" t="n">
        <v>21</v>
      </c>
      <c r="B22" s="2" t="str">
        <f aca="false">TEXT(2026+A22,"0")</f>
        <v>2047</v>
      </c>
      <c r="C22" s="10" t="n">
        <f aca="false">SUMIF(Monthly!$B$2:$B$601,A22,Monthly!$D$2:$D$601)</f>
        <v>16407.4533805057</v>
      </c>
      <c r="D22" s="10" t="n">
        <f aca="false">SUMIF(Monthly!$B$2:$B$601,A22,Monthly!$E$2:$E$601)</f>
        <v>16434.7361672628</v>
      </c>
      <c r="E22" s="10" t="n">
        <f aca="false">AVERAGEIF(Monthly!$B$2:$B$601,A22,Monthly!$C$2:$C$601)</f>
        <v>225377.106875078</v>
      </c>
      <c r="F22" s="10" t="n">
        <f aca="false">C22*IF(E22&lt;=Inputs!$B$46,1,Inputs!$B$46/E22)</f>
        <v>16407.4533805057</v>
      </c>
      <c r="G22" s="10" t="n">
        <f aca="false">Inputs!$B$12*IF(Inputs!$B$35="",AC21,MIN(AC21,Inputs!$B$7*(1+Inputs!$B$35)^(A22-1)))</f>
        <v>9860.05414365039</v>
      </c>
      <c r="H22" s="7" t="n">
        <f aca="false">Inputs!$B$55</f>
        <v>10000</v>
      </c>
      <c r="I22" s="10" t="n">
        <f aca="false">Inputs!$B$44*(1+Inputs!$B$22)^A22</f>
        <v>57505.7510028523</v>
      </c>
      <c r="J22" s="10" t="n">
        <f aca="false">F22+MIN(H22,G22+Inputs!$B$27)+Inputs!$B$28</f>
        <v>26267.5075241561</v>
      </c>
      <c r="K22" s="10" t="n">
        <f aca="false">MIN(H22,Inputs!$B$27)+Inputs!$B$28</f>
        <v>0</v>
      </c>
      <c r="L22" s="2" t="str">
        <f aca="false">IF(J22&gt;I22,"Yes","No")</f>
        <v>No</v>
      </c>
      <c r="M22" s="2"/>
      <c r="N22" s="10" t="n">
        <f aca="false">IF(Inputs!$B$25="Yes",Inputs!$B$26*(MAX(I22,J22)-MAX(I22,K22)),0)</f>
        <v>0</v>
      </c>
      <c r="O22" s="10" t="n">
        <f aca="false">SUMIF(Monthly!$B$2:$B$601,A22,Monthly!$N$2:$N$601)</f>
        <v>55731.6178763946</v>
      </c>
      <c r="P22" s="10" t="n">
        <f aca="false">SUMIF(Monthly!$B$2:$B$601,A22,Monthly!$O$2:$O$601)</f>
        <v>60006.3708844147</v>
      </c>
      <c r="Q22" s="10" t="n">
        <f aca="false">AC22</f>
        <v>1139384.03437738</v>
      </c>
      <c r="R22" s="10" t="n">
        <f aca="false">INDEX(Monthly!$F$2:$F$601,A22*12)</f>
        <v>216376.254293138</v>
      </c>
      <c r="S22" s="10" t="n">
        <f aca="false">Q22*Inputs!$B$23</f>
        <v>68363.0420626427</v>
      </c>
      <c r="T22" s="10" t="n">
        <f aca="false">MAX(0,Q22-S22-(Inputs!$B$7+Inputs!$B$40)-IF(A22&gt;=2,Inputs!$B$45,0))*Inputs!$B$29</f>
        <v>8778.14884721042</v>
      </c>
      <c r="U22" s="10" t="n">
        <f aca="false">INDEX(Monthly!$S$2:$S$601,A22*12)-Inputs!$B$29*MAX(0,INDEX(Monthly!$S$2:$S$601,A22*12)-INDEX(Monthly!$T$2:$T$601,A22*12))</f>
        <v>10278.6600079641</v>
      </c>
      <c r="V22" s="10" t="n">
        <f aca="false">Q22-S22-R22-T22+U22</f>
        <v>856145.249182351</v>
      </c>
      <c r="W22" s="10" t="n">
        <f aca="false">INDEX(Monthly!$Q$2:$Q$601,A22*12)-Inputs!$B$29*MAX(0,INDEX(Monthly!$Q$2:$Q$601,A22*12)-INDEX(Monthly!$R$2:$R$601,A22*12))</f>
        <v>765543.808023592</v>
      </c>
      <c r="X22" s="10" t="n">
        <f aca="false">V22-W22</f>
        <v>90601.4411587592</v>
      </c>
      <c r="Y22" s="36" t="n">
        <f aca="false">(1+Inputs!$B$22)^A22</f>
        <v>1.78589288828734</v>
      </c>
      <c r="Z22" s="10" t="n">
        <f aca="false">X22/Y22</f>
        <v>50731.7329907985</v>
      </c>
      <c r="AA22" s="2" t="n">
        <f aca="false">IF(AND(X22&gt;=0,COUNTIF(X22:X$51,"&lt;0")=0),A22,"")</f>
        <v>21</v>
      </c>
      <c r="AB22" s="37" t="n">
        <f aca="false">IF(Inputs!$B$32="Revert",(1+Inputs!$B$18)*EXP(LN(1+Inputs!$B$33)*(0.5^(A22/Inputs!$B$34)-0.5^((A22-1)/Inputs!$B$34)))-1,Inputs!$B$20)</f>
        <v>0.04</v>
      </c>
      <c r="AC22" s="38" t="n">
        <f aca="false">AC21*(1+AB22)</f>
        <v>1139384.03437738</v>
      </c>
    </row>
    <row r="23" customFormat="false" ht="15" hidden="false" customHeight="false" outlineLevel="0" collapsed="false">
      <c r="A23" s="2" t="n">
        <v>22</v>
      </c>
      <c r="B23" s="2" t="str">
        <f aca="false">TEXT(2026+A23,"0")</f>
        <v>2048</v>
      </c>
      <c r="C23" s="10" t="n">
        <f aca="false">SUMIF(Monthly!$B$2:$B$601,A23,Monthly!$D$2:$D$601)</f>
        <v>15170.2646504703</v>
      </c>
      <c r="D23" s="10" t="n">
        <f aca="false">SUMIF(Monthly!$B$2:$B$601,A23,Monthly!$E$2:$E$601)</f>
        <v>17671.9248972981</v>
      </c>
      <c r="E23" s="10" t="n">
        <f aca="false">AVERAGEIF(Monthly!$B$2:$B$601,A23,Monthly!$C$2:$C$601)</f>
        <v>208382.756187779</v>
      </c>
      <c r="F23" s="10" t="n">
        <f aca="false">C23*IF(E23&lt;=Inputs!$B$46,1,Inputs!$B$46/E23)</f>
        <v>15170.2646504703</v>
      </c>
      <c r="G23" s="10" t="n">
        <f aca="false">Inputs!$B$12*IF(Inputs!$B$35="",AC22,MIN(AC22,Inputs!$B$7*(1+Inputs!$B$35)^(A23-1)))</f>
        <v>10254.4563093964</v>
      </c>
      <c r="H23" s="7" t="n">
        <f aca="false">Inputs!$B$55</f>
        <v>10000</v>
      </c>
      <c r="I23" s="10" t="n">
        <f aca="false">Inputs!$B$44*(1+Inputs!$B$22)^A23</f>
        <v>59115.9120309322</v>
      </c>
      <c r="J23" s="10" t="n">
        <f aca="false">F23+MIN(H23,G23+Inputs!$B$27)+Inputs!$B$28</f>
        <v>25170.2646504703</v>
      </c>
      <c r="K23" s="10" t="n">
        <f aca="false">MIN(H23,Inputs!$B$27)+Inputs!$B$28</f>
        <v>0</v>
      </c>
      <c r="L23" s="2" t="str">
        <f aca="false">IF(J23&gt;I23,"Yes","No")</f>
        <v>No</v>
      </c>
      <c r="M23" s="2"/>
      <c r="N23" s="10" t="n">
        <f aca="false">IF(Inputs!$B$25="Yes",Inputs!$B$26*(MAX(I23,J23)-MAX(I23,K23)),0)</f>
        <v>0</v>
      </c>
      <c r="O23" s="10" t="n">
        <f aca="false">SUMIF(Monthly!$B$2:$B$601,A23,Monthly!$N$2:$N$601)</f>
        <v>56490.8425193199</v>
      </c>
      <c r="P23" s="10" t="n">
        <f aca="false">SUMIF(Monthly!$B$2:$B$601,A23,Monthly!$O$2:$O$601)</f>
        <v>62104.4049305062</v>
      </c>
      <c r="Q23" s="10" t="n">
        <f aca="false">AC23</f>
        <v>1184959.39575247</v>
      </c>
      <c r="R23" s="10" t="n">
        <f aca="false">INDEX(Monthly!$F$2:$F$601,A23*12)</f>
        <v>198704.32939584</v>
      </c>
      <c r="S23" s="10" t="n">
        <f aca="false">Q23*Inputs!$B$23</f>
        <v>71097.5637451484</v>
      </c>
      <c r="T23" s="10" t="n">
        <f aca="false">MAX(0,Q23-S23-(Inputs!$B$7+Inputs!$B$40)-IF(A23&gt;=2,Inputs!$B$45,0))*Inputs!$B$29</f>
        <v>15204.2748010988</v>
      </c>
      <c r="U23" s="10" t="n">
        <f aca="false">INDEX(Monthly!$S$2:$S$601,A23*12)-Inputs!$B$29*MAX(0,INDEX(Monthly!$S$2:$S$601,A23*12)-INDEX(Monthly!$T$2:$T$601,A23*12))</f>
        <v>16661.1857297352</v>
      </c>
      <c r="V23" s="10" t="n">
        <f aca="false">Q23-S23-R23-T23+U23</f>
        <v>916614.413540122</v>
      </c>
      <c r="W23" s="10" t="n">
        <f aca="false">INDEX(Monthly!$Q$2:$Q$601,A23*12)-Inputs!$B$29*MAX(0,INDEX(Monthly!$Q$2:$Q$601,A23*12)-INDEX(Monthly!$R$2:$R$601,A23*12))</f>
        <v>815565.365378188</v>
      </c>
      <c r="X23" s="10" t="n">
        <f aca="false">V23-W23</f>
        <v>101049.048161933</v>
      </c>
      <c r="Y23" s="36" t="n">
        <f aca="false">(1+Inputs!$B$22)^A23</f>
        <v>1.83589788915938</v>
      </c>
      <c r="Z23" s="10" t="n">
        <f aca="false">X23/Y23</f>
        <v>55040.6690691286</v>
      </c>
      <c r="AA23" s="2" t="n">
        <f aca="false">IF(AND(X23&gt;=0,COUNTIF(X23:X$51,"&lt;0")=0),A23,"")</f>
        <v>22</v>
      </c>
      <c r="AB23" s="37" t="n">
        <f aca="false">IF(Inputs!$B$32="Revert",(1+Inputs!$B$18)*EXP(LN(1+Inputs!$B$33)*(0.5^(A23/Inputs!$B$34)-0.5^((A23-1)/Inputs!$B$34)))-1,Inputs!$B$20)</f>
        <v>0.04</v>
      </c>
      <c r="AC23" s="38" t="n">
        <f aca="false">AC22*(1+AB23)</f>
        <v>1184959.39575247</v>
      </c>
    </row>
    <row r="24" customFormat="false" ht="15" hidden="false" customHeight="false" outlineLevel="0" collapsed="false">
      <c r="A24" s="2" t="n">
        <v>23</v>
      </c>
      <c r="B24" s="2" t="str">
        <f aca="false">TEXT(2026+A24,"0")</f>
        <v>2049</v>
      </c>
      <c r="C24" s="10" t="n">
        <f aca="false">SUMIF(Monthly!$B$2:$B$601,A24,Monthly!$D$2:$D$601)</f>
        <v>13839.9417235639</v>
      </c>
      <c r="D24" s="10" t="n">
        <f aca="false">SUMIF(Monthly!$B$2:$B$601,A24,Monthly!$E$2:$E$601)</f>
        <v>19002.2478242046</v>
      </c>
      <c r="E24" s="10" t="n">
        <f aca="false">AVERAGEIF(Monthly!$B$2:$B$601,A24,Monthly!$C$2:$C$601)</f>
        <v>190109.089609394</v>
      </c>
      <c r="F24" s="10" t="n">
        <f aca="false">C24*IF(E24&lt;=Inputs!$B$46,1,Inputs!$B$46/E24)</f>
        <v>13839.9417235639</v>
      </c>
      <c r="G24" s="10" t="n">
        <f aca="false">Inputs!$B$12*IF(Inputs!$B$35="",AC23,MIN(AC23,Inputs!$B$7*(1+Inputs!$B$35)^(A24-1)))</f>
        <v>10664.6345617723</v>
      </c>
      <c r="H24" s="7" t="n">
        <f aca="false">Inputs!$B$55</f>
        <v>10000</v>
      </c>
      <c r="I24" s="10" t="n">
        <f aca="false">Inputs!$B$44*(1+Inputs!$B$22)^A24</f>
        <v>60771.1575677983</v>
      </c>
      <c r="J24" s="10" t="n">
        <f aca="false">F24+MIN(H24,G24+Inputs!$B$27)+Inputs!$B$28</f>
        <v>23839.9417235639</v>
      </c>
      <c r="K24" s="10" t="n">
        <f aca="false">MIN(H24,Inputs!$B$27)+Inputs!$B$28</f>
        <v>0</v>
      </c>
      <c r="L24" s="2" t="str">
        <f aca="false">IF(J24&gt;I24,"Yes","No")</f>
        <v>No</v>
      </c>
      <c r="M24" s="2"/>
      <c r="N24" s="10" t="n">
        <f aca="false">IF(Inputs!$B$25="Yes",Inputs!$B$26*(MAX(I24,J24)-MAX(I24,K24)),0)</f>
        <v>0</v>
      </c>
      <c r="O24" s="10" t="n">
        <f aca="false">SUMIF(Monthly!$B$2:$B$601,A24,Monthly!$N$2:$N$601)</f>
        <v>57276.0582782361</v>
      </c>
      <c r="P24" s="10" t="n">
        <f aca="false">SUMIF(Monthly!$B$2:$B$601,A24,Monthly!$O$2:$O$601)</f>
        <v>64275.8088780346</v>
      </c>
      <c r="Q24" s="10" t="n">
        <f aca="false">AC24</f>
        <v>1232357.77158257</v>
      </c>
      <c r="R24" s="10" t="n">
        <f aca="false">INDEX(Monthly!$F$2:$F$601,A24*12)</f>
        <v>179702.081571636</v>
      </c>
      <c r="S24" s="10" t="n">
        <f aca="false">Q24*Inputs!$B$23</f>
        <v>73941.4662949544</v>
      </c>
      <c r="T24" s="10" t="n">
        <f aca="false">MAX(0,Q24-S24-(Inputs!$B$7+Inputs!$B$40)-IF(A24&gt;=2,Inputs!$B$45,0))*Inputs!$B$29</f>
        <v>21887.4457931428</v>
      </c>
      <c r="U24" s="10" t="n">
        <f aca="false">INDEX(Monthly!$S$2:$S$601,A24*12)-Inputs!$B$29*MAX(0,INDEX(Monthly!$S$2:$S$601,A24*12)-INDEX(Monthly!$T$2:$T$601,A24*12))</f>
        <v>24853.4544739613</v>
      </c>
      <c r="V24" s="10" t="n">
        <f aca="false">Q24-S24-R24-T24+U24</f>
        <v>981680.232396801</v>
      </c>
      <c r="W24" s="10" t="n">
        <f aca="false">INDEX(Monthly!$Q$2:$Q$601,A24*12)-Inputs!$B$29*MAX(0,INDEX(Monthly!$Q$2:$Q$601,A24*12)-INDEX(Monthly!$R$2:$R$601,A24*12))</f>
        <v>869000.681223313</v>
      </c>
      <c r="X24" s="10" t="n">
        <f aca="false">V24-W24</f>
        <v>112679.551173489</v>
      </c>
      <c r="Y24" s="36" t="n">
        <f aca="false">(1+Inputs!$B$22)^A24</f>
        <v>1.88730303005585</v>
      </c>
      <c r="Z24" s="10" t="n">
        <f aca="false">X24/Y24</f>
        <v>59704.0058639413</v>
      </c>
      <c r="AA24" s="2" t="n">
        <f aca="false">IF(AND(X24&gt;=0,COUNTIF(X24:X$51,"&lt;0")=0),A24,"")</f>
        <v>23</v>
      </c>
      <c r="AB24" s="37" t="n">
        <f aca="false">IF(Inputs!$B$32="Revert",(1+Inputs!$B$18)*EXP(LN(1+Inputs!$B$33)*(0.5^(A24/Inputs!$B$34)-0.5^((A24-1)/Inputs!$B$34)))-1,Inputs!$B$20)</f>
        <v>0.04</v>
      </c>
      <c r="AC24" s="38" t="n">
        <f aca="false">AC23*(1+AB24)</f>
        <v>1232357.77158257</v>
      </c>
    </row>
    <row r="25" customFormat="false" ht="15" hidden="false" customHeight="false" outlineLevel="0" collapsed="false">
      <c r="A25" s="2" t="n">
        <v>24</v>
      </c>
      <c r="B25" s="2" t="str">
        <f aca="false">TEXT(2026+A25,"0")</f>
        <v>2050</v>
      </c>
      <c r="C25" s="10" t="n">
        <f aca="false">SUMIF(Monthly!$B$2:$B$601,A25,Monthly!$D$2:$D$601)</f>
        <v>12409.4735606327</v>
      </c>
      <c r="D25" s="10" t="n">
        <f aca="false">SUMIF(Monthly!$B$2:$B$601,A25,Monthly!$E$2:$E$601)</f>
        <v>20432.7159871358</v>
      </c>
      <c r="E25" s="10" t="n">
        <f aca="false">AVERAGEIF(Monthly!$B$2:$B$601,A25,Monthly!$C$2:$C$601)</f>
        <v>170459.801657042</v>
      </c>
      <c r="F25" s="10" t="n">
        <f aca="false">C25*IF(E25&lt;=Inputs!$B$46,1,Inputs!$B$46/E25)</f>
        <v>12409.4735606327</v>
      </c>
      <c r="G25" s="10" t="n">
        <f aca="false">Inputs!$B$12*IF(Inputs!$B$35="",AC24,MIN(AC24,Inputs!$B$7*(1+Inputs!$B$35)^(A25-1)))</f>
        <v>11091.2199442432</v>
      </c>
      <c r="H25" s="7" t="n">
        <f aca="false">Inputs!$B$55</f>
        <v>10000</v>
      </c>
      <c r="I25" s="10" t="n">
        <f aca="false">Inputs!$B$44*(1+Inputs!$B$22)^A25</f>
        <v>62472.7499796966</v>
      </c>
      <c r="J25" s="10" t="n">
        <f aca="false">F25+MIN(H25,G25+Inputs!$B$27)+Inputs!$B$28</f>
        <v>22409.4735606327</v>
      </c>
      <c r="K25" s="10" t="n">
        <f aca="false">MIN(H25,Inputs!$B$27)+Inputs!$B$28</f>
        <v>0</v>
      </c>
      <c r="L25" s="2" t="str">
        <f aca="false">IF(J25&gt;I25,"Yes","No")</f>
        <v>No</v>
      </c>
      <c r="M25" s="2"/>
      <c r="N25" s="10" t="n">
        <f aca="false">IF(Inputs!$B$25="Yes",Inputs!$B$26*(MAX(I25,J25)-MAX(I25,K25)),0)</f>
        <v>0</v>
      </c>
      <c r="O25" s="10" t="n">
        <f aca="false">SUMIF(Monthly!$B$2:$B$601,A25,Monthly!$N$2:$N$601)</f>
        <v>58088.1822174305</v>
      </c>
      <c r="P25" s="10" t="n">
        <f aca="false">SUMIF(Monthly!$B$2:$B$601,A25,Monthly!$O$2:$O$601)</f>
        <v>66523.1489574255</v>
      </c>
      <c r="Q25" s="10" t="n">
        <f aca="false">AC25</f>
        <v>1281652.08244588</v>
      </c>
      <c r="R25" s="10" t="n">
        <f aca="false">INDEX(Monthly!$F$2:$F$601,A25*12)</f>
        <v>159269.3655845</v>
      </c>
      <c r="S25" s="10" t="n">
        <f aca="false">Q25*Inputs!$B$23</f>
        <v>76899.1249467526</v>
      </c>
      <c r="T25" s="10" t="n">
        <f aca="false">MAX(0,Q25-S25-(Inputs!$B$7+Inputs!$B$40)-IF(A25&gt;=2,Inputs!$B$45,0))*Inputs!$B$29</f>
        <v>28837.9436248685</v>
      </c>
      <c r="U25" s="10" t="n">
        <f aca="false">INDEX(Monthly!$S$2:$S$601,A25*12)-Inputs!$B$29*MAX(0,INDEX(Monthly!$S$2:$S$601,A25*12)-INDEX(Monthly!$T$2:$T$601,A25*12))</f>
        <v>35017.1355445441</v>
      </c>
      <c r="V25" s="10" t="n">
        <f aca="false">Q25-S25-R25-T25+U25</f>
        <v>1051662.7838343</v>
      </c>
      <c r="W25" s="10" t="n">
        <f aca="false">INDEX(Monthly!$Q$2:$Q$601,A25*12)-Inputs!$B$29*MAX(0,INDEX(Monthly!$Q$2:$Q$601,A25*12)-INDEX(Monthly!$R$2:$R$601,A25*12))</f>
        <v>926082.730053324</v>
      </c>
      <c r="X25" s="10" t="n">
        <f aca="false">V25-W25</f>
        <v>125580.053780976</v>
      </c>
      <c r="Y25" s="36" t="n">
        <f aca="false">(1+Inputs!$B$22)^A25</f>
        <v>1.94014751489741</v>
      </c>
      <c r="Z25" s="10" t="n">
        <f aca="false">X25/Y25</f>
        <v>64727.0647292074</v>
      </c>
      <c r="AA25" s="2" t="n">
        <f aca="false">IF(AND(X25&gt;=0,COUNTIF(X25:X$51,"&lt;0")=0),A25,"")</f>
        <v>24</v>
      </c>
      <c r="AB25" s="37" t="n">
        <f aca="false">IF(Inputs!$B$32="Revert",(1+Inputs!$B$18)*EXP(LN(1+Inputs!$B$33)*(0.5^(A25/Inputs!$B$34)-0.5^((A25-1)/Inputs!$B$34)))-1,Inputs!$B$20)</f>
        <v>0.04</v>
      </c>
      <c r="AC25" s="38" t="n">
        <f aca="false">AC24*(1+AB25)</f>
        <v>1281652.08244588</v>
      </c>
    </row>
    <row r="26" customFormat="false" ht="15" hidden="false" customHeight="false" outlineLevel="0" collapsed="false">
      <c r="A26" s="2" t="n">
        <v>25</v>
      </c>
      <c r="B26" s="2" t="str">
        <f aca="false">TEXT(2026+A26,"0")</f>
        <v>2051</v>
      </c>
      <c r="C26" s="10" t="n">
        <f aca="false">SUMIF(Monthly!$B$2:$B$601,A26,Monthly!$D$2:$D$601)</f>
        <v>10871.3213392631</v>
      </c>
      <c r="D26" s="10" t="n">
        <f aca="false">SUMIF(Monthly!$B$2:$B$601,A26,Monthly!$E$2:$E$601)</f>
        <v>21970.8682085053</v>
      </c>
      <c r="E26" s="10" t="n">
        <f aca="false">AVERAGEIF(Monthly!$B$2:$B$601,A26,Monthly!$C$2:$C$601)</f>
        <v>149331.33707779</v>
      </c>
      <c r="F26" s="10" t="n">
        <f aca="false">C26*IF(E26&lt;=Inputs!$B$46,1,Inputs!$B$46/E26)</f>
        <v>10871.3213392631</v>
      </c>
      <c r="G26" s="10" t="n">
        <f aca="false">Inputs!$B$12*IF(Inputs!$B$35="",AC25,MIN(AC25,Inputs!$B$7*(1+Inputs!$B$35)^(A26-1)))</f>
        <v>11534.8687420129</v>
      </c>
      <c r="H26" s="7" t="n">
        <f aca="false">Inputs!$B$55</f>
        <v>10000</v>
      </c>
      <c r="I26" s="10" t="n">
        <f aca="false">Inputs!$B$44*(1+Inputs!$B$22)^A26</f>
        <v>64221.9869791281</v>
      </c>
      <c r="J26" s="10" t="n">
        <f aca="false">F26+MIN(H26,G26+Inputs!$B$27)+Inputs!$B$28</f>
        <v>20871.3213392631</v>
      </c>
      <c r="K26" s="10" t="n">
        <f aca="false">MIN(H26,Inputs!$B$27)+Inputs!$B$28</f>
        <v>0</v>
      </c>
      <c r="L26" s="2" t="str">
        <f aca="false">IF(J26&gt;I26,"Yes","No")</f>
        <v>No</v>
      </c>
      <c r="M26" s="2"/>
      <c r="N26" s="10" t="n">
        <f aca="false">IF(Inputs!$B$25="Yes",Inputs!$B$26*(MAX(I26,J26)-MAX(I26,K26)),0)</f>
        <v>0</v>
      </c>
      <c r="O26" s="10" t="n">
        <f aca="false">SUMIF(Monthly!$B$2:$B$601,A26,Monthly!$N$2:$N$601)</f>
        <v>58928.1646515119</v>
      </c>
      <c r="P26" s="10" t="n">
        <f aca="false">SUMIF(Monthly!$B$2:$B$601,A26,Monthly!$O$2:$O$601)</f>
        <v>68849.0811691175</v>
      </c>
      <c r="Q26" s="10" t="n">
        <f aca="false">AC26</f>
        <v>1332918.16574371</v>
      </c>
      <c r="R26" s="10" t="n">
        <f aca="false">INDEX(Monthly!$F$2:$F$601,A26*12)</f>
        <v>137298.497375995</v>
      </c>
      <c r="S26" s="10" t="n">
        <f aca="false">Q26*Inputs!$B$23</f>
        <v>79975.0899446227</v>
      </c>
      <c r="T26" s="10" t="n">
        <f aca="false">MAX(0,Q26-S26-(Inputs!$B$7+Inputs!$B$40)-IF(A26&gt;=2,Inputs!$B$45,0))*Inputs!$B$29</f>
        <v>36066.4613698633</v>
      </c>
      <c r="U26" s="10" t="n">
        <f aca="false">INDEX(Monthly!$S$2:$S$601,A26*12)-Inputs!$B$29*MAX(0,INDEX(Monthly!$S$2:$S$601,A26*12)-INDEX(Monthly!$T$2:$T$601,A26*12))</f>
        <v>47326.2520940449</v>
      </c>
      <c r="V26" s="10" t="n">
        <f aca="false">Q26-S26-R26-T26+U26</f>
        <v>1126904.36914728</v>
      </c>
      <c r="W26" s="10" t="n">
        <f aca="false">INDEX(Monthly!$Q$2:$Q$601,A26*12)-Inputs!$B$29*MAX(0,INDEX(Monthly!$Q$2:$Q$601,A26*12)-INDEX(Monthly!$R$2:$R$601,A26*12))</f>
        <v>987060.385880711</v>
      </c>
      <c r="X26" s="10" t="n">
        <f aca="false">V26-W26</f>
        <v>139843.983266564</v>
      </c>
      <c r="Y26" s="36" t="n">
        <f aca="false">(1+Inputs!$B$22)^A26</f>
        <v>1.99447164531454</v>
      </c>
      <c r="Z26" s="10" t="n">
        <f aca="false">X26/Y26</f>
        <v>70115.8041504822</v>
      </c>
      <c r="AA26" s="2" t="n">
        <f aca="false">IF(AND(X26&gt;=0,COUNTIF(X26:X$51,"&lt;0")=0),A26,"")</f>
        <v>25</v>
      </c>
      <c r="AB26" s="37" t="n">
        <f aca="false">IF(Inputs!$B$32="Revert",(1+Inputs!$B$18)*EXP(LN(1+Inputs!$B$33)*(0.5^(A26/Inputs!$B$34)-0.5^((A26-1)/Inputs!$B$34)))-1,Inputs!$B$20)</f>
        <v>0.04</v>
      </c>
      <c r="AC26" s="38" t="n">
        <f aca="false">AC25*(1+AB26)</f>
        <v>1332918.16574371</v>
      </c>
    </row>
    <row r="27" customFormat="false" ht="15" hidden="false" customHeight="false" outlineLevel="0" collapsed="false">
      <c r="A27" s="2" t="n">
        <v>26</v>
      </c>
      <c r="B27" s="2" t="str">
        <f aca="false">TEXT(2026+A27,"0")</f>
        <v>2052</v>
      </c>
      <c r="C27" s="10" t="n">
        <f aca="false">SUMIF(Monthly!$B$2:$B$601,A27,Monthly!$D$2:$D$601)</f>
        <v>9217.37872284318</v>
      </c>
      <c r="D27" s="10" t="n">
        <f aca="false">SUMIF(Monthly!$B$2:$B$601,A27,Monthly!$E$2:$E$601)</f>
        <v>23624.8108249253</v>
      </c>
      <c r="E27" s="10" t="n">
        <f aca="false">AVERAGEIF(Monthly!$B$2:$B$601,A27,Monthly!$C$2:$C$601)</f>
        <v>126612.345094</v>
      </c>
      <c r="F27" s="10" t="n">
        <f aca="false">C27*IF(E27&lt;=Inputs!$B$46,1,Inputs!$B$46/E27)</f>
        <v>9217.37872284318</v>
      </c>
      <c r="G27" s="10" t="n">
        <f aca="false">Inputs!$B$12*IF(Inputs!$B$35="",AC26,MIN(AC26,Inputs!$B$7*(1+Inputs!$B$35)^(A27-1)))</f>
        <v>11996.2634916934</v>
      </c>
      <c r="H27" s="7" t="n">
        <f aca="false">Inputs!$B$55</f>
        <v>10000</v>
      </c>
      <c r="I27" s="10" t="n">
        <f aca="false">Inputs!$B$44*(1+Inputs!$B$22)^A27</f>
        <v>66020.2026145437</v>
      </c>
      <c r="J27" s="10" t="n">
        <f aca="false">F27+MIN(H27,G27+Inputs!$B$27)+Inputs!$B$28</f>
        <v>19217.3787228432</v>
      </c>
      <c r="K27" s="10" t="n">
        <f aca="false">MIN(H27,Inputs!$B$27)+Inputs!$B$28</f>
        <v>0</v>
      </c>
      <c r="L27" s="2" t="str">
        <f aca="false">IF(J27&gt;I27,"Yes","No")</f>
        <v>No</v>
      </c>
      <c r="M27" s="2"/>
      <c r="N27" s="10" t="n">
        <f aca="false">IF(Inputs!$B$25="Yes",Inputs!$B$26*(MAX(I27,J27)-MAX(I27,K27)),0)</f>
        <v>0</v>
      </c>
      <c r="O27" s="10" t="n">
        <f aca="false">SUMIF(Monthly!$B$2:$B$601,A27,Monthly!$N$2:$N$601)</f>
        <v>59796.9903793209</v>
      </c>
      <c r="P27" s="10" t="n">
        <f aca="false">SUMIF(Monthly!$B$2:$B$601,A27,Monthly!$O$2:$O$601)</f>
        <v>71256.3544241678</v>
      </c>
      <c r="Q27" s="10" t="n">
        <f aca="false">AC27</f>
        <v>1386234.89237346</v>
      </c>
      <c r="R27" s="10" t="n">
        <f aca="false">INDEX(Monthly!$F$2:$F$601,A27*12)</f>
        <v>113673.686551069</v>
      </c>
      <c r="S27" s="10" t="n">
        <f aca="false">Q27*Inputs!$B$23</f>
        <v>83174.0935424076</v>
      </c>
      <c r="T27" s="10" t="n">
        <f aca="false">MAX(0,Q27-S27-(Inputs!$B$7+Inputs!$B$40)-IF(A27&gt;=2,Inputs!$B$45,0))*Inputs!$B$29</f>
        <v>43584.1198246578</v>
      </c>
      <c r="U27" s="10" t="n">
        <f aca="false">INDEX(Monthly!$S$2:$S$601,A27*12)-Inputs!$B$29*MAX(0,INDEX(Monthly!$S$2:$S$601,A27*12)-INDEX(Monthly!$T$2:$T$601,A27*12))</f>
        <v>61968.0692261235</v>
      </c>
      <c r="V27" s="10" t="n">
        <f aca="false">Q27-S27-R27-T27+U27</f>
        <v>1207771.06168145</v>
      </c>
      <c r="W27" s="10" t="n">
        <f aca="false">INDEX(Monthly!$Q$2:$Q$601,A27*12)-Inputs!$B$29*MAX(0,INDEX(Monthly!$Q$2:$Q$601,A27*12)-INDEX(Monthly!$R$2:$R$601,A27*12))</f>
        <v>1052199.50731057</v>
      </c>
      <c r="X27" s="10" t="n">
        <f aca="false">V27-W27</f>
        <v>155571.554370877</v>
      </c>
      <c r="Y27" s="36" t="n">
        <f aca="false">(1+Inputs!$B$22)^A27</f>
        <v>2.05031685138335</v>
      </c>
      <c r="Z27" s="10" t="n">
        <f aca="false">X27/Y27</f>
        <v>75876.8354588283</v>
      </c>
      <c r="AA27" s="2" t="n">
        <f aca="false">IF(AND(X27&gt;=0,COUNTIF(X27:X$51,"&lt;0")=0),A27,"")</f>
        <v>26</v>
      </c>
      <c r="AB27" s="37" t="n">
        <f aca="false">IF(Inputs!$B$32="Revert",(1+Inputs!$B$18)*EXP(LN(1+Inputs!$B$33)*(0.5^(A27/Inputs!$B$34)-0.5^((A27-1)/Inputs!$B$34)))-1,Inputs!$B$20)</f>
        <v>0.04</v>
      </c>
      <c r="AC27" s="38" t="n">
        <f aca="false">AC26*(1+AB27)</f>
        <v>1386234.89237346</v>
      </c>
    </row>
    <row r="28" customFormat="false" ht="15" hidden="false" customHeight="false" outlineLevel="0" collapsed="false">
      <c r="A28" s="2" t="n">
        <v>27</v>
      </c>
      <c r="B28" s="2" t="str">
        <f aca="false">TEXT(2026+A28,"0")</f>
        <v>2053</v>
      </c>
      <c r="C28" s="10" t="n">
        <f aca="false">SUMIF(Monthly!$B$2:$B$601,A28,Monthly!$D$2:$D$601)</f>
        <v>7438.92913872172</v>
      </c>
      <c r="D28" s="10" t="n">
        <f aca="false">SUMIF(Monthly!$B$2:$B$601,A28,Monthly!$E$2:$E$601)</f>
        <v>25403.2604090467</v>
      </c>
      <c r="E28" s="10" t="n">
        <f aca="false">AVERAGEIF(Monthly!$B$2:$B$601,A28,Monthly!$C$2:$C$601)</f>
        <v>102183.092564859</v>
      </c>
      <c r="F28" s="10" t="n">
        <f aca="false">C28*IF(E28&lt;=Inputs!$B$46,1,Inputs!$B$46/E28)</f>
        <v>7438.92913872172</v>
      </c>
      <c r="G28" s="10" t="n">
        <f aca="false">Inputs!$B$12*IF(Inputs!$B$35="",AC27,MIN(AC27,Inputs!$B$7*(1+Inputs!$B$35)^(A28-1)))</f>
        <v>12476.1140313611</v>
      </c>
      <c r="H28" s="7" t="n">
        <f aca="false">Inputs!$B$55</f>
        <v>10000</v>
      </c>
      <c r="I28" s="10" t="n">
        <f aca="false">Inputs!$B$44*(1+Inputs!$B$22)^A28</f>
        <v>67868.768287751</v>
      </c>
      <c r="J28" s="10" t="n">
        <f aca="false">F28+MIN(H28,G28+Inputs!$B$27)+Inputs!$B$28</f>
        <v>17438.9291387217</v>
      </c>
      <c r="K28" s="10" t="n">
        <f aca="false">MIN(H28,Inputs!$B$27)+Inputs!$B$28</f>
        <v>0</v>
      </c>
      <c r="L28" s="2" t="str">
        <f aca="false">IF(J28&gt;I28,"Yes","No")</f>
        <v>No</v>
      </c>
      <c r="M28" s="2"/>
      <c r="N28" s="10" t="n">
        <f aca="false">IF(Inputs!$B$25="Yes",Inputs!$B$26*(MAX(I28,J28)-MAX(I28,K28)),0)</f>
        <v>0</v>
      </c>
      <c r="O28" s="10" t="n">
        <f aca="false">SUMIF(Monthly!$B$2:$B$601,A28,Monthly!$N$2:$N$601)</f>
        <v>60695.6799645047</v>
      </c>
      <c r="P28" s="10" t="n">
        <f aca="false">SUMIF(Monthly!$B$2:$B$601,A28,Monthly!$O$2:$O$601)</f>
        <v>73747.8137947406</v>
      </c>
      <c r="Q28" s="10" t="n">
        <f aca="false">AC28</f>
        <v>1441684.2880684</v>
      </c>
      <c r="R28" s="10" t="n">
        <f aca="false">INDEX(Monthly!$F$2:$F$601,A28*12)</f>
        <v>88270.4261420226</v>
      </c>
      <c r="S28" s="10" t="n">
        <f aca="false">Q28*Inputs!$B$23</f>
        <v>86501.0572841039</v>
      </c>
      <c r="T28" s="10" t="n">
        <f aca="false">MAX(0,Q28-S28-(Inputs!$B$7+Inputs!$B$40)-IF(A28&gt;=2,Inputs!$B$45,0))*Inputs!$B$29</f>
        <v>51402.4846176441</v>
      </c>
      <c r="U28" s="10" t="n">
        <f aca="false">INDEX(Monthly!$S$2:$S$601,A28*12)-Inputs!$B$29*MAX(0,INDEX(Monthly!$S$2:$S$601,A28*12)-INDEX(Monthly!$T$2:$T$601,A28*12))</f>
        <v>79144.0442165181</v>
      </c>
      <c r="V28" s="10" t="n">
        <f aca="false">Q28-S28-R28-T28+U28</f>
        <v>1294654.36424115</v>
      </c>
      <c r="W28" s="10" t="n">
        <f aca="false">INDEX(Monthly!$Q$2:$Q$601,A28*12)-Inputs!$B$29*MAX(0,INDEX(Monthly!$Q$2:$Q$601,A28*12)-INDEX(Monthly!$R$2:$R$601,A28*12))</f>
        <v>1121784.0966668</v>
      </c>
      <c r="X28" s="10" t="n">
        <f aca="false">V28-W28</f>
        <v>172870.267574348</v>
      </c>
      <c r="Y28" s="36" t="n">
        <f aca="false">(1+Inputs!$B$22)^A28</f>
        <v>2.10772572322208</v>
      </c>
      <c r="Z28" s="10" t="n">
        <f aca="false">X28/Y28</f>
        <v>82017.4397786828</v>
      </c>
      <c r="AA28" s="2" t="n">
        <f aca="false">IF(AND(X28&gt;=0,COUNTIF(X28:X$51,"&lt;0")=0),A28,"")</f>
        <v>27</v>
      </c>
      <c r="AB28" s="37" t="n">
        <f aca="false">IF(Inputs!$B$32="Revert",(1+Inputs!$B$18)*EXP(LN(1+Inputs!$B$33)*(0.5^(A28/Inputs!$B$34)-0.5^((A28-1)/Inputs!$B$34)))-1,Inputs!$B$20)</f>
        <v>0.04</v>
      </c>
      <c r="AC28" s="38" t="n">
        <f aca="false">AC27*(1+AB28)</f>
        <v>1441684.2880684</v>
      </c>
    </row>
    <row r="29" customFormat="false" ht="15" hidden="false" customHeight="false" outlineLevel="0" collapsed="false">
      <c r="A29" s="2" t="n">
        <v>28</v>
      </c>
      <c r="B29" s="2" t="str">
        <f aca="false">TEXT(2026+A29,"0")</f>
        <v>2054</v>
      </c>
      <c r="C29" s="10" t="n">
        <f aca="false">SUMIF(Monthly!$B$2:$B$601,A29,Monthly!$D$2:$D$601)</f>
        <v>5526.59984031597</v>
      </c>
      <c r="D29" s="10" t="n">
        <f aca="false">SUMIF(Monthly!$B$2:$B$601,A29,Monthly!$E$2:$E$601)</f>
        <v>27315.5897074525</v>
      </c>
      <c r="E29" s="10" t="n">
        <f aca="false">AVERAGEIF(Monthly!$B$2:$B$601,A29,Monthly!$C$2:$C$601)</f>
        <v>75914.8329713731</v>
      </c>
      <c r="F29" s="10" t="n">
        <f aca="false">C29*IF(E29&lt;=Inputs!$B$46,1,Inputs!$B$46/E29)</f>
        <v>5526.59984031597</v>
      </c>
      <c r="G29" s="10" t="n">
        <f aca="false">Inputs!$B$12*IF(Inputs!$B$35="",AC28,MIN(AC28,Inputs!$B$7*(1+Inputs!$B$35)^(A29-1)))</f>
        <v>12975.1585926156</v>
      </c>
      <c r="H29" s="7" t="n">
        <f aca="false">Inputs!$B$55</f>
        <v>10000</v>
      </c>
      <c r="I29" s="10" t="n">
        <f aca="false">Inputs!$B$44*(1+Inputs!$B$22)^A29</f>
        <v>69769.093799808</v>
      </c>
      <c r="J29" s="10" t="n">
        <f aca="false">F29+MIN(H29,G29+Inputs!$B$27)+Inputs!$B$28</f>
        <v>15526.599840316</v>
      </c>
      <c r="K29" s="10" t="n">
        <f aca="false">MIN(H29,Inputs!$B$27)+Inputs!$B$28</f>
        <v>0</v>
      </c>
      <c r="L29" s="2" t="str">
        <f aca="false">IF(J29&gt;I29,"Yes","No")</f>
        <v>No</v>
      </c>
      <c r="M29" s="2"/>
      <c r="N29" s="10" t="n">
        <f aca="false">IF(Inputs!$B$25="Yes",Inputs!$B$26*(MAX(I29,J29)-MAX(I29,K29)),0)</f>
        <v>0</v>
      </c>
      <c r="O29" s="10" t="n">
        <f aca="false">SUMIF(Monthly!$B$2:$B$601,A29,Monthly!$N$2:$N$601)</f>
        <v>61625.2910645496</v>
      </c>
      <c r="P29" s="10" t="n">
        <f aca="false">SUMIF(Monthly!$B$2:$B$601,A29,Monthly!$O$2:$O$601)</f>
        <v>76326.4038783238</v>
      </c>
      <c r="Q29" s="10" t="n">
        <f aca="false">AC29</f>
        <v>1499351.65959113</v>
      </c>
      <c r="R29" s="10" t="n">
        <f aca="false">INDEX(Monthly!$F$2:$F$601,A29*12)</f>
        <v>60954.8364345701</v>
      </c>
      <c r="S29" s="10" t="n">
        <f aca="false">Q29*Inputs!$B$23</f>
        <v>89961.0995754681</v>
      </c>
      <c r="T29" s="10" t="n">
        <f aca="false">MAX(0,Q29-S29-(Inputs!$B$7+Inputs!$B$40)-IF(A29&gt;=2,Inputs!$B$45,0))*Inputs!$B$29</f>
        <v>59533.5840023499</v>
      </c>
      <c r="U29" s="10" t="n">
        <f aca="false">INDEX(Monthly!$S$2:$S$601,A29*12)-Inputs!$B$29*MAX(0,INDEX(Monthly!$S$2:$S$601,A29*12)-INDEX(Monthly!$T$2:$T$601,A29*12))</f>
        <v>99070.8431416021</v>
      </c>
      <c r="V29" s="10" t="n">
        <f aca="false">Q29-S29-R29-T29+U29</f>
        <v>1387972.98272035</v>
      </c>
      <c r="W29" s="10" t="n">
        <f aca="false">INDEX(Monthly!$Q$2:$Q$601,A29*12)-Inputs!$B$29*MAX(0,INDEX(Monthly!$Q$2:$Q$601,A29*12)-INDEX(Monthly!$R$2:$R$601,A29*12))</f>
        <v>1196117.5382237</v>
      </c>
      <c r="X29" s="10" t="n">
        <f aca="false">V29-W29</f>
        <v>191855.444496644</v>
      </c>
      <c r="Y29" s="36" t="n">
        <f aca="false">(1+Inputs!$B$22)^A29</f>
        <v>2.1667420434723</v>
      </c>
      <c r="Z29" s="10" t="n">
        <f aca="false">X29/Y29</f>
        <v>88545.5862522459</v>
      </c>
      <c r="AA29" s="2" t="n">
        <f aca="false">IF(AND(X29&gt;=0,COUNTIF(X29:X$51,"&lt;0")=0),A29,"")</f>
        <v>28</v>
      </c>
      <c r="AB29" s="37" t="n">
        <f aca="false">IF(Inputs!$B$32="Revert",(1+Inputs!$B$18)*EXP(LN(1+Inputs!$B$33)*(0.5^(A29/Inputs!$B$34)-0.5^((A29-1)/Inputs!$B$34)))-1,Inputs!$B$20)</f>
        <v>0.04</v>
      </c>
      <c r="AC29" s="38" t="n">
        <f aca="false">AC28*(1+AB29)</f>
        <v>1499351.65959113</v>
      </c>
    </row>
    <row r="30" customFormat="false" ht="15" hidden="false" customHeight="false" outlineLevel="0" collapsed="false">
      <c r="A30" s="2" t="n">
        <v>29</v>
      </c>
      <c r="B30" s="2" t="str">
        <f aca="false">TEXT(2026+A30,"0")</f>
        <v>2055</v>
      </c>
      <c r="C30" s="10" t="n">
        <f aca="false">SUMIF(Monthly!$B$2:$B$601,A30,Monthly!$D$2:$D$601)</f>
        <v>3470.31251106474</v>
      </c>
      <c r="D30" s="10" t="n">
        <f aca="false">SUMIF(Monthly!$B$2:$B$601,A30,Monthly!$E$2:$E$601)</f>
        <v>29371.8770367037</v>
      </c>
      <c r="E30" s="10" t="n">
        <f aca="false">AVERAGEIF(Monthly!$B$2:$B$601,A30,Monthly!$C$2:$C$601)</f>
        <v>47669.1278992409</v>
      </c>
      <c r="F30" s="10" t="n">
        <f aca="false">C30*IF(E30&lt;=Inputs!$B$46,1,Inputs!$B$46/E30)</f>
        <v>3470.31251106474</v>
      </c>
      <c r="G30" s="10" t="n">
        <f aca="false">Inputs!$B$12*IF(Inputs!$B$35="",AC29,MIN(AC29,Inputs!$B$7*(1+Inputs!$B$35)^(A30-1)))</f>
        <v>13494.1649363202</v>
      </c>
      <c r="H30" s="7" t="n">
        <f aca="false">Inputs!$B$55</f>
        <v>10000</v>
      </c>
      <c r="I30" s="10" t="n">
        <f aca="false">Inputs!$B$44*(1+Inputs!$B$22)^A30</f>
        <v>71722.6284262026</v>
      </c>
      <c r="J30" s="10" t="n">
        <f aca="false">F30+MIN(H30,G30+Inputs!$B$27)+Inputs!$B$28</f>
        <v>13470.3125110647</v>
      </c>
      <c r="K30" s="10" t="n">
        <f aca="false">MIN(H30,Inputs!$B$27)+Inputs!$B$28</f>
        <v>0</v>
      </c>
      <c r="L30" s="2" t="str">
        <f aca="false">IF(J30&gt;I30,"Yes","No")</f>
        <v>No</v>
      </c>
      <c r="M30" s="2"/>
      <c r="N30" s="10" t="n">
        <f aca="false">IF(Inputs!$B$25="Yes",Inputs!$B$26*(MAX(I30,J30)-MAX(I30,K30)),0)</f>
        <v>0</v>
      </c>
      <c r="O30" s="10" t="n">
        <f aca="false">SUMIF(Monthly!$B$2:$B$601,A30,Monthly!$N$2:$N$601)</f>
        <v>62586.9198101309</v>
      </c>
      <c r="P30" s="10" t="n">
        <f aca="false">SUMIF(Monthly!$B$2:$B$601,A30,Monthly!$O$2:$O$601)</f>
        <v>78995.1722796538</v>
      </c>
      <c r="Q30" s="10" t="n">
        <f aca="false">AC30</f>
        <v>1559325.72597478</v>
      </c>
      <c r="R30" s="10" t="n">
        <f aca="false">INDEX(Monthly!$F$2:$F$601,A30*12)</f>
        <v>31582.9593978663</v>
      </c>
      <c r="S30" s="10" t="n">
        <f aca="false">Q30*Inputs!$B$23</f>
        <v>93559.5435584868</v>
      </c>
      <c r="T30" s="10" t="n">
        <f aca="false">MAX(0,Q30-S30-(Inputs!$B$7+Inputs!$B$40)-IF(A30&gt;=2,Inputs!$B$45,0))*Inputs!$B$29</f>
        <v>67989.9273624439</v>
      </c>
      <c r="U30" s="10" t="n">
        <f aca="false">INDEX(Monthly!$S$2:$S$601,A30*12)-Inputs!$B$29*MAX(0,INDEX(Monthly!$S$2:$S$601,A30*12)-INDEX(Monthly!$T$2:$T$601,A30*12))</f>
        <v>121981.428497866</v>
      </c>
      <c r="V30" s="10" t="n">
        <f aca="false">Q30-S30-R30-T30+U30</f>
        <v>1488174.72415385</v>
      </c>
      <c r="W30" s="10" t="n">
        <f aca="false">INDEX(Monthly!$Q$2:$Q$601,A30*12)-Inputs!$B$29*MAX(0,INDEX(Monthly!$Q$2:$Q$601,A30*12)-INDEX(Monthly!$R$2:$R$601,A30*12))</f>
        <v>1275523.92094168</v>
      </c>
      <c r="X30" s="10" t="n">
        <f aca="false">V30-W30</f>
        <v>212650.803212165</v>
      </c>
      <c r="Y30" s="36" t="n">
        <f aca="false">(1+Inputs!$B$22)^A30</f>
        <v>2.22741082068952</v>
      </c>
      <c r="Z30" s="10" t="n">
        <f aca="false">X30/Y30</f>
        <v>95469.9515854631</v>
      </c>
      <c r="AA30" s="2" t="n">
        <f aca="false">IF(AND(X30&gt;=0,COUNTIF(X30:X$51,"&lt;0")=0),A30,"")</f>
        <v>29</v>
      </c>
      <c r="AB30" s="37" t="n">
        <f aca="false">IF(Inputs!$B$32="Revert",(1+Inputs!$B$18)*EXP(LN(1+Inputs!$B$33)*(0.5^(A30/Inputs!$B$34)-0.5^((A30-1)/Inputs!$B$34)))-1,Inputs!$B$20)</f>
        <v>0.04</v>
      </c>
      <c r="AC30" s="38" t="n">
        <f aca="false">AC29*(1+AB30)</f>
        <v>1559325.72597478</v>
      </c>
    </row>
    <row r="31" customFormat="false" ht="15" hidden="false" customHeight="false" outlineLevel="0" collapsed="false">
      <c r="A31" s="2" t="n">
        <v>30</v>
      </c>
      <c r="B31" s="2" t="str">
        <f aca="false">TEXT(2026+A31,"0")</f>
        <v>2056</v>
      </c>
      <c r="C31" s="10" t="n">
        <f aca="false">SUMIF(Monthly!$B$2:$B$601,A31,Monthly!$D$2:$D$601)</f>
        <v>1259.23014990228</v>
      </c>
      <c r="D31" s="10" t="n">
        <f aca="false">SUMIF(Monthly!$B$2:$B$601,A31,Monthly!$E$2:$E$601)</f>
        <v>31582.9593978662</v>
      </c>
      <c r="E31" s="10" t="n">
        <f aca="false">AVERAGEIF(Monthly!$B$2:$B$601,A31,Monthly!$C$2:$C$601)</f>
        <v>17297.1174437126</v>
      </c>
      <c r="F31" s="10" t="n">
        <f aca="false">C31*IF(E31&lt;=Inputs!$B$46,1,Inputs!$B$46/E31)</f>
        <v>1259.23014990228</v>
      </c>
      <c r="G31" s="10" t="n">
        <f aca="false">Inputs!$B$12*IF(Inputs!$B$35="",AC30,MIN(AC30,Inputs!$B$7*(1+Inputs!$B$35)^(A31-1)))</f>
        <v>14033.931533773</v>
      </c>
      <c r="H31" s="7" t="n">
        <f aca="false">Inputs!$B$55</f>
        <v>10000</v>
      </c>
      <c r="I31" s="10" t="n">
        <f aca="false">Inputs!$B$44*(1+Inputs!$B$22)^A31</f>
        <v>73730.8620221363</v>
      </c>
      <c r="J31" s="10" t="n">
        <f aca="false">F31+MIN(H31,G31+Inputs!$B$27)+Inputs!$B$28</f>
        <v>11259.2301499023</v>
      </c>
      <c r="K31" s="10" t="n">
        <f aca="false">MIN(H31,Inputs!$B$27)+Inputs!$B$28</f>
        <v>0</v>
      </c>
      <c r="L31" s="2" t="str">
        <f aca="false">IF(J31&gt;I31,"Yes","No")</f>
        <v>No</v>
      </c>
      <c r="M31" s="2"/>
      <c r="N31" s="10" t="n">
        <f aca="false">IF(Inputs!$B$25="Yes",Inputs!$B$26*(MAX(I31,J31)-MAX(I31,K31)),0)</f>
        <v>0</v>
      </c>
      <c r="O31" s="10" t="n">
        <f aca="false">SUMIF(Monthly!$B$2:$B$601,A31,Monthly!$N$2:$N$601)</f>
        <v>63581.7022367129</v>
      </c>
      <c r="P31" s="10" t="n">
        <f aca="false">SUMIF(Monthly!$B$2:$B$601,A31,Monthly!$O$2:$O$601)</f>
        <v>81757.2732144669</v>
      </c>
      <c r="Q31" s="10" t="n">
        <f aca="false">AC31</f>
        <v>1621698.75501377</v>
      </c>
      <c r="R31" s="10" t="n">
        <f aca="false">INDEX(Monthly!$F$2:$F$601,A31*12)</f>
        <v>1.28693500300869E-010</v>
      </c>
      <c r="S31" s="10" t="n">
        <f aca="false">Q31*Inputs!$B$23</f>
        <v>97301.9253008263</v>
      </c>
      <c r="T31" s="10" t="n">
        <f aca="false">MAX(0,Q31-S31-(Inputs!$B$7+Inputs!$B$40)-IF(A31&gt;=2,Inputs!$B$45,0))*Inputs!$B$29</f>
        <v>76784.5244569417</v>
      </c>
      <c r="U31" s="10" t="n">
        <f aca="false">INDEX(Monthly!$S$2:$S$601,A31*12)-Inputs!$B$29*MAX(0,INDEX(Monthly!$S$2:$S$601,A31*12)-INDEX(Monthly!$T$2:$T$601,A31*12))</f>
        <v>148126.222710118</v>
      </c>
      <c r="V31" s="10" t="n">
        <f aca="false">Q31-S31-R31-T31+U31</f>
        <v>1595738.52796612</v>
      </c>
      <c r="W31" s="10" t="n">
        <f aca="false">INDEX(Monthly!$Q$2:$Q$601,A31*12)-Inputs!$B$29*MAX(0,INDEX(Monthly!$Q$2:$Q$601,A31*12)-INDEX(Monthly!$R$2:$R$601,A31*12))</f>
        <v>1360349.45147395</v>
      </c>
      <c r="X31" s="10" t="n">
        <f aca="false">V31-W31</f>
        <v>235389.076492166</v>
      </c>
      <c r="Y31" s="36" t="n">
        <f aca="false">(1+Inputs!$B$22)^A31</f>
        <v>2.28977832366883</v>
      </c>
      <c r="Z31" s="10" t="n">
        <f aca="false">X31/Y31</f>
        <v>102799.940963285</v>
      </c>
      <c r="AA31" s="2" t="n">
        <f aca="false">IF(AND(X31&gt;=0,COUNTIF(X31:X$51,"&lt;0")=0),A31,"")</f>
        <v>30</v>
      </c>
      <c r="AB31" s="37" t="n">
        <f aca="false">IF(Inputs!$B$32="Revert",(1+Inputs!$B$18)*EXP(LN(1+Inputs!$B$33)*(0.5^(A31/Inputs!$B$34)-0.5^((A31-1)/Inputs!$B$34)))-1,Inputs!$B$20)</f>
        <v>0.04</v>
      </c>
      <c r="AC31" s="38" t="n">
        <f aca="false">AC30*(1+AB31)</f>
        <v>1621698.75501377</v>
      </c>
    </row>
    <row r="32" customFormat="false" ht="15" hidden="false" customHeight="false" outlineLevel="0" collapsed="false">
      <c r="A32" s="2" t="n">
        <v>31</v>
      </c>
      <c r="B32" s="2" t="str">
        <f aca="false">TEXT(2026+A32,"0")</f>
        <v>2057</v>
      </c>
      <c r="C32" s="10" t="n">
        <f aca="false">SUMIF(Monthly!$B$2:$B$601,A32,Monthly!$D$2:$D$601)</f>
        <v>0</v>
      </c>
      <c r="D32" s="10" t="n">
        <f aca="false">SUMIF(Monthly!$B$2:$B$601,A32,Monthly!$E$2:$E$601)</f>
        <v>0</v>
      </c>
      <c r="E32" s="10" t="n">
        <f aca="false">AVERAGEIF(Monthly!$B$2:$B$601,A32,Monthly!$C$2:$C$601)</f>
        <v>1.28693500300869E-010</v>
      </c>
      <c r="F32" s="10" t="n">
        <f aca="false">C32*IF(E32&lt;=Inputs!$B$46,1,Inputs!$B$46/E32)</f>
        <v>0</v>
      </c>
      <c r="G32" s="10" t="n">
        <f aca="false">Inputs!$B$12*IF(Inputs!$B$35="",AC31,MIN(AC31,Inputs!$B$7*(1+Inputs!$B$35)^(A32-1)))</f>
        <v>14595.2887951239</v>
      </c>
      <c r="H32" s="7" t="n">
        <f aca="false">Inputs!$B$55</f>
        <v>10000</v>
      </c>
      <c r="I32" s="10" t="n">
        <f aca="false">Inputs!$B$44*(1+Inputs!$B$22)^A32</f>
        <v>75795.3261587561</v>
      </c>
      <c r="J32" s="10" t="n">
        <f aca="false">F32+MIN(H32,G32+Inputs!$B$27)+Inputs!$B$28</f>
        <v>10000</v>
      </c>
      <c r="K32" s="10" t="n">
        <f aca="false">MIN(H32,Inputs!$B$27)+Inputs!$B$28</f>
        <v>0</v>
      </c>
      <c r="L32" s="2" t="str">
        <f aca="false">IF(J32&gt;I32,"Yes","No")</f>
        <v>No</v>
      </c>
      <c r="M32" s="2"/>
      <c r="N32" s="10" t="n">
        <f aca="false">IF(Inputs!$B$25="Yes",Inputs!$B$26*(MAX(I32,J32)-MAX(I32,K32)),0)</f>
        <v>0</v>
      </c>
      <c r="O32" s="10" t="n">
        <f aca="false">SUMIF(Monthly!$B$2:$B$601,A32,Monthly!$N$2:$N$601)</f>
        <v>31768.6262226402</v>
      </c>
      <c r="P32" s="10" t="n">
        <f aca="false">SUMIF(Monthly!$B$2:$B$601,A32,Monthly!$O$2:$O$601)</f>
        <v>84615.9712393392</v>
      </c>
      <c r="Q32" s="10" t="n">
        <f aca="false">AC32</f>
        <v>1686566.70521432</v>
      </c>
      <c r="R32" s="10" t="n">
        <f aca="false">INDEX(Monthly!$F$2:$F$601,A32*12)</f>
        <v>1.28693500300869E-010</v>
      </c>
      <c r="S32" s="10" t="n">
        <f aca="false">Q32*Inputs!$B$23</f>
        <v>101194.002312859</v>
      </c>
      <c r="T32" s="10" t="n">
        <f aca="false">MAX(0,Q32-S32-(Inputs!$B$7+Inputs!$B$40)-IF(A32&gt;=2,Inputs!$B$45,0))*Inputs!$B$29</f>
        <v>85930.9054352194</v>
      </c>
      <c r="U32" s="10" t="n">
        <f aca="false">INDEX(Monthly!$S$2:$S$601,A32*12)-Inputs!$B$29*MAX(0,INDEX(Monthly!$S$2:$S$601,A32*12)-INDEX(Monthly!$T$2:$T$601,A32*12))</f>
        <v>211500.827809577</v>
      </c>
      <c r="V32" s="10" t="n">
        <f aca="false">Q32-S32-R32-T32+U32</f>
        <v>1710942.62527582</v>
      </c>
      <c r="W32" s="10" t="n">
        <f aca="false">INDEX(Monthly!$Q$2:$Q$601,A32*12)-Inputs!$B$29*MAX(0,INDEX(Monthly!$Q$2:$Q$601,A32*12)-INDEX(Monthly!$R$2:$R$601,A32*12))</f>
        <v>1450963.96360501</v>
      </c>
      <c r="X32" s="10" t="n">
        <f aca="false">V32-W32</f>
        <v>259978.661670813</v>
      </c>
      <c r="Y32" s="36" t="n">
        <f aca="false">(1+Inputs!$B$22)^A32</f>
        <v>2.35389211673156</v>
      </c>
      <c r="Z32" s="10" t="n">
        <f aca="false">X32/Y32</f>
        <v>110446.294383194</v>
      </c>
      <c r="AA32" s="2" t="n">
        <f aca="false">IF(AND(X32&gt;=0,COUNTIF(X32:X$51,"&lt;0")=0),A32,"")</f>
        <v>31</v>
      </c>
      <c r="AB32" s="37" t="n">
        <f aca="false">IF(Inputs!$B$32="Revert",(1+Inputs!$B$18)*EXP(LN(1+Inputs!$B$33)*(0.5^(A32/Inputs!$B$34)-0.5^((A32-1)/Inputs!$B$34)))-1,Inputs!$B$20)</f>
        <v>0.04</v>
      </c>
      <c r="AC32" s="38" t="n">
        <f aca="false">AC31*(1+AB32)</f>
        <v>1686566.70521432</v>
      </c>
    </row>
    <row r="33" customFormat="false" ht="15" hidden="false" customHeight="false" outlineLevel="0" collapsed="false">
      <c r="A33" s="2" t="n">
        <v>32</v>
      </c>
      <c r="B33" s="2" t="str">
        <f aca="false">TEXT(2026+A33,"0")</f>
        <v>2058</v>
      </c>
      <c r="C33" s="10" t="n">
        <f aca="false">SUMIF(Monthly!$B$2:$B$601,A33,Monthly!$D$2:$D$601)</f>
        <v>0</v>
      </c>
      <c r="D33" s="10" t="n">
        <f aca="false">SUMIF(Monthly!$B$2:$B$601,A33,Monthly!$E$2:$E$601)</f>
        <v>0</v>
      </c>
      <c r="E33" s="10" t="n">
        <f aca="false">AVERAGEIF(Monthly!$B$2:$B$601,A33,Monthly!$C$2:$C$601)</f>
        <v>1.28693500300869E-010</v>
      </c>
      <c r="F33" s="10" t="n">
        <f aca="false">C33*IF(E33&lt;=Inputs!$B$46,1,Inputs!$B$46/E33)</f>
        <v>0</v>
      </c>
      <c r="G33" s="10" t="n">
        <f aca="false">Inputs!$B$12*IF(Inputs!$B$35="",AC32,MIN(AC32,Inputs!$B$7*(1+Inputs!$B$35)^(A33-1)))</f>
        <v>15179.1003469289</v>
      </c>
      <c r="H33" s="7" t="n">
        <f aca="false">Inputs!$B$55</f>
        <v>10000</v>
      </c>
      <c r="I33" s="10" t="n">
        <f aca="false">Inputs!$B$44*(1+Inputs!$B$22)^A33</f>
        <v>77917.5952912013</v>
      </c>
      <c r="J33" s="10" t="n">
        <f aca="false">F33+MIN(H33,G33+Inputs!$B$27)+Inputs!$B$28</f>
        <v>10000</v>
      </c>
      <c r="K33" s="10" t="n">
        <f aca="false">MIN(H33,Inputs!$B$27)+Inputs!$B$28</f>
        <v>0</v>
      </c>
      <c r="L33" s="2" t="str">
        <f aca="false">IF(J33&gt;I33,"Yes","No")</f>
        <v>No</v>
      </c>
      <c r="M33" s="2"/>
      <c r="N33" s="10" t="n">
        <f aca="false">IF(Inputs!$B$25="Yes",Inputs!$B$26*(MAX(I33,J33)-MAX(I33,K33)),0)</f>
        <v>0</v>
      </c>
      <c r="O33" s="10" t="n">
        <f aca="false">SUMIF(Monthly!$B$2:$B$601,A33,Monthly!$N$2:$N$601)</f>
        <v>32833.2912224156</v>
      </c>
      <c r="P33" s="10" t="n">
        <f aca="false">SUMIF(Monthly!$B$2:$B$601,A33,Monthly!$O$2:$O$601)</f>
        <v>87574.6451120282</v>
      </c>
      <c r="Q33" s="10" t="n">
        <f aca="false">AC33</f>
        <v>1754029.37342289</v>
      </c>
      <c r="R33" s="10" t="n">
        <f aca="false">INDEX(Monthly!$F$2:$F$601,A33*12)</f>
        <v>1.28693500300869E-010</v>
      </c>
      <c r="S33" s="10" t="n">
        <f aca="false">Q33*Inputs!$B$23</f>
        <v>105241.762405374</v>
      </c>
      <c r="T33" s="10" t="n">
        <f aca="false">MAX(0,Q33-S33-(Inputs!$B$7+Inputs!$B$40)-IF(A33&gt;=2,Inputs!$B$45,0))*Inputs!$B$29</f>
        <v>95443.1416526282</v>
      </c>
      <c r="U33" s="10" t="n">
        <f aca="false">INDEX(Monthly!$S$2:$S$601,A33*12)-Inputs!$B$29*MAX(0,INDEX(Monthly!$S$2:$S$601,A33*12)-INDEX(Monthly!$T$2:$T$601,A33*12))</f>
        <v>280680.903883539</v>
      </c>
      <c r="V33" s="10" t="n">
        <f aca="false">Q33-S33-R33-T33+U33</f>
        <v>1834025.37324843</v>
      </c>
      <c r="W33" s="10" t="n">
        <f aca="false">INDEX(Monthly!$Q$2:$Q$601,A33*12)-Inputs!$B$29*MAX(0,INDEX(Monthly!$Q$2:$Q$601,A33*12)-INDEX(Monthly!$R$2:$R$601,A33*12))</f>
        <v>1547762.5307018</v>
      </c>
      <c r="X33" s="10" t="n">
        <f aca="false">V33-W33</f>
        <v>286262.842546637</v>
      </c>
      <c r="Y33" s="36" t="n">
        <f aca="false">(1+Inputs!$B$22)^A33</f>
        <v>2.41980109600004</v>
      </c>
      <c r="Z33" s="10" t="n">
        <f aca="false">X33/Y33</f>
        <v>118300.154099373</v>
      </c>
      <c r="AA33" s="2" t="n">
        <f aca="false">IF(AND(X33&gt;=0,COUNTIF(X33:X$51,"&lt;0")=0),A33,"")</f>
        <v>32</v>
      </c>
      <c r="AB33" s="37" t="n">
        <f aca="false">IF(Inputs!$B$32="Revert",(1+Inputs!$B$18)*EXP(LN(1+Inputs!$B$33)*(0.5^(A33/Inputs!$B$34)-0.5^((A33-1)/Inputs!$B$34)))-1,Inputs!$B$20)</f>
        <v>0.04</v>
      </c>
      <c r="AC33" s="38" t="n">
        <f aca="false">AC32*(1+AB33)</f>
        <v>1754029.37342289</v>
      </c>
    </row>
    <row r="34" customFormat="false" ht="15" hidden="false" customHeight="false" outlineLevel="0" collapsed="false">
      <c r="A34" s="2" t="n">
        <v>33</v>
      </c>
      <c r="B34" s="2" t="str">
        <f aca="false">TEXT(2026+A34,"0")</f>
        <v>2059</v>
      </c>
      <c r="C34" s="10" t="n">
        <f aca="false">SUMIF(Monthly!$B$2:$B$601,A34,Monthly!$D$2:$D$601)</f>
        <v>0</v>
      </c>
      <c r="D34" s="10" t="n">
        <f aca="false">SUMIF(Monthly!$B$2:$B$601,A34,Monthly!$E$2:$E$601)</f>
        <v>0</v>
      </c>
      <c r="E34" s="10" t="n">
        <f aca="false">AVERAGEIF(Monthly!$B$2:$B$601,A34,Monthly!$C$2:$C$601)</f>
        <v>1.28693500300869E-010</v>
      </c>
      <c r="F34" s="10" t="n">
        <f aca="false">C34*IF(E34&lt;=Inputs!$B$46,1,Inputs!$B$46/E34)</f>
        <v>0</v>
      </c>
      <c r="G34" s="10" t="n">
        <f aca="false">Inputs!$B$12*IF(Inputs!$B$35="",AC33,MIN(AC33,Inputs!$B$7*(1+Inputs!$B$35)^(A34-1)))</f>
        <v>15786.2643608061</v>
      </c>
      <c r="H34" s="7" t="n">
        <f aca="false">Inputs!$B$55</f>
        <v>10000</v>
      </c>
      <c r="I34" s="10" t="n">
        <f aca="false">Inputs!$B$44*(1+Inputs!$B$22)^A34</f>
        <v>80099.2879593549</v>
      </c>
      <c r="J34" s="10" t="n">
        <f aca="false">F34+MIN(H34,G34+Inputs!$B$27)+Inputs!$B$28</f>
        <v>10000</v>
      </c>
      <c r="K34" s="10" t="n">
        <f aca="false">MIN(H34,Inputs!$B$27)+Inputs!$B$28</f>
        <v>0</v>
      </c>
      <c r="L34" s="2" t="str">
        <f aca="false">IF(J34&gt;I34,"Yes","No")</f>
        <v>No</v>
      </c>
      <c r="M34" s="2"/>
      <c r="N34" s="10" t="n">
        <f aca="false">IF(Inputs!$B$25="Yes",Inputs!$B$26*(MAX(I34,J34)-MAX(I34,K34)),0)</f>
        <v>0</v>
      </c>
      <c r="O34" s="10" t="n">
        <f aca="false">SUMIF(Monthly!$B$2:$B$601,A34,Monthly!$N$2:$N$601)</f>
        <v>33934.7725808064</v>
      </c>
      <c r="P34" s="10" t="n">
        <f aca="false">SUMIF(Monthly!$B$2:$B$601,A34,Monthly!$O$2:$O$601)</f>
        <v>90636.7917868821</v>
      </c>
      <c r="Q34" s="10" t="n">
        <f aca="false">AC34</f>
        <v>1824190.54835981</v>
      </c>
      <c r="R34" s="10" t="n">
        <f aca="false">INDEX(Monthly!$F$2:$F$601,A34*12)</f>
        <v>1.28693500300869E-010</v>
      </c>
      <c r="S34" s="10" t="n">
        <f aca="false">Q34*Inputs!$B$23</f>
        <v>109451.432901589</v>
      </c>
      <c r="T34" s="10" t="n">
        <f aca="false">MAX(0,Q34-S34-(Inputs!$B$7+Inputs!$B$40)-IF(A34&gt;=2,Inputs!$B$45,0))*Inputs!$B$29</f>
        <v>105335.867318733</v>
      </c>
      <c r="U34" s="10" t="n">
        <f aca="false">INDEX(Monthly!$S$2:$S$601,A34*12)-Inputs!$B$29*MAX(0,INDEX(Monthly!$S$2:$S$601,A34*12)-INDEX(Monthly!$T$2:$T$601,A34*12))</f>
        <v>356114.450554939</v>
      </c>
      <c r="V34" s="10" t="n">
        <f aca="false">Q34-S34-R34-T34+U34</f>
        <v>1965517.69869443</v>
      </c>
      <c r="W34" s="10" t="n">
        <f aca="false">INDEX(Monthly!$Q$2:$Q$601,A34*12)-Inputs!$B$29*MAX(0,INDEX(Monthly!$Q$2:$Q$601,A34*12)-INDEX(Monthly!$R$2:$R$601,A34*12))</f>
        <v>1651167.18820787</v>
      </c>
      <c r="X34" s="10" t="n">
        <f aca="false">V34-W34</f>
        <v>314350.51048656</v>
      </c>
      <c r="Y34" s="36" t="n">
        <f aca="false">(1+Inputs!$B$22)^A34</f>
        <v>2.48755552668804</v>
      </c>
      <c r="Z34" s="10" t="n">
        <f aca="false">X34/Y34</f>
        <v>126369.243666729</v>
      </c>
      <c r="AA34" s="2" t="n">
        <f aca="false">IF(AND(X34&gt;=0,COUNTIF(X34:X$51,"&lt;0")=0),A34,"")</f>
        <v>33</v>
      </c>
      <c r="AB34" s="37" t="n">
        <f aca="false">IF(Inputs!$B$32="Revert",(1+Inputs!$B$18)*EXP(LN(1+Inputs!$B$33)*(0.5^(A34/Inputs!$B$34)-0.5^((A34-1)/Inputs!$B$34)))-1,Inputs!$B$20)</f>
        <v>0.04</v>
      </c>
      <c r="AC34" s="38" t="n">
        <f aca="false">AC33*(1+AB34)</f>
        <v>1824190.54835981</v>
      </c>
    </row>
    <row r="35" customFormat="false" ht="15" hidden="false" customHeight="false" outlineLevel="0" collapsed="false">
      <c r="A35" s="2" t="n">
        <v>34</v>
      </c>
      <c r="B35" s="2" t="str">
        <f aca="false">TEXT(2026+A35,"0")</f>
        <v>2060</v>
      </c>
      <c r="C35" s="10" t="n">
        <f aca="false">SUMIF(Monthly!$B$2:$B$601,A35,Monthly!$D$2:$D$601)</f>
        <v>0</v>
      </c>
      <c r="D35" s="10" t="n">
        <f aca="false">SUMIF(Monthly!$B$2:$B$601,A35,Monthly!$E$2:$E$601)</f>
        <v>0</v>
      </c>
      <c r="E35" s="10" t="n">
        <f aca="false">AVERAGEIF(Monthly!$B$2:$B$601,A35,Monthly!$C$2:$C$601)</f>
        <v>1.28693500300869E-010</v>
      </c>
      <c r="F35" s="10" t="n">
        <f aca="false">C35*IF(E35&lt;=Inputs!$B$46,1,Inputs!$B$46/E35)</f>
        <v>0</v>
      </c>
      <c r="G35" s="10" t="n">
        <f aca="false">Inputs!$B$12*IF(Inputs!$B$35="",AC34,MIN(AC34,Inputs!$B$7*(1+Inputs!$B$35)^(A35-1)))</f>
        <v>16417.7149352383</v>
      </c>
      <c r="H35" s="7" t="n">
        <f aca="false">Inputs!$B$55</f>
        <v>10000</v>
      </c>
      <c r="I35" s="10" t="n">
        <f aca="false">Inputs!$B$44*(1+Inputs!$B$22)^A35</f>
        <v>82342.0680222169</v>
      </c>
      <c r="J35" s="10" t="n">
        <f aca="false">F35+MIN(H35,G35+Inputs!$B$27)+Inputs!$B$28</f>
        <v>10000</v>
      </c>
      <c r="K35" s="10" t="n">
        <f aca="false">MIN(H35,Inputs!$B$27)+Inputs!$B$28</f>
        <v>0</v>
      </c>
      <c r="L35" s="2" t="str">
        <f aca="false">IF(J35&gt;I35,"Yes","No")</f>
        <v>No</v>
      </c>
      <c r="M35" s="2"/>
      <c r="N35" s="10" t="n">
        <f aca="false">IF(Inputs!$B$25="Yes",Inputs!$B$26*(MAX(I35,J35)-MAX(I35,K35)),0)</f>
        <v>0</v>
      </c>
      <c r="O35" s="10" t="n">
        <f aca="false">SUMIF(Monthly!$B$2:$B$601,A35,Monthly!$N$2:$N$601)</f>
        <v>35074.3813853986</v>
      </c>
      <c r="P35" s="10" t="n">
        <f aca="false">SUMIF(Monthly!$B$2:$B$601,A35,Monthly!$O$2:$O$601)</f>
        <v>93806.0305500421</v>
      </c>
      <c r="Q35" s="10" t="n">
        <f aca="false">AC35</f>
        <v>1897158.1702942</v>
      </c>
      <c r="R35" s="10" t="n">
        <f aca="false">INDEX(Monthly!$F$2:$F$601,A35*12)</f>
        <v>1.28693500300869E-010</v>
      </c>
      <c r="S35" s="10" t="n">
        <f aca="false">Q35*Inputs!$B$23</f>
        <v>113829.490217652</v>
      </c>
      <c r="T35" s="10" t="n">
        <f aca="false">MAX(0,Q35-S35-(Inputs!$B$7+Inputs!$B$40)-IF(A35&gt;=2,Inputs!$B$45,0))*Inputs!$B$29</f>
        <v>115624.302011483</v>
      </c>
      <c r="U35" s="10" t="n">
        <f aca="false">INDEX(Monthly!$S$2:$S$601,A35*12)-Inputs!$B$29*MAX(0,INDEX(Monthly!$S$2:$S$601,A35*12)-INDEX(Monthly!$T$2:$T$601,A35*12))</f>
        <v>438281.825884763</v>
      </c>
      <c r="V35" s="10" t="n">
        <f aca="false">Q35-S35-R35-T35+U35</f>
        <v>2105986.20394983</v>
      </c>
      <c r="W35" s="10" t="n">
        <f aca="false">INDEX(Monthly!$Q$2:$Q$601,A35*12)-Inputs!$B$29*MAX(0,INDEX(Monthly!$Q$2:$Q$601,A35*12)-INDEX(Monthly!$R$2:$R$601,A35*12))</f>
        <v>1761628.7736904</v>
      </c>
      <c r="X35" s="10" t="n">
        <f aca="false">V35-W35</f>
        <v>344357.430259435</v>
      </c>
      <c r="Y35" s="36" t="n">
        <f aca="false">(1+Inputs!$B$22)^A35</f>
        <v>2.55720708143531</v>
      </c>
      <c r="Z35" s="10" t="n">
        <f aca="false">X35/Y35</f>
        <v>134661.534749917</v>
      </c>
      <c r="AA35" s="2" t="n">
        <f aca="false">IF(AND(X35&gt;=0,COUNTIF(X35:X$51,"&lt;0")=0),A35,"")</f>
        <v>34</v>
      </c>
      <c r="AB35" s="37" t="n">
        <f aca="false">IF(Inputs!$B$32="Revert",(1+Inputs!$B$18)*EXP(LN(1+Inputs!$B$33)*(0.5^(A35/Inputs!$B$34)-0.5^((A35-1)/Inputs!$B$34)))-1,Inputs!$B$20)</f>
        <v>0.04</v>
      </c>
      <c r="AC35" s="38" t="n">
        <f aca="false">AC34*(1+AB35)</f>
        <v>1897158.1702942</v>
      </c>
    </row>
    <row r="36" customFormat="false" ht="15" hidden="false" customHeight="false" outlineLevel="0" collapsed="false">
      <c r="A36" s="2" t="n">
        <v>35</v>
      </c>
      <c r="B36" s="2" t="str">
        <f aca="false">TEXT(2026+A36,"0")</f>
        <v>2061</v>
      </c>
      <c r="C36" s="10" t="n">
        <f aca="false">SUMIF(Monthly!$B$2:$B$601,A36,Monthly!$D$2:$D$601)</f>
        <v>0</v>
      </c>
      <c r="D36" s="10" t="n">
        <f aca="false">SUMIF(Monthly!$B$2:$B$601,A36,Monthly!$E$2:$E$601)</f>
        <v>0</v>
      </c>
      <c r="E36" s="10" t="n">
        <f aca="false">AVERAGEIF(Monthly!$B$2:$B$601,A36,Monthly!$C$2:$C$601)</f>
        <v>1.28693500300869E-010</v>
      </c>
      <c r="F36" s="10" t="n">
        <f aca="false">C36*IF(E36&lt;=Inputs!$B$46,1,Inputs!$B$46/E36)</f>
        <v>0</v>
      </c>
      <c r="G36" s="10" t="n">
        <f aca="false">Inputs!$B$12*IF(Inputs!$B$35="",AC35,MIN(AC35,Inputs!$B$7*(1+Inputs!$B$35)^(A36-1)))</f>
        <v>17074.4235326478</v>
      </c>
      <c r="H36" s="7" t="n">
        <f aca="false">Inputs!$B$55</f>
        <v>10000</v>
      </c>
      <c r="I36" s="10" t="n">
        <f aca="false">Inputs!$B$44*(1+Inputs!$B$22)^A36</f>
        <v>84647.6459268389</v>
      </c>
      <c r="J36" s="10" t="n">
        <f aca="false">F36+MIN(H36,G36+Inputs!$B$27)+Inputs!$B$28</f>
        <v>10000</v>
      </c>
      <c r="K36" s="10" t="n">
        <f aca="false">MIN(H36,Inputs!$B$27)+Inputs!$B$28</f>
        <v>0</v>
      </c>
      <c r="L36" s="2" t="str">
        <f aca="false">IF(J36&gt;I36,"Yes","No")</f>
        <v>No</v>
      </c>
      <c r="M36" s="2"/>
      <c r="N36" s="10" t="n">
        <f aca="false">IF(Inputs!$B$25="Yes",Inputs!$B$26*(MAX(I36,J36)-MAX(I36,K36)),0)</f>
        <v>0</v>
      </c>
      <c r="O36" s="10" t="n">
        <f aca="false">SUMIF(Monthly!$B$2:$B$601,A36,Monthly!$N$2:$N$601)</f>
        <v>36253.4766434126</v>
      </c>
      <c r="P36" s="10" t="n">
        <f aca="false">SUMIF(Monthly!$B$2:$B$601,A36,Monthly!$O$2:$O$601)</f>
        <v>97086.1072993299</v>
      </c>
      <c r="Q36" s="10" t="n">
        <f aca="false">AC36</f>
        <v>1973044.49710597</v>
      </c>
      <c r="R36" s="10" t="n">
        <f aca="false">INDEX(Monthly!$F$2:$F$601,A36*12)</f>
        <v>1.28693500300869E-010</v>
      </c>
      <c r="S36" s="10" t="n">
        <f aca="false">Q36*Inputs!$B$23</f>
        <v>118382.669826358</v>
      </c>
      <c r="T36" s="10" t="n">
        <f aca="false">MAX(0,Q36-S36-(Inputs!$B$7+Inputs!$B$40)-IF(A36&gt;=2,Inputs!$B$45,0))*Inputs!$B$29</f>
        <v>126324.274091942</v>
      </c>
      <c r="U36" s="10" t="n">
        <f aca="false">INDEX(Monthly!$S$2:$S$601,A36*12)-Inputs!$B$29*MAX(0,INDEX(Monthly!$S$2:$S$601,A36*12)-INDEX(Monthly!$T$2:$T$601,A36*12))</f>
        <v>527698.015217233</v>
      </c>
      <c r="V36" s="10" t="n">
        <f aca="false">Q36-S36-R36-T36+U36</f>
        <v>2256035.5684049</v>
      </c>
      <c r="W36" s="10" t="n">
        <f aca="false">INDEX(Monthly!$Q$2:$Q$601,A36*12)-Inputs!$B$29*MAX(0,INDEX(Monthly!$Q$2:$Q$601,A36*12)-INDEX(Monthly!$R$2:$R$601,A36*12))</f>
        <v>1879628.89246258</v>
      </c>
      <c r="X36" s="10" t="n">
        <f aca="false">V36-W36</f>
        <v>376406.675942319</v>
      </c>
      <c r="Y36" s="36" t="n">
        <f aca="false">(1+Inputs!$B$22)^A36</f>
        <v>2.6288088797155</v>
      </c>
      <c r="Z36" s="10" t="n">
        <f aca="false">X36/Y36</f>
        <v>143185.257340981</v>
      </c>
      <c r="AA36" s="2" t="n">
        <f aca="false">IF(AND(X36&gt;=0,COUNTIF(X36:X$51,"&lt;0")=0),A36,"")</f>
        <v>35</v>
      </c>
      <c r="AB36" s="37" t="n">
        <f aca="false">IF(Inputs!$B$32="Revert",(1+Inputs!$B$18)*EXP(LN(1+Inputs!$B$33)*(0.5^(A36/Inputs!$B$34)-0.5^((A36-1)/Inputs!$B$34)))-1,Inputs!$B$20)</f>
        <v>0.04</v>
      </c>
      <c r="AC36" s="38" t="n">
        <f aca="false">AC35*(1+AB36)</f>
        <v>1973044.49710597</v>
      </c>
    </row>
    <row r="37" customFormat="false" ht="15" hidden="false" customHeight="false" outlineLevel="0" collapsed="false">
      <c r="A37" s="2" t="n">
        <v>36</v>
      </c>
      <c r="B37" s="2" t="str">
        <f aca="false">TEXT(2026+A37,"0")</f>
        <v>2062</v>
      </c>
      <c r="C37" s="10" t="n">
        <f aca="false">SUMIF(Monthly!$B$2:$B$601,A37,Monthly!$D$2:$D$601)</f>
        <v>0</v>
      </c>
      <c r="D37" s="10" t="n">
        <f aca="false">SUMIF(Monthly!$B$2:$B$601,A37,Monthly!$E$2:$E$601)</f>
        <v>0</v>
      </c>
      <c r="E37" s="10" t="n">
        <f aca="false">AVERAGEIF(Monthly!$B$2:$B$601,A37,Monthly!$C$2:$C$601)</f>
        <v>1.28693500300869E-010</v>
      </c>
      <c r="F37" s="10" t="n">
        <f aca="false">C37*IF(E37&lt;=Inputs!$B$46,1,Inputs!$B$46/E37)</f>
        <v>0</v>
      </c>
      <c r="G37" s="10" t="n">
        <f aca="false">Inputs!$B$12*IF(Inputs!$B$35="",AC36,MIN(AC36,Inputs!$B$7*(1+Inputs!$B$35)^(A37-1)))</f>
        <v>17757.4004739537</v>
      </c>
      <c r="H37" s="7" t="n">
        <f aca="false">Inputs!$B$55</f>
        <v>10000</v>
      </c>
      <c r="I37" s="10" t="n">
        <f aca="false">Inputs!$B$44*(1+Inputs!$B$22)^A37</f>
        <v>87017.7800127904</v>
      </c>
      <c r="J37" s="10" t="n">
        <f aca="false">F37+MIN(H37,G37+Inputs!$B$27)+Inputs!$B$28</f>
        <v>10000</v>
      </c>
      <c r="K37" s="10" t="n">
        <f aca="false">MIN(H37,Inputs!$B$27)+Inputs!$B$28</f>
        <v>0</v>
      </c>
      <c r="L37" s="2" t="str">
        <f aca="false">IF(J37&gt;I37,"Yes","No")</f>
        <v>No</v>
      </c>
      <c r="M37" s="2"/>
      <c r="N37" s="10" t="n">
        <f aca="false">IF(Inputs!$B$25="Yes",Inputs!$B$26*(MAX(I37,J37)-MAX(I37,K37)),0)</f>
        <v>0</v>
      </c>
      <c r="O37" s="10" t="n">
        <f aca="false">SUMIF(Monthly!$B$2:$B$601,A37,Monthly!$N$2:$N$601)</f>
        <v>37473.46707182</v>
      </c>
      <c r="P37" s="10" t="n">
        <f aca="false">SUMIF(Monthly!$B$2:$B$601,A37,Monthly!$O$2:$O$601)</f>
        <v>100480.898973884</v>
      </c>
      <c r="Q37" s="10" t="n">
        <f aca="false">AC37</f>
        <v>2051966.27699021</v>
      </c>
      <c r="R37" s="10" t="n">
        <f aca="false">INDEX(Monthly!$F$2:$F$601,A37*12)</f>
        <v>1.28693500300869E-010</v>
      </c>
      <c r="S37" s="10" t="n">
        <f aca="false">Q37*Inputs!$B$23</f>
        <v>123117.976619413</v>
      </c>
      <c r="T37" s="10" t="n">
        <f aca="false">MAX(0,Q37-S37-(Inputs!$B$7+Inputs!$B$40)-IF(A37&gt;=2,Inputs!$B$45,0))*Inputs!$B$29</f>
        <v>137452.24505562</v>
      </c>
      <c r="U37" s="10" t="n">
        <f aca="false">INDEX(Monthly!$S$2:$S$601,A37*12)-Inputs!$B$29*MAX(0,INDEX(Monthly!$S$2:$S$601,A37*12)-INDEX(Monthly!$T$2:$T$601,A37*12))</f>
        <v>624915.056882826</v>
      </c>
      <c r="V37" s="10" t="n">
        <f aca="false">Q37-S37-R37-T37+U37</f>
        <v>2416311.112198</v>
      </c>
      <c r="W37" s="10" t="n">
        <f aca="false">INDEX(Monthly!$Q$2:$Q$601,A37*12)-Inputs!$B$29*MAX(0,INDEX(Monthly!$Q$2:$Q$601,A37*12)-INDEX(Monthly!$R$2:$R$601,A37*12))</f>
        <v>2005682.01735144</v>
      </c>
      <c r="X37" s="10" t="n">
        <f aca="false">V37-W37</f>
        <v>410629.094846559</v>
      </c>
      <c r="Y37" s="36" t="n">
        <f aca="false">(1+Inputs!$B$22)^A37</f>
        <v>2.70241552834753</v>
      </c>
      <c r="Z37" s="10" t="n">
        <f aca="false">X37/Y37</f>
        <v>151948.910350456</v>
      </c>
      <c r="AA37" s="2" t="n">
        <f aca="false">IF(AND(X37&gt;=0,COUNTIF(X37:X$51,"&lt;0")=0),A37,"")</f>
        <v>36</v>
      </c>
      <c r="AB37" s="37" t="n">
        <f aca="false">IF(Inputs!$B$32="Revert",(1+Inputs!$B$18)*EXP(LN(1+Inputs!$B$33)*(0.5^(A37/Inputs!$B$34)-0.5^((A37-1)/Inputs!$B$34)))-1,Inputs!$B$20)</f>
        <v>0.04</v>
      </c>
      <c r="AC37" s="38" t="n">
        <f aca="false">AC36*(1+AB37)</f>
        <v>2051966.27699021</v>
      </c>
    </row>
    <row r="38" customFormat="false" ht="15" hidden="false" customHeight="false" outlineLevel="0" collapsed="false">
      <c r="A38" s="2" t="n">
        <v>37</v>
      </c>
      <c r="B38" s="2" t="str">
        <f aca="false">TEXT(2026+A38,"0")</f>
        <v>2063</v>
      </c>
      <c r="C38" s="10" t="n">
        <f aca="false">SUMIF(Monthly!$B$2:$B$601,A38,Monthly!$D$2:$D$601)</f>
        <v>0</v>
      </c>
      <c r="D38" s="10" t="n">
        <f aca="false">SUMIF(Monthly!$B$2:$B$601,A38,Monthly!$E$2:$E$601)</f>
        <v>0</v>
      </c>
      <c r="E38" s="10" t="n">
        <f aca="false">AVERAGEIF(Monthly!$B$2:$B$601,A38,Monthly!$C$2:$C$601)</f>
        <v>1.28693500300869E-010</v>
      </c>
      <c r="F38" s="10" t="n">
        <f aca="false">C38*IF(E38&lt;=Inputs!$B$46,1,Inputs!$B$46/E38)</f>
        <v>0</v>
      </c>
      <c r="G38" s="10" t="n">
        <f aca="false">Inputs!$B$12*IF(Inputs!$B$35="",AC37,MIN(AC37,Inputs!$B$7*(1+Inputs!$B$35)^(A38-1)))</f>
        <v>18467.6964929119</v>
      </c>
      <c r="H38" s="7" t="n">
        <f aca="false">Inputs!$B$55</f>
        <v>10000</v>
      </c>
      <c r="I38" s="10" t="n">
        <f aca="false">Inputs!$B$44*(1+Inputs!$B$22)^A38</f>
        <v>89454.2778531486</v>
      </c>
      <c r="J38" s="10" t="n">
        <f aca="false">F38+MIN(H38,G38+Inputs!$B$27)+Inputs!$B$28</f>
        <v>10000</v>
      </c>
      <c r="K38" s="10" t="n">
        <f aca="false">MIN(H38,Inputs!$B$27)+Inputs!$B$28</f>
        <v>0</v>
      </c>
      <c r="L38" s="2" t="str">
        <f aca="false">IF(J38&gt;I38,"Yes","No")</f>
        <v>No</v>
      </c>
      <c r="M38" s="2"/>
      <c r="N38" s="10" t="n">
        <f aca="false">IF(Inputs!$B$25="Yes",Inputs!$B$26*(MAX(I38,J38)-MAX(I38,K38)),0)</f>
        <v>0</v>
      </c>
      <c r="O38" s="10" t="n">
        <f aca="false">SUMIF(Monthly!$B$2:$B$601,A38,Monthly!$N$2:$N$601)</f>
        <v>38735.8129555184</v>
      </c>
      <c r="P38" s="10" t="n">
        <f aca="false">SUMIF(Monthly!$B$2:$B$601,A38,Monthly!$O$2:$O$601)</f>
        <v>103994.418138781</v>
      </c>
      <c r="Q38" s="10" t="n">
        <f aca="false">AC38</f>
        <v>2134044.92806982</v>
      </c>
      <c r="R38" s="10" t="n">
        <f aca="false">INDEX(Monthly!$F$2:$F$601,A38*12)</f>
        <v>1.28693500300869E-010</v>
      </c>
      <c r="S38" s="10" t="n">
        <f aca="false">Q38*Inputs!$B$23</f>
        <v>128042.695684189</v>
      </c>
      <c r="T38" s="10" t="n">
        <f aca="false">MAX(0,Q38-S38-(Inputs!$B$7+Inputs!$B$40)-IF(A38&gt;=2,Inputs!$B$45,0))*Inputs!$B$29</f>
        <v>149025.334857844</v>
      </c>
      <c r="U38" s="10" t="n">
        <f aca="false">INDEX(Monthly!$S$2:$S$601,A38*12)-Inputs!$B$29*MAX(0,INDEX(Monthly!$S$2:$S$601,A38*12)-INDEX(Monthly!$T$2:$T$601,A38*12))</f>
        <v>730524.635530072</v>
      </c>
      <c r="V38" s="10" t="n">
        <f aca="false">Q38-S38-R38-T38+U38</f>
        <v>2587501.53305786</v>
      </c>
      <c r="W38" s="10" t="n">
        <f aca="false">INDEX(Monthly!$Q$2:$Q$601,A38*12)-Inputs!$B$29*MAX(0,INDEX(Monthly!$Q$2:$Q$601,A38*12)-INDEX(Monthly!$R$2:$R$601,A38*12))</f>
        <v>2140337.73176579</v>
      </c>
      <c r="X38" s="10" t="n">
        <f aca="false">V38-W38</f>
        <v>447163.80129207</v>
      </c>
      <c r="Y38" s="36" t="n">
        <f aca="false">(1+Inputs!$B$22)^A38</f>
        <v>2.77808316314126</v>
      </c>
      <c r="Z38" s="10" t="n">
        <f aca="false">X38/Y38</f>
        <v>160961.27258712</v>
      </c>
      <c r="AA38" s="2" t="n">
        <f aca="false">IF(AND(X38&gt;=0,COUNTIF(X38:X$51,"&lt;0")=0),A38,"")</f>
        <v>37</v>
      </c>
      <c r="AB38" s="37" t="n">
        <f aca="false">IF(Inputs!$B$32="Revert",(1+Inputs!$B$18)*EXP(LN(1+Inputs!$B$33)*(0.5^(A38/Inputs!$B$34)-0.5^((A38-1)/Inputs!$B$34)))-1,Inputs!$B$20)</f>
        <v>0.04</v>
      </c>
      <c r="AC38" s="38" t="n">
        <f aca="false">AC37*(1+AB38)</f>
        <v>2134044.92806982</v>
      </c>
    </row>
    <row r="39" customFormat="false" ht="15" hidden="false" customHeight="false" outlineLevel="0" collapsed="false">
      <c r="A39" s="2" t="n">
        <v>38</v>
      </c>
      <c r="B39" s="2" t="str">
        <f aca="false">TEXT(2026+A39,"0")</f>
        <v>2064</v>
      </c>
      <c r="C39" s="10" t="n">
        <f aca="false">SUMIF(Monthly!$B$2:$B$601,A39,Monthly!$D$2:$D$601)</f>
        <v>0</v>
      </c>
      <c r="D39" s="10" t="n">
        <f aca="false">SUMIF(Monthly!$B$2:$B$601,A39,Monthly!$E$2:$E$601)</f>
        <v>0</v>
      </c>
      <c r="E39" s="10" t="n">
        <f aca="false">AVERAGEIF(Monthly!$B$2:$B$601,A39,Monthly!$C$2:$C$601)</f>
        <v>1.28693500300869E-010</v>
      </c>
      <c r="F39" s="10" t="n">
        <f aca="false">C39*IF(E39&lt;=Inputs!$B$46,1,Inputs!$B$46/E39)</f>
        <v>0</v>
      </c>
      <c r="G39" s="10" t="n">
        <f aca="false">Inputs!$B$12*IF(Inputs!$B$35="",AC38,MIN(AC38,Inputs!$B$7*(1+Inputs!$B$35)^(A39-1)))</f>
        <v>19206.4043526284</v>
      </c>
      <c r="H39" s="7" t="n">
        <f aca="false">Inputs!$B$55</f>
        <v>10000</v>
      </c>
      <c r="I39" s="10" t="n">
        <f aca="false">Inputs!$B$44*(1+Inputs!$B$22)^A39</f>
        <v>91958.9976330367</v>
      </c>
      <c r="J39" s="10" t="n">
        <f aca="false">F39+MIN(H39,G39+Inputs!$B$27)+Inputs!$B$28</f>
        <v>10000</v>
      </c>
      <c r="K39" s="10" t="n">
        <f aca="false">MIN(H39,Inputs!$B$27)+Inputs!$B$28</f>
        <v>0</v>
      </c>
      <c r="L39" s="2" t="str">
        <f aca="false">IF(J39&gt;I39,"Yes","No")</f>
        <v>No</v>
      </c>
      <c r="M39" s="2"/>
      <c r="N39" s="10" t="n">
        <f aca="false">IF(Inputs!$B$25="Yes",Inputs!$B$26*(MAX(I39,J39)-MAX(I39,K39)),0)</f>
        <v>0</v>
      </c>
      <c r="O39" s="10" t="n">
        <f aca="false">SUMIF(Monthly!$B$2:$B$601,A39,Monthly!$N$2:$N$601)</f>
        <v>40042.0280761878</v>
      </c>
      <c r="P39" s="10" t="n">
        <f aca="false">SUMIF(Monthly!$B$2:$B$601,A39,Monthly!$O$2:$O$601)</f>
        <v>107630.817730073</v>
      </c>
      <c r="Q39" s="10" t="n">
        <f aca="false">AC39</f>
        <v>2219406.72519261</v>
      </c>
      <c r="R39" s="10" t="n">
        <f aca="false">INDEX(Monthly!$F$2:$F$601,A39*12)</f>
        <v>1.28693500300869E-010</v>
      </c>
      <c r="S39" s="10" t="n">
        <f aca="false">Q39*Inputs!$B$23</f>
        <v>133164.403511557</v>
      </c>
      <c r="T39" s="10" t="n">
        <f aca="false">MAX(0,Q39-S39-(Inputs!$B$7+Inputs!$B$40)-IF(A39&gt;=2,Inputs!$B$45,0))*Inputs!$B$29</f>
        <v>161061.348252158</v>
      </c>
      <c r="U39" s="10" t="n">
        <f aca="false">INDEX(Monthly!$S$2:$S$601,A39*12)-Inputs!$B$29*MAX(0,INDEX(Monthly!$S$2:$S$601,A39*12)-INDEX(Monthly!$T$2:$T$601,A39*12))</f>
        <v>845160.854594278</v>
      </c>
      <c r="V39" s="10" t="n">
        <f aca="false">Q39-S39-R39-T39+U39</f>
        <v>2770341.82802317</v>
      </c>
      <c r="W39" s="10" t="n">
        <f aca="false">INDEX(Monthly!$Q$2:$Q$601,A39*12)-Inputs!$B$29*MAX(0,INDEX(Monthly!$Q$2:$Q$601,A39*12)-INDEX(Monthly!$R$2:$R$601,A39*12))</f>
        <v>2284183.12584407</v>
      </c>
      <c r="X39" s="10" t="n">
        <f aca="false">V39-W39</f>
        <v>486158.702179106</v>
      </c>
      <c r="Y39" s="36" t="n">
        <f aca="false">(1+Inputs!$B$22)^A39</f>
        <v>2.85586949170922</v>
      </c>
      <c r="Z39" s="10" t="n">
        <f aca="false">X39/Y39</f>
        <v>170231.414142158</v>
      </c>
      <c r="AA39" s="2" t="n">
        <f aca="false">IF(AND(X39&gt;=0,COUNTIF(X39:X$51,"&lt;0")=0),A39,"")</f>
        <v>38</v>
      </c>
      <c r="AB39" s="37" t="n">
        <f aca="false">IF(Inputs!$B$32="Revert",(1+Inputs!$B$18)*EXP(LN(1+Inputs!$B$33)*(0.5^(A39/Inputs!$B$34)-0.5^((A39-1)/Inputs!$B$34)))-1,Inputs!$B$20)</f>
        <v>0.04</v>
      </c>
      <c r="AC39" s="38" t="n">
        <f aca="false">AC38*(1+AB39)</f>
        <v>2219406.72519261</v>
      </c>
    </row>
    <row r="40" customFormat="false" ht="15" hidden="false" customHeight="false" outlineLevel="0" collapsed="false">
      <c r="A40" s="2" t="n">
        <v>39</v>
      </c>
      <c r="B40" s="2" t="str">
        <f aca="false">TEXT(2026+A40,"0")</f>
        <v>2065</v>
      </c>
      <c r="C40" s="10" t="n">
        <f aca="false">SUMIF(Monthly!$B$2:$B$601,A40,Monthly!$D$2:$D$601)</f>
        <v>0</v>
      </c>
      <c r="D40" s="10" t="n">
        <f aca="false">SUMIF(Monthly!$B$2:$B$601,A40,Monthly!$E$2:$E$601)</f>
        <v>0</v>
      </c>
      <c r="E40" s="10" t="n">
        <f aca="false">AVERAGEIF(Monthly!$B$2:$B$601,A40,Monthly!$C$2:$C$601)</f>
        <v>1.28693500300869E-010</v>
      </c>
      <c r="F40" s="10" t="n">
        <f aca="false">C40*IF(E40&lt;=Inputs!$B$46,1,Inputs!$B$46/E40)</f>
        <v>0</v>
      </c>
      <c r="G40" s="10" t="n">
        <f aca="false">Inputs!$B$12*IF(Inputs!$B$35="",AC39,MIN(AC39,Inputs!$B$7*(1+Inputs!$B$35)^(A40-1)))</f>
        <v>19974.6605267335</v>
      </c>
      <c r="H40" s="7" t="n">
        <f aca="false">Inputs!$B$55</f>
        <v>10000</v>
      </c>
      <c r="I40" s="10" t="n">
        <f aca="false">Inputs!$B$44*(1+Inputs!$B$22)^A40</f>
        <v>94533.8495667617</v>
      </c>
      <c r="J40" s="10" t="n">
        <f aca="false">F40+MIN(H40,G40+Inputs!$B$27)+Inputs!$B$28</f>
        <v>10000</v>
      </c>
      <c r="K40" s="10" t="n">
        <f aca="false">MIN(H40,Inputs!$B$27)+Inputs!$B$28</f>
        <v>0</v>
      </c>
      <c r="L40" s="2" t="str">
        <f aca="false">IF(J40&gt;I40,"Yes","No")</f>
        <v>No</v>
      </c>
      <c r="M40" s="2"/>
      <c r="N40" s="10" t="n">
        <f aca="false">IF(Inputs!$B$25="Yes",Inputs!$B$26*(MAX(I40,J40)-MAX(I40,K40)),0)</f>
        <v>0</v>
      </c>
      <c r="O40" s="10" t="n">
        <f aca="false">SUMIF(Monthly!$B$2:$B$601,A40,Monthly!$N$2:$N$601)</f>
        <v>41393.6817145526</v>
      </c>
      <c r="P40" s="10" t="n">
        <f aca="false">SUMIF(Monthly!$B$2:$B$601,A40,Monthly!$O$2:$O$601)</f>
        <v>111394.39596584</v>
      </c>
      <c r="Q40" s="10" t="n">
        <f aca="false">AC40</f>
        <v>2308182.99420032</v>
      </c>
      <c r="R40" s="10" t="n">
        <f aca="false">INDEX(Monthly!$F$2:$F$601,A40*12)</f>
        <v>1.28693500300869E-010</v>
      </c>
      <c r="S40" s="10" t="n">
        <f aca="false">Q40*Inputs!$B$23</f>
        <v>138490.979652019</v>
      </c>
      <c r="T40" s="10" t="n">
        <f aca="false">MAX(0,Q40-S40-(Inputs!$B$7+Inputs!$B$40)-IF(A40&gt;=2,Inputs!$B$45,0))*Inputs!$B$29</f>
        <v>173578.802182245</v>
      </c>
      <c r="U40" s="10" t="n">
        <f aca="false">INDEX(Monthly!$S$2:$S$601,A40*12)-Inputs!$B$29*MAX(0,INDEX(Monthly!$S$2:$S$601,A40*12)-INDEX(Monthly!$T$2:$T$601,A40*12))</f>
        <v>969503.200198837</v>
      </c>
      <c r="V40" s="10" t="n">
        <f aca="false">Q40-S40-R40-T40+U40</f>
        <v>2965616.41256489</v>
      </c>
      <c r="W40" s="10" t="n">
        <f aca="false">INDEX(Monthly!$Q$2:$Q$601,A40*12)-Inputs!$B$29*MAX(0,INDEX(Monthly!$Q$2:$Q$601,A40*12)-INDEX(Monthly!$R$2:$R$601,A40*12))</f>
        <v>2437845.35612913</v>
      </c>
      <c r="X40" s="10" t="n">
        <f aca="false">V40-W40</f>
        <v>527771.056435756</v>
      </c>
      <c r="Y40" s="36" t="n">
        <f aca="false">(1+Inputs!$B$22)^A40</f>
        <v>2.93583383747707</v>
      </c>
      <c r="Z40" s="10" t="n">
        <f aca="false">X40/Y40</f>
        <v>179768.708194092</v>
      </c>
      <c r="AA40" s="2" t="n">
        <f aca="false">IF(AND(X40&gt;=0,COUNTIF(X40:X$51,"&lt;0")=0),A40,"")</f>
        <v>39</v>
      </c>
      <c r="AB40" s="37" t="n">
        <f aca="false">IF(Inputs!$B$32="Revert",(1+Inputs!$B$18)*EXP(LN(1+Inputs!$B$33)*(0.5^(A40/Inputs!$B$34)-0.5^((A40-1)/Inputs!$B$34)))-1,Inputs!$B$20)</f>
        <v>0.04</v>
      </c>
      <c r="AC40" s="38" t="n">
        <f aca="false">AC39*(1+AB40)</f>
        <v>2308182.99420032</v>
      </c>
    </row>
    <row r="41" customFormat="false" ht="15" hidden="false" customHeight="false" outlineLevel="0" collapsed="false">
      <c r="A41" s="2" t="n">
        <v>40</v>
      </c>
      <c r="B41" s="2" t="str">
        <f aca="false">TEXT(2026+A41,"0")</f>
        <v>2066</v>
      </c>
      <c r="C41" s="10" t="n">
        <f aca="false">SUMIF(Monthly!$B$2:$B$601,A41,Monthly!$D$2:$D$601)</f>
        <v>0</v>
      </c>
      <c r="D41" s="10" t="n">
        <f aca="false">SUMIF(Monthly!$B$2:$B$601,A41,Monthly!$E$2:$E$601)</f>
        <v>0</v>
      </c>
      <c r="E41" s="10" t="n">
        <f aca="false">AVERAGEIF(Monthly!$B$2:$B$601,A41,Monthly!$C$2:$C$601)</f>
        <v>1.28693500300869E-010</v>
      </c>
      <c r="F41" s="10" t="n">
        <f aca="false">C41*IF(E41&lt;=Inputs!$B$46,1,Inputs!$B$46/E41)</f>
        <v>0</v>
      </c>
      <c r="G41" s="10" t="n">
        <f aca="false">Inputs!$B$12*IF(Inputs!$B$35="",AC40,MIN(AC40,Inputs!$B$7*(1+Inputs!$B$35)^(A41-1)))</f>
        <v>20773.6469478028</v>
      </c>
      <c r="H41" s="7" t="n">
        <f aca="false">Inputs!$B$55</f>
        <v>10000</v>
      </c>
      <c r="I41" s="10" t="n">
        <f aca="false">Inputs!$B$44*(1+Inputs!$B$22)^A41</f>
        <v>97180.7973546311</v>
      </c>
      <c r="J41" s="10" t="n">
        <f aca="false">F41+MIN(H41,G41+Inputs!$B$27)+Inputs!$B$28</f>
        <v>10000</v>
      </c>
      <c r="K41" s="10" t="n">
        <f aca="false">MIN(H41,Inputs!$B$27)+Inputs!$B$28</f>
        <v>0</v>
      </c>
      <c r="L41" s="2" t="str">
        <f aca="false">IF(J41&gt;I41,"Yes","No")</f>
        <v>No</v>
      </c>
      <c r="M41" s="2"/>
      <c r="N41" s="10" t="n">
        <f aca="false">IF(Inputs!$B$25="Yes",Inputs!$B$26*(MAX(I41,J41)-MAX(I41,K41)),0)</f>
        <v>0</v>
      </c>
      <c r="O41" s="10" t="n">
        <f aca="false">SUMIF(Monthly!$B$2:$B$601,A41,Monthly!$N$2:$N$601)</f>
        <v>42792.4007288809</v>
      </c>
      <c r="P41" s="10" t="n">
        <f aca="false">SUMIF(Monthly!$B$2:$B$601,A41,Monthly!$O$2:$O$601)</f>
        <v>115289.601429085</v>
      </c>
      <c r="Q41" s="10" t="n">
        <f aca="false">AC41</f>
        <v>2400510.31396833</v>
      </c>
      <c r="R41" s="10" t="n">
        <f aca="false">INDEX(Monthly!$F$2:$F$601,A41*12)</f>
        <v>1.28693500300869E-010</v>
      </c>
      <c r="S41" s="10" t="n">
        <f aca="false">Q41*Inputs!$B$23</f>
        <v>144030.6188381</v>
      </c>
      <c r="T41" s="10" t="n">
        <f aca="false">MAX(0,Q41-S41-(Inputs!$B$7+Inputs!$B$40)-IF(A41&gt;=2,Inputs!$B$45,0))*Inputs!$B$29</f>
        <v>186596.954269534</v>
      </c>
      <c r="U41" s="10" t="n">
        <f aca="false">INDEX(Monthly!$S$2:$S$601,A41*12)-Inputs!$B$29*MAX(0,INDEX(Monthly!$S$2:$S$601,A41*12)-INDEX(Monthly!$T$2:$T$601,A41*12))</f>
        <v>1104279.7096262</v>
      </c>
      <c r="V41" s="10" t="n">
        <f aca="false">Q41-S41-R41-T41+U41</f>
        <v>3174162.4504869</v>
      </c>
      <c r="W41" s="10" t="n">
        <f aca="false">INDEX(Monthly!$Q$2:$Q$601,A41*12)-Inputs!$B$29*MAX(0,INDEX(Monthly!$Q$2:$Q$601,A41*12)-INDEX(Monthly!$R$2:$R$601,A41*12))</f>
        <v>2601994.37992985</v>
      </c>
      <c r="X41" s="10" t="n">
        <f aca="false">V41-W41</f>
        <v>572168.070557044</v>
      </c>
      <c r="Y41" s="36" t="n">
        <f aca="false">(1+Inputs!$B$22)^A41</f>
        <v>3.01803718492643</v>
      </c>
      <c r="Z41" s="10" t="n">
        <f aca="false">X41/Y41</f>
        <v>189582.843251479</v>
      </c>
      <c r="AA41" s="2" t="n">
        <f aca="false">IF(AND(X41&gt;=0,COUNTIF(X41:X$51,"&lt;0")=0),A41,"")</f>
        <v>40</v>
      </c>
      <c r="AB41" s="37" t="n">
        <f aca="false">IF(Inputs!$B$32="Revert",(1+Inputs!$B$18)*EXP(LN(1+Inputs!$B$33)*(0.5^(A41/Inputs!$B$34)-0.5^((A41-1)/Inputs!$B$34)))-1,Inputs!$B$20)</f>
        <v>0.04</v>
      </c>
      <c r="AC41" s="38" t="n">
        <f aca="false">AC40*(1+AB41)</f>
        <v>2400510.31396833</v>
      </c>
    </row>
    <row r="42" customFormat="false" ht="15" hidden="false" customHeight="false" outlineLevel="0" collapsed="false">
      <c r="A42" s="2" t="n">
        <v>41</v>
      </c>
      <c r="B42" s="2" t="str">
        <f aca="false">TEXT(2026+A42,"0")</f>
        <v>2067</v>
      </c>
      <c r="C42" s="10" t="n">
        <f aca="false">SUMIF(Monthly!$B$2:$B$601,A42,Monthly!$D$2:$D$601)</f>
        <v>0</v>
      </c>
      <c r="D42" s="10" t="n">
        <f aca="false">SUMIF(Monthly!$B$2:$B$601,A42,Monthly!$E$2:$E$601)</f>
        <v>0</v>
      </c>
      <c r="E42" s="10" t="n">
        <f aca="false">AVERAGEIF(Monthly!$B$2:$B$601,A42,Monthly!$C$2:$C$601)</f>
        <v>1.28693500300869E-010</v>
      </c>
      <c r="F42" s="10" t="n">
        <f aca="false">C42*IF(E42&lt;=Inputs!$B$46,1,Inputs!$B$46/E42)</f>
        <v>0</v>
      </c>
      <c r="G42" s="10" t="n">
        <f aca="false">Inputs!$B$12*IF(Inputs!$B$35="",AC41,MIN(AC41,Inputs!$B$7*(1+Inputs!$B$35)^(A42-1)))</f>
        <v>21604.592825715</v>
      </c>
      <c r="H42" s="7" t="n">
        <f aca="false">Inputs!$B$55</f>
        <v>10000</v>
      </c>
      <c r="I42" s="10" t="n">
        <f aca="false">Inputs!$B$44*(1+Inputs!$B$22)^A42</f>
        <v>99901.8596805608</v>
      </c>
      <c r="J42" s="10" t="n">
        <f aca="false">F42+MIN(H42,G42+Inputs!$B$27)+Inputs!$B$28</f>
        <v>10000</v>
      </c>
      <c r="K42" s="10" t="n">
        <f aca="false">MIN(H42,Inputs!$B$27)+Inputs!$B$28</f>
        <v>0</v>
      </c>
      <c r="L42" s="2" t="str">
        <f aca="false">IF(J42&gt;I42,"Yes","No")</f>
        <v>No</v>
      </c>
      <c r="M42" s="2"/>
      <c r="N42" s="10" t="n">
        <f aca="false">IF(Inputs!$B$25="Yes",Inputs!$B$26*(MAX(I42,J42)-MAX(I42,K42)),0)</f>
        <v>0</v>
      </c>
      <c r="O42" s="10" t="n">
        <f aca="false">SUMIF(Monthly!$B$2:$B$601,A42,Monthly!$N$2:$N$601)</f>
        <v>44239.8717126632</v>
      </c>
      <c r="P42" s="10" t="n">
        <f aca="false">SUMIF(Monthly!$B$2:$B$601,A42,Monthly!$O$2:$O$601)</f>
        <v>119321.038328467</v>
      </c>
      <c r="Q42" s="10" t="n">
        <f aca="false">AC42</f>
        <v>2496530.72652706</v>
      </c>
      <c r="R42" s="10" t="n">
        <f aca="false">INDEX(Monthly!$F$2:$F$601,A42*12)</f>
        <v>1.28693500300869E-010</v>
      </c>
      <c r="S42" s="10" t="n">
        <f aca="false">Q42*Inputs!$B$23</f>
        <v>149791.843591624</v>
      </c>
      <c r="T42" s="10" t="n">
        <f aca="false">MAX(0,Q42-S42-(Inputs!$B$7+Inputs!$B$40)-IF(A42&gt;=2,Inputs!$B$45,0))*Inputs!$B$29</f>
        <v>200135.832440316</v>
      </c>
      <c r="U42" s="10" t="n">
        <f aca="false">INDEX(Monthly!$S$2:$S$601,A42*12)-Inputs!$B$29*MAX(0,INDEX(Monthly!$S$2:$S$601,A42*12)-INDEX(Monthly!$T$2:$T$601,A42*12))</f>
        <v>1250270.35839443</v>
      </c>
      <c r="V42" s="10" t="n">
        <f aca="false">Q42-S42-R42-T42+U42</f>
        <v>3396873.40888955</v>
      </c>
      <c r="W42" s="10" t="n">
        <f aca="false">INDEX(Monthly!$Q$2:$Q$601,A42*12)-Inputs!$B$29*MAX(0,INDEX(Monthly!$Q$2:$Q$601,A42*12)-INDEX(Monthly!$R$2:$R$601,A42*12))</f>
        <v>2777345.87629134</v>
      </c>
      <c r="X42" s="10" t="n">
        <f aca="false">V42-W42</f>
        <v>619527.53259821</v>
      </c>
      <c r="Y42" s="36" t="n">
        <f aca="false">(1+Inputs!$B$22)^A42</f>
        <v>3.10254222610437</v>
      </c>
      <c r="Z42" s="10" t="n">
        <f aca="false">X42/Y42</f>
        <v>199683.835850996</v>
      </c>
      <c r="AA42" s="2" t="n">
        <f aca="false">IF(AND(X42&gt;=0,COUNTIF(X42:X$51,"&lt;0")=0),A42,"")</f>
        <v>41</v>
      </c>
      <c r="AB42" s="37" t="n">
        <f aca="false">IF(Inputs!$B$32="Revert",(1+Inputs!$B$18)*EXP(LN(1+Inputs!$B$33)*(0.5^(A42/Inputs!$B$34)-0.5^((A42-1)/Inputs!$B$34)))-1,Inputs!$B$20)</f>
        <v>0.04</v>
      </c>
      <c r="AC42" s="38" t="n">
        <f aca="false">AC41*(1+AB42)</f>
        <v>2496530.72652706</v>
      </c>
    </row>
    <row r="43" customFormat="false" ht="15" hidden="false" customHeight="false" outlineLevel="0" collapsed="false">
      <c r="A43" s="2" t="n">
        <v>42</v>
      </c>
      <c r="B43" s="2" t="str">
        <f aca="false">TEXT(2026+A43,"0")</f>
        <v>2068</v>
      </c>
      <c r="C43" s="10" t="n">
        <f aca="false">SUMIF(Monthly!$B$2:$B$601,A43,Monthly!$D$2:$D$601)</f>
        <v>0</v>
      </c>
      <c r="D43" s="10" t="n">
        <f aca="false">SUMIF(Monthly!$B$2:$B$601,A43,Monthly!$E$2:$E$601)</f>
        <v>0</v>
      </c>
      <c r="E43" s="10" t="n">
        <f aca="false">AVERAGEIF(Monthly!$B$2:$B$601,A43,Monthly!$C$2:$C$601)</f>
        <v>1.28693500300869E-010</v>
      </c>
      <c r="F43" s="10" t="n">
        <f aca="false">C43*IF(E43&lt;=Inputs!$B$46,1,Inputs!$B$46/E43)</f>
        <v>0</v>
      </c>
      <c r="G43" s="10" t="n">
        <f aca="false">Inputs!$B$12*IF(Inputs!$B$35="",AC42,MIN(AC42,Inputs!$B$7*(1+Inputs!$B$35)^(A43-1)))</f>
        <v>22468.7765387436</v>
      </c>
      <c r="H43" s="7" t="n">
        <f aca="false">Inputs!$B$55</f>
        <v>10000</v>
      </c>
      <c r="I43" s="10" t="n">
        <f aca="false">Inputs!$B$44*(1+Inputs!$B$22)^A43</f>
        <v>102699.111751616</v>
      </c>
      <c r="J43" s="10" t="n">
        <f aca="false">F43+MIN(H43,G43+Inputs!$B$27)+Inputs!$B$28</f>
        <v>10000</v>
      </c>
      <c r="K43" s="10" t="n">
        <f aca="false">MIN(H43,Inputs!$B$27)+Inputs!$B$28</f>
        <v>0</v>
      </c>
      <c r="L43" s="2" t="str">
        <f aca="false">IF(J43&gt;I43,"Yes","No")</f>
        <v>No</v>
      </c>
      <c r="M43" s="2"/>
      <c r="N43" s="10" t="n">
        <f aca="false">IF(Inputs!$B$25="Yes",Inputs!$B$26*(MAX(I43,J43)-MAX(I43,K43)),0)</f>
        <v>0</v>
      </c>
      <c r="O43" s="10" t="n">
        <f aca="false">SUMIF(Monthly!$B$2:$B$601,A43,Monthly!$N$2:$N$601)</f>
        <v>45737.8432345263</v>
      </c>
      <c r="P43" s="10" t="n">
        <f aca="false">SUMIF(Monthly!$B$2:$B$601,A43,Monthly!$O$2:$O$601)</f>
        <v>123493.471943111</v>
      </c>
      <c r="Q43" s="10" t="n">
        <f aca="false">AC43</f>
        <v>2596391.95558814</v>
      </c>
      <c r="R43" s="10" t="n">
        <f aca="false">INDEX(Monthly!$F$2:$F$601,A43*12)</f>
        <v>1.28693500300869E-010</v>
      </c>
      <c r="S43" s="10" t="n">
        <f aca="false">Q43*Inputs!$B$23</f>
        <v>155783.517335289</v>
      </c>
      <c r="T43" s="10" t="n">
        <f aca="false">MAX(0,Q43-S43-(Inputs!$B$7+Inputs!$B$40)-IF(A43&gt;=2,Inputs!$B$45,0))*Inputs!$B$29</f>
        <v>214216.265737928</v>
      </c>
      <c r="U43" s="10" t="n">
        <f aca="false">INDEX(Monthly!$S$2:$S$601,A43*12)-Inputs!$B$29*MAX(0,INDEX(Monthly!$S$2:$S$601,A43*12)-INDEX(Monthly!$T$2:$T$601,A43*12))</f>
        <v>1408310.68093551</v>
      </c>
      <c r="V43" s="10" t="n">
        <f aca="false">Q43-S43-R43-T43+U43</f>
        <v>3634702.85345043</v>
      </c>
      <c r="W43" s="10" t="n">
        <f aca="false">INDEX(Monthly!$Q$2:$Q$601,A43*12)-Inputs!$B$29*MAX(0,INDEX(Monthly!$Q$2:$Q$601,A43*12)-INDEX(Monthly!$R$2:$R$601,A43*12))</f>
        <v>2964664.36630893</v>
      </c>
      <c r="X43" s="10" t="n">
        <f aca="false">V43-W43</f>
        <v>670038.487141499</v>
      </c>
      <c r="Y43" s="36" t="n">
        <f aca="false">(1+Inputs!$B$22)^A43</f>
        <v>3.18941340843529</v>
      </c>
      <c r="Z43" s="10" t="n">
        <f aca="false">X43/Y43</f>
        <v>210082.043729231</v>
      </c>
      <c r="AA43" s="2" t="n">
        <f aca="false">IF(AND(X43&gt;=0,COUNTIF(X43:X$51,"&lt;0")=0),A43,"")</f>
        <v>42</v>
      </c>
      <c r="AB43" s="37" t="n">
        <f aca="false">IF(Inputs!$B$32="Revert",(1+Inputs!$B$18)*EXP(LN(1+Inputs!$B$33)*(0.5^(A43/Inputs!$B$34)-0.5^((A43-1)/Inputs!$B$34)))-1,Inputs!$B$20)</f>
        <v>0.04</v>
      </c>
      <c r="AC43" s="38" t="n">
        <f aca="false">AC42*(1+AB43)</f>
        <v>2596391.95558814</v>
      </c>
    </row>
    <row r="44" customFormat="false" ht="15" hidden="false" customHeight="false" outlineLevel="0" collapsed="false">
      <c r="A44" s="2" t="n">
        <v>43</v>
      </c>
      <c r="B44" s="2" t="str">
        <f aca="false">TEXT(2026+A44,"0")</f>
        <v>2069</v>
      </c>
      <c r="C44" s="10" t="n">
        <f aca="false">SUMIF(Monthly!$B$2:$B$601,A44,Monthly!$D$2:$D$601)</f>
        <v>0</v>
      </c>
      <c r="D44" s="10" t="n">
        <f aca="false">SUMIF(Monthly!$B$2:$B$601,A44,Monthly!$E$2:$E$601)</f>
        <v>0</v>
      </c>
      <c r="E44" s="10" t="n">
        <f aca="false">AVERAGEIF(Monthly!$B$2:$B$601,A44,Monthly!$C$2:$C$601)</f>
        <v>1.28693500300869E-010</v>
      </c>
      <c r="F44" s="10" t="n">
        <f aca="false">C44*IF(E44&lt;=Inputs!$B$46,1,Inputs!$B$46/E44)</f>
        <v>0</v>
      </c>
      <c r="G44" s="10" t="n">
        <f aca="false">Inputs!$B$12*IF(Inputs!$B$35="",AC43,MIN(AC43,Inputs!$B$7*(1+Inputs!$B$35)^(A44-1)))</f>
        <v>23367.5276002933</v>
      </c>
      <c r="H44" s="7" t="n">
        <f aca="false">Inputs!$B$55</f>
        <v>10000</v>
      </c>
      <c r="I44" s="10" t="n">
        <f aca="false">Inputs!$B$44*(1+Inputs!$B$22)^A44</f>
        <v>105574.686880662</v>
      </c>
      <c r="J44" s="10" t="n">
        <f aca="false">F44+MIN(H44,G44+Inputs!$B$27)+Inputs!$B$28</f>
        <v>10000</v>
      </c>
      <c r="K44" s="10" t="n">
        <f aca="false">MIN(H44,Inputs!$B$27)+Inputs!$B$28</f>
        <v>0</v>
      </c>
      <c r="L44" s="2" t="str">
        <f aca="false">IF(J44&gt;I44,"Yes","No")</f>
        <v>No</v>
      </c>
      <c r="M44" s="2"/>
      <c r="N44" s="10" t="n">
        <f aca="false">IF(Inputs!$B$25="Yes",Inputs!$B$26*(MAX(I44,J44)-MAX(I44,K44)),0)</f>
        <v>0</v>
      </c>
      <c r="O44" s="10" t="n">
        <f aca="false">SUMIF(Monthly!$B$2:$B$601,A44,Monthly!$N$2:$N$601)</f>
        <v>47288.128163558</v>
      </c>
      <c r="P44" s="10" t="n">
        <f aca="false">SUMIF(Monthly!$B$2:$B$601,A44,Monthly!$O$2:$O$601)</f>
        <v>127811.834257915</v>
      </c>
      <c r="Q44" s="10" t="n">
        <f aca="false">AC44</f>
        <v>2700247.63381167</v>
      </c>
      <c r="R44" s="10" t="n">
        <f aca="false">INDEX(Monthly!$F$2:$F$601,A44*12)</f>
        <v>1.28693500300869E-010</v>
      </c>
      <c r="S44" s="10" t="n">
        <f aca="false">Q44*Inputs!$B$23</f>
        <v>162014.8580287</v>
      </c>
      <c r="T44" s="10" t="n">
        <f aca="false">MAX(0,Q44-S44-(Inputs!$B$7+Inputs!$B$40)-IF(A44&gt;=2,Inputs!$B$45,0))*Inputs!$B$29</f>
        <v>228859.916367445</v>
      </c>
      <c r="U44" s="10" t="n">
        <f aca="false">INDEX(Monthly!$S$2:$S$601,A44*12)-Inputs!$B$29*MAX(0,INDEX(Monthly!$S$2:$S$601,A44*12)-INDEX(Monthly!$T$2:$T$601,A44*12))</f>
        <v>1579295.64089753</v>
      </c>
      <c r="V44" s="10" t="n">
        <f aca="false">Q44-S44-R44-T44+U44</f>
        <v>3888668.50031306</v>
      </c>
      <c r="W44" s="10" t="n">
        <f aca="false">INDEX(Monthly!$Q$2:$Q$601,A44*12)-Inputs!$B$29*MAX(0,INDEX(Monthly!$Q$2:$Q$601,A44*12)-INDEX(Monthly!$R$2:$R$601,A44*12))</f>
        <v>3164766.54639034</v>
      </c>
      <c r="X44" s="10" t="n">
        <f aca="false">V44-W44</f>
        <v>723901.953922715</v>
      </c>
      <c r="Y44" s="36" t="n">
        <f aca="false">(1+Inputs!$B$22)^A44</f>
        <v>3.27871698387148</v>
      </c>
      <c r="Z44" s="10" t="n">
        <f aca="false">X44/Y44</f>
        <v>220788.17948719</v>
      </c>
      <c r="AA44" s="2" t="n">
        <f aca="false">IF(AND(X44&gt;=0,COUNTIF(X44:X$51,"&lt;0")=0),A44,"")</f>
        <v>43</v>
      </c>
      <c r="AB44" s="37" t="n">
        <f aca="false">IF(Inputs!$B$32="Revert",(1+Inputs!$B$18)*EXP(LN(1+Inputs!$B$33)*(0.5^(A44/Inputs!$B$34)-0.5^((A44-1)/Inputs!$B$34)))-1,Inputs!$B$20)</f>
        <v>0.04</v>
      </c>
      <c r="AC44" s="38" t="n">
        <f aca="false">AC43*(1+AB44)</f>
        <v>2700247.63381167</v>
      </c>
    </row>
    <row r="45" customFormat="false" ht="15" hidden="false" customHeight="false" outlineLevel="0" collapsed="false">
      <c r="A45" s="2" t="n">
        <v>44</v>
      </c>
      <c r="B45" s="2" t="str">
        <f aca="false">TEXT(2026+A45,"0")</f>
        <v>2070</v>
      </c>
      <c r="C45" s="10" t="n">
        <f aca="false">SUMIF(Monthly!$B$2:$B$601,A45,Monthly!$D$2:$D$601)</f>
        <v>0</v>
      </c>
      <c r="D45" s="10" t="n">
        <f aca="false">SUMIF(Monthly!$B$2:$B$601,A45,Monthly!$E$2:$E$601)</f>
        <v>0</v>
      </c>
      <c r="E45" s="10" t="n">
        <f aca="false">AVERAGEIF(Monthly!$B$2:$B$601,A45,Monthly!$C$2:$C$601)</f>
        <v>1.28693500300869E-010</v>
      </c>
      <c r="F45" s="10" t="n">
        <f aca="false">C45*IF(E45&lt;=Inputs!$B$46,1,Inputs!$B$46/E45)</f>
        <v>0</v>
      </c>
      <c r="G45" s="10" t="n">
        <f aca="false">Inputs!$B$12*IF(Inputs!$B$35="",AC44,MIN(AC44,Inputs!$B$7*(1+Inputs!$B$35)^(A45-1)))</f>
        <v>24302.228704305</v>
      </c>
      <c r="H45" s="7" t="n">
        <f aca="false">Inputs!$B$55</f>
        <v>10000</v>
      </c>
      <c r="I45" s="10" t="n">
        <f aca="false">Inputs!$B$44*(1+Inputs!$B$22)^A45</f>
        <v>108530.77811332</v>
      </c>
      <c r="J45" s="10" t="n">
        <f aca="false">F45+MIN(H45,G45+Inputs!$B$27)+Inputs!$B$28</f>
        <v>10000</v>
      </c>
      <c r="K45" s="10" t="n">
        <f aca="false">MIN(H45,Inputs!$B$27)+Inputs!$B$28</f>
        <v>0</v>
      </c>
      <c r="L45" s="2" t="str">
        <f aca="false">IF(J45&gt;I45,"Yes","No")</f>
        <v>No</v>
      </c>
      <c r="M45" s="2"/>
      <c r="N45" s="10" t="n">
        <f aca="false">IF(Inputs!$B$25="Yes",Inputs!$B$26*(MAX(I45,J45)-MAX(I45,K45)),0)</f>
        <v>0</v>
      </c>
      <c r="O45" s="10" t="n">
        <f aca="false">SUMIF(Monthly!$B$2:$B$601,A45,Monthly!$N$2:$N$601)</f>
        <v>48892.6060833412</v>
      </c>
      <c r="P45" s="10" t="n">
        <f aca="false">SUMIF(Monthly!$B$2:$B$601,A45,Monthly!$O$2:$O$601)</f>
        <v>132281.229796047</v>
      </c>
      <c r="Q45" s="10" t="n">
        <f aca="false">AC45</f>
        <v>2808257.53916414</v>
      </c>
      <c r="R45" s="10" t="n">
        <f aca="false">INDEX(Monthly!$F$2:$F$601,A45*12)</f>
        <v>1.28693500300869E-010</v>
      </c>
      <c r="S45" s="10" t="n">
        <f aca="false">Q45*Inputs!$B$23</f>
        <v>168495.452349848</v>
      </c>
      <c r="T45" s="10" t="n">
        <f aca="false">MAX(0,Q45-S45-(Inputs!$B$7+Inputs!$B$40)-IF(A45&gt;=2,Inputs!$B$45,0))*Inputs!$B$29</f>
        <v>244089.313022143</v>
      </c>
      <c r="U45" s="10" t="n">
        <f aca="false">INDEX(Monthly!$S$2:$S$601,A45*12)-Inputs!$B$29*MAX(0,INDEX(Monthly!$S$2:$S$601,A45*12)-INDEX(Monthly!$T$2:$T$601,A45*12))</f>
        <v>1764183.76818882</v>
      </c>
      <c r="V45" s="10" t="n">
        <f aca="false">Q45-S45-R45-T45+U45</f>
        <v>4159856.54198096</v>
      </c>
      <c r="W45" s="10" t="n">
        <f aca="false">INDEX(Monthly!$Q$2:$Q$601,A45*12)-Inputs!$B$29*MAX(0,INDEX(Monthly!$Q$2:$Q$601,A45*12)-INDEX(Monthly!$R$2:$R$601,A45*12))</f>
        <v>3378524.84899876</v>
      </c>
      <c r="X45" s="10" t="n">
        <f aca="false">V45-W45</f>
        <v>781331.692982201</v>
      </c>
      <c r="Y45" s="36" t="n">
        <f aca="false">(1+Inputs!$B$22)^A45</f>
        <v>3.37052105941988</v>
      </c>
      <c r="Z45" s="10" t="n">
        <f aca="false">X45/Y45</f>
        <v>231813.324767263</v>
      </c>
      <c r="AA45" s="2" t="n">
        <f aca="false">IF(AND(X45&gt;=0,COUNTIF(X45:X$51,"&lt;0")=0),A45,"")</f>
        <v>44</v>
      </c>
      <c r="AB45" s="37" t="n">
        <f aca="false">IF(Inputs!$B$32="Revert",(1+Inputs!$B$18)*EXP(LN(1+Inputs!$B$33)*(0.5^(A45/Inputs!$B$34)-0.5^((A45-1)/Inputs!$B$34)))-1,Inputs!$B$20)</f>
        <v>0.04</v>
      </c>
      <c r="AC45" s="38" t="n">
        <f aca="false">AC44*(1+AB45)</f>
        <v>2808257.53916414</v>
      </c>
    </row>
    <row r="46" customFormat="false" ht="15" hidden="false" customHeight="false" outlineLevel="0" collapsed="false">
      <c r="A46" s="2" t="n">
        <v>45</v>
      </c>
      <c r="B46" s="2" t="str">
        <f aca="false">TEXT(2026+A46,"0")</f>
        <v>2071</v>
      </c>
      <c r="C46" s="10" t="n">
        <f aca="false">SUMIF(Monthly!$B$2:$B$601,A46,Monthly!$D$2:$D$601)</f>
        <v>0</v>
      </c>
      <c r="D46" s="10" t="n">
        <f aca="false">SUMIF(Monthly!$B$2:$B$601,A46,Monthly!$E$2:$E$601)</f>
        <v>0</v>
      </c>
      <c r="E46" s="10" t="n">
        <f aca="false">AVERAGEIF(Monthly!$B$2:$B$601,A46,Monthly!$C$2:$C$601)</f>
        <v>1.28693500300869E-010</v>
      </c>
      <c r="F46" s="10" t="n">
        <f aca="false">C46*IF(E46&lt;=Inputs!$B$46,1,Inputs!$B$46/E46)</f>
        <v>0</v>
      </c>
      <c r="G46" s="10" t="n">
        <f aca="false">Inputs!$B$12*IF(Inputs!$B$35="",AC45,MIN(AC45,Inputs!$B$7*(1+Inputs!$B$35)^(A46-1)))</f>
        <v>25274.3178524772</v>
      </c>
      <c r="H46" s="7" t="n">
        <f aca="false">Inputs!$B$55</f>
        <v>10000</v>
      </c>
      <c r="I46" s="10" t="n">
        <f aca="false">Inputs!$B$44*(1+Inputs!$B$22)^A46</f>
        <v>111569.639900493</v>
      </c>
      <c r="J46" s="10" t="n">
        <f aca="false">F46+MIN(H46,G46+Inputs!$B$27)+Inputs!$B$28</f>
        <v>10000</v>
      </c>
      <c r="K46" s="10" t="n">
        <f aca="false">MIN(H46,Inputs!$B$27)+Inputs!$B$28</f>
        <v>0</v>
      </c>
      <c r="L46" s="2" t="str">
        <f aca="false">IF(J46&gt;I46,"Yes","No")</f>
        <v>No</v>
      </c>
      <c r="M46" s="2"/>
      <c r="N46" s="10" t="n">
        <f aca="false">IF(Inputs!$B$25="Yes",Inputs!$B$26*(MAX(I46,J46)-MAX(I46,K46)),0)</f>
        <v>0</v>
      </c>
      <c r="O46" s="10" t="n">
        <f aca="false">SUMIF(Monthly!$B$2:$B$601,A46,Monthly!$N$2:$N$601)</f>
        <v>50553.2257981264</v>
      </c>
      <c r="P46" s="10" t="n">
        <f aca="false">SUMIF(Monthly!$B$2:$B$601,A46,Monthly!$O$2:$O$601)</f>
        <v>136906.941655509</v>
      </c>
      <c r="Q46" s="10" t="n">
        <f aca="false">AC46</f>
        <v>2920587.8407307</v>
      </c>
      <c r="R46" s="10" t="n">
        <f aca="false">INDEX(Monthly!$F$2:$F$601,A46*12)</f>
        <v>1.28693500300869E-010</v>
      </c>
      <c r="S46" s="10" t="n">
        <f aca="false">Q46*Inputs!$B$23</f>
        <v>175235.270443842</v>
      </c>
      <c r="T46" s="10" t="n">
        <f aca="false">MAX(0,Q46-S46-(Inputs!$B$7+Inputs!$B$40)-IF(A46&gt;=2,Inputs!$B$45,0))*Inputs!$B$29</f>
        <v>259927.885543029</v>
      </c>
      <c r="U46" s="10" t="n">
        <f aca="false">INDEX(Monthly!$S$2:$S$601,A46*12)-Inputs!$B$29*MAX(0,INDEX(Monthly!$S$2:$S$601,A46*12)-INDEX(Monthly!$T$2:$T$601,A46*12))</f>
        <v>1964001.58105277</v>
      </c>
      <c r="V46" s="10" t="n">
        <f aca="false">Q46-S46-R46-T46+U46</f>
        <v>4449426.2657966</v>
      </c>
      <c r="W46" s="10" t="n">
        <f aca="false">INDEX(Monthly!$Q$2:$Q$601,A46*12)-Inputs!$B$29*MAX(0,INDEX(Monthly!$Q$2:$Q$601,A46*12)-INDEX(Monthly!$R$2:$R$601,A46*12))</f>
        <v>3606871.24640154</v>
      </c>
      <c r="X46" s="10" t="n">
        <f aca="false">V46-W46</f>
        <v>842555.019395055</v>
      </c>
      <c r="Y46" s="36" t="n">
        <f aca="false">(1+Inputs!$B$22)^A46</f>
        <v>3.46489564908364</v>
      </c>
      <c r="Z46" s="10" t="n">
        <f aca="false">X46/Y46</f>
        <v>243168.944963144</v>
      </c>
      <c r="AA46" s="2" t="n">
        <f aca="false">IF(AND(X46&gt;=0,COUNTIF(X46:X$51,"&lt;0")=0),A46,"")</f>
        <v>45</v>
      </c>
      <c r="AB46" s="37" t="n">
        <f aca="false">IF(Inputs!$B$32="Revert",(1+Inputs!$B$18)*EXP(LN(1+Inputs!$B$33)*(0.5^(A46/Inputs!$B$34)-0.5^((A46-1)/Inputs!$B$34)))-1,Inputs!$B$20)</f>
        <v>0.04</v>
      </c>
      <c r="AC46" s="38" t="n">
        <f aca="false">AC45*(1+AB46)</f>
        <v>2920587.8407307</v>
      </c>
    </row>
    <row r="47" customFormat="false" ht="15" hidden="false" customHeight="false" outlineLevel="0" collapsed="false">
      <c r="A47" s="2" t="n">
        <v>46</v>
      </c>
      <c r="B47" s="2" t="str">
        <f aca="false">TEXT(2026+A47,"0")</f>
        <v>2072</v>
      </c>
      <c r="C47" s="10" t="n">
        <f aca="false">SUMIF(Monthly!$B$2:$B$601,A47,Monthly!$D$2:$D$601)</f>
        <v>0</v>
      </c>
      <c r="D47" s="10" t="n">
        <f aca="false">SUMIF(Monthly!$B$2:$B$601,A47,Monthly!$E$2:$E$601)</f>
        <v>0</v>
      </c>
      <c r="E47" s="10" t="n">
        <f aca="false">AVERAGEIF(Monthly!$B$2:$B$601,A47,Monthly!$C$2:$C$601)</f>
        <v>1.28693500300869E-010</v>
      </c>
      <c r="F47" s="10" t="n">
        <f aca="false">C47*IF(E47&lt;=Inputs!$B$46,1,Inputs!$B$46/E47)</f>
        <v>0</v>
      </c>
      <c r="G47" s="10" t="n">
        <f aca="false">Inputs!$B$12*IF(Inputs!$B$35="",AC46,MIN(AC46,Inputs!$B$7*(1+Inputs!$B$35)^(A47-1)))</f>
        <v>26285.2905665763</v>
      </c>
      <c r="H47" s="7" t="n">
        <f aca="false">Inputs!$B$55</f>
        <v>10000</v>
      </c>
      <c r="I47" s="10" t="n">
        <f aca="false">Inputs!$B$44*(1+Inputs!$B$22)^A47</f>
        <v>114693.589817707</v>
      </c>
      <c r="J47" s="10" t="n">
        <f aca="false">F47+MIN(H47,G47+Inputs!$B$27)+Inputs!$B$28</f>
        <v>10000</v>
      </c>
      <c r="K47" s="10" t="n">
        <f aca="false">MIN(H47,Inputs!$B$27)+Inputs!$B$28</f>
        <v>0</v>
      </c>
      <c r="L47" s="2" t="str">
        <f aca="false">IF(J47&gt;I47,"Yes","No")</f>
        <v>No</v>
      </c>
      <c r="M47" s="2"/>
      <c r="N47" s="10" t="n">
        <f aca="false">IF(Inputs!$B$25="Yes",Inputs!$B$26*(MAX(I47,J47)-MAX(I47,K47)),0)</f>
        <v>0</v>
      </c>
      <c r="O47" s="10" t="n">
        <f aca="false">SUMIF(Monthly!$B$2:$B$601,A47,Monthly!$N$2:$N$601)</f>
        <v>52272.0079347036</v>
      </c>
      <c r="P47" s="10" t="n">
        <f aca="false">SUMIF(Monthly!$B$2:$B$601,A47,Monthly!$O$2:$O$601)</f>
        <v>141694.437756917</v>
      </c>
      <c r="Q47" s="10" t="n">
        <f aca="false">AC47</f>
        <v>3037411.35435993</v>
      </c>
      <c r="R47" s="10" t="n">
        <f aca="false">INDEX(Monthly!$F$2:$F$601,A47*12)</f>
        <v>1.28693500300869E-010</v>
      </c>
      <c r="S47" s="10" t="n">
        <f aca="false">Q47*Inputs!$B$23</f>
        <v>182244.681261596</v>
      </c>
      <c r="T47" s="10" t="n">
        <f aca="false">MAX(0,Q47-S47-(Inputs!$B$7+Inputs!$B$40)-IF(A47&gt;=2,Inputs!$B$45,0))*Inputs!$B$29</f>
        <v>276400.00096475</v>
      </c>
      <c r="U47" s="10" t="n">
        <f aca="false">INDEX(Monthly!$S$2:$S$601,A47*12)-Inputs!$B$29*MAX(0,INDEX(Monthly!$S$2:$S$601,A47*12)-INDEX(Monthly!$T$2:$T$601,A47*12))</f>
        <v>2179848.31271335</v>
      </c>
      <c r="V47" s="10" t="n">
        <f aca="false">Q47-S47-R47-T47+U47</f>
        <v>4758614.98484693</v>
      </c>
      <c r="W47" s="10" t="n">
        <f aca="false">INDEX(Monthly!$Q$2:$Q$601,A47*12)-Inputs!$B$29*MAX(0,INDEX(Monthly!$Q$2:$Q$601,A47*12)-INDEX(Monthly!$R$2:$R$601,A47*12))</f>
        <v>3850801.31400854</v>
      </c>
      <c r="X47" s="10" t="n">
        <f aca="false">V47-W47</f>
        <v>907813.670838392</v>
      </c>
      <c r="Y47" s="36" t="n">
        <f aca="false">(1+Inputs!$B$22)^A47</f>
        <v>3.56191272725798</v>
      </c>
      <c r="Z47" s="10" t="n">
        <f aca="false">X47/Y47</f>
        <v>254866.904483997</v>
      </c>
      <c r="AA47" s="2" t="n">
        <f aca="false">IF(AND(X47&gt;=0,COUNTIF(X47:X$51,"&lt;0")=0),A47,"")</f>
        <v>46</v>
      </c>
      <c r="AB47" s="37" t="n">
        <f aca="false">IF(Inputs!$B$32="Revert",(1+Inputs!$B$18)*EXP(LN(1+Inputs!$B$33)*(0.5^(A47/Inputs!$B$34)-0.5^((A47-1)/Inputs!$B$34)))-1,Inputs!$B$20)</f>
        <v>0.04</v>
      </c>
      <c r="AC47" s="38" t="n">
        <f aca="false">AC46*(1+AB47)</f>
        <v>3037411.35435993</v>
      </c>
    </row>
    <row r="48" customFormat="false" ht="15" hidden="false" customHeight="false" outlineLevel="0" collapsed="false">
      <c r="A48" s="2" t="n">
        <v>47</v>
      </c>
      <c r="B48" s="2" t="str">
        <f aca="false">TEXT(2026+A48,"0")</f>
        <v>2073</v>
      </c>
      <c r="C48" s="10" t="n">
        <f aca="false">SUMIF(Monthly!$B$2:$B$601,A48,Monthly!$D$2:$D$601)</f>
        <v>0</v>
      </c>
      <c r="D48" s="10" t="n">
        <f aca="false">SUMIF(Monthly!$B$2:$B$601,A48,Monthly!$E$2:$E$601)</f>
        <v>0</v>
      </c>
      <c r="E48" s="10" t="n">
        <f aca="false">AVERAGEIF(Monthly!$B$2:$B$601,A48,Monthly!$C$2:$C$601)</f>
        <v>1.28693500300869E-010</v>
      </c>
      <c r="F48" s="10" t="n">
        <f aca="false">C48*IF(E48&lt;=Inputs!$B$46,1,Inputs!$B$46/E48)</f>
        <v>0</v>
      </c>
      <c r="G48" s="10" t="n">
        <f aca="false">Inputs!$B$12*IF(Inputs!$B$35="",AC47,MIN(AC47,Inputs!$B$7*(1+Inputs!$B$35)^(A48-1)))</f>
        <v>27336.7021892394</v>
      </c>
      <c r="H48" s="7" t="n">
        <f aca="false">Inputs!$B$55</f>
        <v>10000</v>
      </c>
      <c r="I48" s="10" t="n">
        <f aca="false">Inputs!$B$44*(1+Inputs!$B$22)^A48</f>
        <v>117905.010332603</v>
      </c>
      <c r="J48" s="10" t="n">
        <f aca="false">F48+MIN(H48,G48+Inputs!$B$27)+Inputs!$B$28</f>
        <v>10000</v>
      </c>
      <c r="K48" s="10" t="n">
        <f aca="false">MIN(H48,Inputs!$B$27)+Inputs!$B$28</f>
        <v>0</v>
      </c>
      <c r="L48" s="2" t="str">
        <f aca="false">IF(J48&gt;I48,"Yes","No")</f>
        <v>No</v>
      </c>
      <c r="M48" s="2"/>
      <c r="N48" s="10" t="n">
        <f aca="false">IF(Inputs!$B$25="Yes",Inputs!$B$26*(MAX(I48,J48)-MAX(I48,K48)),0)</f>
        <v>0</v>
      </c>
      <c r="O48" s="10" t="n">
        <f aca="false">SUMIF(Monthly!$B$2:$B$601,A48,Monthly!$N$2:$N$601)</f>
        <v>54051.0476436742</v>
      </c>
      <c r="P48" s="10" t="n">
        <f aca="false">SUMIF(Monthly!$B$2:$B$601,A48,Monthly!$O$2:$O$601)</f>
        <v>146649.377309891</v>
      </c>
      <c r="Q48" s="10" t="n">
        <f aca="false">AC48</f>
        <v>3158907.80853433</v>
      </c>
      <c r="R48" s="10" t="n">
        <f aca="false">INDEX(Monthly!$F$2:$F$601,A48*12)</f>
        <v>1.28693500300869E-010</v>
      </c>
      <c r="S48" s="10" t="n">
        <f aca="false">Q48*Inputs!$B$23</f>
        <v>189534.46851206</v>
      </c>
      <c r="T48" s="10" t="n">
        <f aca="false">MAX(0,Q48-S48-(Inputs!$B$7+Inputs!$B$40)-IF(A48&gt;=2,Inputs!$B$45,0))*Inputs!$B$29</f>
        <v>293531.00100334</v>
      </c>
      <c r="U48" s="10" t="n">
        <f aca="false">INDEX(Monthly!$S$2:$S$601,A48*12)-Inputs!$B$29*MAX(0,INDEX(Monthly!$S$2:$S$601,A48*12)-INDEX(Monthly!$T$2:$T$601,A48*12))</f>
        <v>2412900.96346708</v>
      </c>
      <c r="V48" s="10" t="n">
        <f aca="false">Q48-S48-R48-T48+U48</f>
        <v>5088743.30248601</v>
      </c>
      <c r="W48" s="10" t="n">
        <f aca="false">INDEX(Monthly!$Q$2:$Q$601,A48*12)-Inputs!$B$29*MAX(0,INDEX(Monthly!$Q$2:$Q$601,A48*12)-INDEX(Monthly!$R$2:$R$601,A48*12))</f>
        <v>4111378.57101602</v>
      </c>
      <c r="X48" s="10" t="n">
        <f aca="false">V48-W48</f>
        <v>977364.731469992</v>
      </c>
      <c r="Y48" s="36" t="n">
        <f aca="false">(1+Inputs!$B$22)^A48</f>
        <v>3.66164628362121</v>
      </c>
      <c r="Z48" s="10" t="n">
        <f aca="false">X48/Y48</f>
        <v>266919.482594977</v>
      </c>
      <c r="AA48" s="2" t="n">
        <f aca="false">IF(AND(X48&gt;=0,COUNTIF(X48:X$51,"&lt;0")=0),A48,"")</f>
        <v>47</v>
      </c>
      <c r="AB48" s="37" t="n">
        <f aca="false">IF(Inputs!$B$32="Revert",(1+Inputs!$B$18)*EXP(LN(1+Inputs!$B$33)*(0.5^(A48/Inputs!$B$34)-0.5^((A48-1)/Inputs!$B$34)))-1,Inputs!$B$20)</f>
        <v>0.04</v>
      </c>
      <c r="AC48" s="38" t="n">
        <f aca="false">AC47*(1+AB48)</f>
        <v>3158907.80853433</v>
      </c>
    </row>
    <row r="49" customFormat="false" ht="15" hidden="false" customHeight="false" outlineLevel="0" collapsed="false">
      <c r="A49" s="2" t="n">
        <v>48</v>
      </c>
      <c r="B49" s="2" t="str">
        <f aca="false">TEXT(2026+A49,"0")</f>
        <v>2074</v>
      </c>
      <c r="C49" s="10" t="n">
        <f aca="false">SUMIF(Monthly!$B$2:$B$601,A49,Monthly!$D$2:$D$601)</f>
        <v>0</v>
      </c>
      <c r="D49" s="10" t="n">
        <f aca="false">SUMIF(Monthly!$B$2:$B$601,A49,Monthly!$E$2:$E$601)</f>
        <v>0</v>
      </c>
      <c r="E49" s="10" t="n">
        <f aca="false">AVERAGEIF(Monthly!$B$2:$B$601,A49,Monthly!$C$2:$C$601)</f>
        <v>1.28693500300869E-010</v>
      </c>
      <c r="F49" s="10" t="n">
        <f aca="false">C49*IF(E49&lt;=Inputs!$B$46,1,Inputs!$B$46/E49)</f>
        <v>0</v>
      </c>
      <c r="G49" s="10" t="n">
        <f aca="false">Inputs!$B$12*IF(Inputs!$B$35="",AC48,MIN(AC48,Inputs!$B$7*(1+Inputs!$B$35)^(A49-1)))</f>
        <v>28430.170276809</v>
      </c>
      <c r="H49" s="7" t="n">
        <f aca="false">Inputs!$B$55</f>
        <v>10000</v>
      </c>
      <c r="I49" s="10" t="n">
        <f aca="false">Inputs!$B$44*(1+Inputs!$B$22)^A49</f>
        <v>121206.350621916</v>
      </c>
      <c r="J49" s="10" t="n">
        <f aca="false">F49+MIN(H49,G49+Inputs!$B$27)+Inputs!$B$28</f>
        <v>10000</v>
      </c>
      <c r="K49" s="10" t="n">
        <f aca="false">MIN(H49,Inputs!$B$27)+Inputs!$B$28</f>
        <v>0</v>
      </c>
      <c r="L49" s="2" t="str">
        <f aca="false">IF(J49&gt;I49,"Yes","No")</f>
        <v>No</v>
      </c>
      <c r="M49" s="2"/>
      <c r="N49" s="10" t="n">
        <f aca="false">IF(Inputs!$B$25="Yes",Inputs!$B$26*(MAX(I49,J49)-MAX(I49,K49)),0)</f>
        <v>0</v>
      </c>
      <c r="O49" s="10" t="n">
        <f aca="false">SUMIF(Monthly!$B$2:$B$601,A49,Monthly!$N$2:$N$601)</f>
        <v>55892.517403968</v>
      </c>
      <c r="P49" s="10" t="n">
        <f aca="false">SUMIF(Monthly!$B$2:$B$601,A49,Monthly!$O$2:$O$601)</f>
        <v>151777.617505701</v>
      </c>
      <c r="Q49" s="10" t="n">
        <f aca="false">AC49</f>
        <v>3285264.1208757</v>
      </c>
      <c r="R49" s="10" t="n">
        <f aca="false">INDEX(Monthly!$F$2:$F$601,A49*12)</f>
        <v>1.28693500300869E-010</v>
      </c>
      <c r="S49" s="10" t="n">
        <f aca="false">Q49*Inputs!$B$23</f>
        <v>197115.847252542</v>
      </c>
      <c r="T49" s="10" t="n">
        <f aca="false">MAX(0,Q49-S49-(Inputs!$B$7+Inputs!$B$40)-IF(A49&gt;=2,Inputs!$B$45,0))*Inputs!$B$29</f>
        <v>311347.241043474</v>
      </c>
      <c r="U49" s="10" t="n">
        <f aca="false">INDEX(Monthly!$S$2:$S$601,A49*12)-Inputs!$B$29*MAX(0,INDEX(Monthly!$S$2:$S$601,A49*12)-INDEX(Monthly!$T$2:$T$601,A49*12))</f>
        <v>2664419.70052514</v>
      </c>
      <c r="V49" s="10" t="n">
        <f aca="false">Q49-S49-R49-T49+U49</f>
        <v>5441220.73310483</v>
      </c>
      <c r="W49" s="10" t="n">
        <f aca="false">INDEX(Monthly!$Q$2:$Q$601,A49*12)-Inputs!$B$29*MAX(0,INDEX(Monthly!$Q$2:$Q$601,A49*12)-INDEX(Monthly!$R$2:$R$601,A49*12))</f>
        <v>4389739.117281</v>
      </c>
      <c r="X49" s="10" t="n">
        <f aca="false">V49-W49</f>
        <v>1051481.61582383</v>
      </c>
      <c r="Y49" s="36" t="n">
        <f aca="false">(1+Inputs!$B$22)^A49</f>
        <v>3.7641723795626</v>
      </c>
      <c r="Z49" s="10" t="n">
        <f aca="false">X49/Y49</f>
        <v>279339.389857063</v>
      </c>
      <c r="AA49" s="2" t="n">
        <f aca="false">IF(AND(X49&gt;=0,COUNTIF(X49:X$51,"&lt;0")=0),A49,"")</f>
        <v>48</v>
      </c>
      <c r="AB49" s="37" t="n">
        <f aca="false">IF(Inputs!$B$32="Revert",(1+Inputs!$B$18)*EXP(LN(1+Inputs!$B$33)*(0.5^(A49/Inputs!$B$34)-0.5^((A49-1)/Inputs!$B$34)))-1,Inputs!$B$20)</f>
        <v>0.04</v>
      </c>
      <c r="AC49" s="38" t="n">
        <f aca="false">AC48*(1+AB49)</f>
        <v>3285264.1208757</v>
      </c>
    </row>
    <row r="50" customFormat="false" ht="15" hidden="false" customHeight="false" outlineLevel="0" collapsed="false">
      <c r="A50" s="2" t="n">
        <v>49</v>
      </c>
      <c r="B50" s="2" t="str">
        <f aca="false">TEXT(2026+A50,"0")</f>
        <v>2075</v>
      </c>
      <c r="C50" s="10" t="n">
        <f aca="false">SUMIF(Monthly!$B$2:$B$601,A50,Monthly!$D$2:$D$601)</f>
        <v>0</v>
      </c>
      <c r="D50" s="10" t="n">
        <f aca="false">SUMIF(Monthly!$B$2:$B$601,A50,Monthly!$E$2:$E$601)</f>
        <v>0</v>
      </c>
      <c r="E50" s="10" t="n">
        <f aca="false">AVERAGEIF(Monthly!$B$2:$B$601,A50,Monthly!$C$2:$C$601)</f>
        <v>1.28693500300869E-010</v>
      </c>
      <c r="F50" s="10" t="n">
        <f aca="false">C50*IF(E50&lt;=Inputs!$B$46,1,Inputs!$B$46/E50)</f>
        <v>0</v>
      </c>
      <c r="G50" s="10" t="n">
        <f aca="false">Inputs!$B$12*IF(Inputs!$B$35="",AC49,MIN(AC49,Inputs!$B$7*(1+Inputs!$B$35)^(A50-1)))</f>
        <v>29567.3770878813</v>
      </c>
      <c r="H50" s="7" t="n">
        <f aca="false">Inputs!$B$55</f>
        <v>10000</v>
      </c>
      <c r="I50" s="10" t="n">
        <f aca="false">Inputs!$B$44*(1+Inputs!$B$22)^A50</f>
        <v>124600.128439329</v>
      </c>
      <c r="J50" s="10" t="n">
        <f aca="false">F50+MIN(H50,G50+Inputs!$B$27)+Inputs!$B$28</f>
        <v>10000</v>
      </c>
      <c r="K50" s="10" t="n">
        <f aca="false">MIN(H50,Inputs!$B$27)+Inputs!$B$28</f>
        <v>0</v>
      </c>
      <c r="L50" s="2" t="str">
        <f aca="false">IF(J50&gt;I50,"Yes","No")</f>
        <v>No</v>
      </c>
      <c r="M50" s="2"/>
      <c r="N50" s="10" t="n">
        <f aca="false">IF(Inputs!$B$25="Yes",Inputs!$B$26*(MAX(I50,J50)-MAX(I50,K50)),0)</f>
        <v>0</v>
      </c>
      <c r="O50" s="10" t="n">
        <f aca="false">SUMIF(Monthly!$B$2:$B$601,A50,Monthly!$N$2:$N$601)</f>
        <v>57798.6699346008</v>
      </c>
      <c r="P50" s="10" t="n">
        <f aca="false">SUMIF(Monthly!$B$2:$B$601,A50,Monthly!$O$2:$O$601)</f>
        <v>157085.220444083</v>
      </c>
      <c r="Q50" s="10" t="n">
        <f aca="false">AC50</f>
        <v>3416674.68571073</v>
      </c>
      <c r="R50" s="10" t="n">
        <f aca="false">INDEX(Monthly!$F$2:$F$601,A50*12)</f>
        <v>1.28693500300869E-010</v>
      </c>
      <c r="S50" s="10" t="n">
        <f aca="false">Q50*Inputs!$B$23</f>
        <v>205000.481142644</v>
      </c>
      <c r="T50" s="10" t="n">
        <f aca="false">MAX(0,Q50-S50-(Inputs!$B$7+Inputs!$B$40)-IF(A50&gt;=2,Inputs!$B$45,0))*Inputs!$B$29</f>
        <v>329876.130685213</v>
      </c>
      <c r="U50" s="10" t="n">
        <f aca="false">INDEX(Monthly!$S$2:$S$601,A50*12)-Inputs!$B$29*MAX(0,INDEX(Monthly!$S$2:$S$601,A50*12)-INDEX(Monthly!$T$2:$T$601,A50*12))</f>
        <v>2935753.62943426</v>
      </c>
      <c r="V50" s="10" t="n">
        <f aca="false">Q50-S50-R50-T50+U50</f>
        <v>5817551.70331714</v>
      </c>
      <c r="W50" s="10" t="n">
        <f aca="false">INDEX(Monthly!$Q$2:$Q$601,A50*12)-Inputs!$B$29*MAX(0,INDEX(Monthly!$Q$2:$Q$601,A50*12)-INDEX(Monthly!$R$2:$R$601,A50*12))</f>
        <v>4687096.58664264</v>
      </c>
      <c r="X50" s="10" t="n">
        <f aca="false">V50-W50</f>
        <v>1130455.1166745</v>
      </c>
      <c r="Y50" s="36" t="n">
        <f aca="false">(1+Inputs!$B$22)^A50</f>
        <v>3.86956920619035</v>
      </c>
      <c r="Z50" s="10" t="n">
        <f aca="false">X50/Y50</f>
        <v>292139.785190053</v>
      </c>
      <c r="AA50" s="2" t="n">
        <f aca="false">IF(AND(X50&gt;=0,COUNTIF(X50:X$51,"&lt;0")=0),A50,"")</f>
        <v>49</v>
      </c>
      <c r="AB50" s="37" t="n">
        <f aca="false">IF(Inputs!$B$32="Revert",(1+Inputs!$B$18)*EXP(LN(1+Inputs!$B$33)*(0.5^(A50/Inputs!$B$34)-0.5^((A50-1)/Inputs!$B$34)))-1,Inputs!$B$20)</f>
        <v>0.04</v>
      </c>
      <c r="AC50" s="38" t="n">
        <f aca="false">AC49*(1+AB50)</f>
        <v>3416674.68571073</v>
      </c>
    </row>
    <row r="51" customFormat="false" ht="15" hidden="false" customHeight="false" outlineLevel="0" collapsed="false">
      <c r="A51" s="2" t="n">
        <v>50</v>
      </c>
      <c r="B51" s="2" t="str">
        <f aca="false">TEXT(2026+A51,"0")</f>
        <v>2076</v>
      </c>
      <c r="C51" s="10" t="n">
        <f aca="false">SUMIF(Monthly!$B$2:$B$601,A51,Monthly!$D$2:$D$601)</f>
        <v>0</v>
      </c>
      <c r="D51" s="10" t="n">
        <f aca="false">SUMIF(Monthly!$B$2:$B$601,A51,Monthly!$E$2:$E$601)</f>
        <v>0</v>
      </c>
      <c r="E51" s="10" t="n">
        <f aca="false">AVERAGEIF(Monthly!$B$2:$B$601,A51,Monthly!$C$2:$C$601)</f>
        <v>1.28693500300869E-010</v>
      </c>
      <c r="F51" s="10" t="n">
        <f aca="false">C51*IF(E51&lt;=Inputs!$B$46,1,Inputs!$B$46/E51)</f>
        <v>0</v>
      </c>
      <c r="G51" s="10" t="n">
        <f aca="false">Inputs!$B$12*IF(Inputs!$B$35="",AC50,MIN(AC50,Inputs!$B$7*(1+Inputs!$B$35)^(A51-1)))</f>
        <v>30750.0721713966</v>
      </c>
      <c r="H51" s="7" t="n">
        <f aca="false">Inputs!$B$55</f>
        <v>10000</v>
      </c>
      <c r="I51" s="10" t="n">
        <f aca="false">Inputs!$B$44*(1+Inputs!$B$22)^A51</f>
        <v>128088.932035631</v>
      </c>
      <c r="J51" s="10" t="n">
        <f aca="false">F51+MIN(H51,G51+Inputs!$B$27)+Inputs!$B$28</f>
        <v>10000</v>
      </c>
      <c r="K51" s="10" t="n">
        <f aca="false">MIN(H51,Inputs!$B$27)+Inputs!$B$28</f>
        <v>0</v>
      </c>
      <c r="L51" s="2" t="str">
        <f aca="false">IF(J51&gt;I51,"Yes","No")</f>
        <v>No</v>
      </c>
      <c r="M51" s="2"/>
      <c r="N51" s="10" t="n">
        <f aca="false">IF(Inputs!$B$25="Yes",Inputs!$B$26*(MAX(I51,J51)-MAX(I51,K51)),0)</f>
        <v>0</v>
      </c>
      <c r="O51" s="10" t="n">
        <f aca="false">SUMIF(Monthly!$B$2:$B$601,A51,Monthly!$N$2:$N$601)</f>
        <v>59771.8412178242</v>
      </c>
      <c r="P51" s="10" t="n">
        <f aca="false">SUMIF(Monthly!$B$2:$B$601,A51,Monthly!$O$2:$O$601)</f>
        <v>162578.460302428</v>
      </c>
      <c r="Q51" s="10" t="n">
        <f aca="false">AC51</f>
        <v>3553341.67313916</v>
      </c>
      <c r="R51" s="10" t="n">
        <f aca="false">INDEX(Monthly!$F$2:$F$601,A51*12)</f>
        <v>1.28693500300869E-010</v>
      </c>
      <c r="S51" s="10" t="n">
        <f aca="false">Q51*Inputs!$B$23</f>
        <v>213200.50038835</v>
      </c>
      <c r="T51" s="10" t="n">
        <f aca="false">MAX(0,Q51-S51-(Inputs!$B$7+Inputs!$B$40)-IF(A51&gt;=2,Inputs!$B$45,0))*Inputs!$B$29</f>
        <v>349146.175912621</v>
      </c>
      <c r="U51" s="10" t="n">
        <f aca="false">INDEX(Monthly!$S$2:$S$601,A51*12)-Inputs!$B$29*MAX(0,INDEX(Monthly!$S$2:$S$601,A51*12)-INDEX(Monthly!$T$2:$T$601,A51*12))</f>
        <v>3228346.96253422</v>
      </c>
      <c r="V51" s="10" t="n">
        <f aca="false">Q51-S51-R51-T51+U51</f>
        <v>6219341.95937241</v>
      </c>
      <c r="W51" s="10" t="n">
        <f aca="false">INDEX(Monthly!$Q$2:$Q$601,A51*12)-Inputs!$B$29*MAX(0,INDEX(Monthly!$Q$2:$Q$601,A51*12)-INDEX(Monthly!$R$2:$R$601,A51*12))</f>
        <v>5004747.43828664</v>
      </c>
      <c r="X51" s="10" t="n">
        <f aca="false">V51-W51</f>
        <v>1214594.52108577</v>
      </c>
      <c r="Y51" s="36" t="n">
        <f aca="false">(1+Inputs!$B$22)^A51</f>
        <v>3.97791714396368</v>
      </c>
      <c r="Z51" s="10" t="n">
        <f aca="false">X51/Y51</f>
        <v>305334.293583482</v>
      </c>
      <c r="AA51" s="2" t="n">
        <f aca="false">IF(AND(X51&gt;=0,COUNTIF(X51:X$51,"&lt;0")=0),A51,"")</f>
        <v>50</v>
      </c>
      <c r="AB51" s="37" t="n">
        <f aca="false">IF(Inputs!$B$32="Revert",(1+Inputs!$B$18)*EXP(LN(1+Inputs!$B$33)*(0.5^(A51/Inputs!$B$34)-0.5^((A51-1)/Inputs!$B$34)))-1,Inputs!$B$20)</f>
        <v>0.04</v>
      </c>
      <c r="AC51" s="38" t="n">
        <f aca="false">AC50*(1+AB51)</f>
        <v>3553341.67313916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0"/>
  </cols>
  <sheetData>
    <row r="1" customFormat="false" ht="17.35" hidden="false" customHeight="false" outlineLevel="0" collapsed="false">
      <c r="A1" s="1" t="s">
        <v>190</v>
      </c>
      <c r="B1" s="2"/>
    </row>
    <row r="2" customFormat="false" ht="15" hidden="false" customHeight="false" outlineLevel="0" collapsed="false">
      <c r="A2" s="2"/>
      <c r="B2" s="2"/>
    </row>
    <row r="3" customFormat="false" ht="26.85" hidden="false" customHeight="false" outlineLevel="0" collapsed="false">
      <c r="A3" s="4" t="s">
        <v>191</v>
      </c>
      <c r="B3" s="39" t="s">
        <v>192</v>
      </c>
    </row>
    <row r="4" customFormat="false" ht="39.55" hidden="false" customHeight="false" outlineLevel="0" collapsed="false">
      <c r="A4" s="4" t="s">
        <v>193</v>
      </c>
      <c r="B4" s="39" t="s">
        <v>194</v>
      </c>
    </row>
    <row r="5" customFormat="false" ht="26.85" hidden="false" customHeight="false" outlineLevel="0" collapsed="false">
      <c r="A5" s="4" t="s">
        <v>195</v>
      </c>
      <c r="B5" s="39" t="s">
        <v>196</v>
      </c>
    </row>
    <row r="6" customFormat="false" ht="39.55" hidden="false" customHeight="false" outlineLevel="0" collapsed="false">
      <c r="A6" s="4" t="s">
        <v>197</v>
      </c>
      <c r="B6" s="39" t="s">
        <v>198</v>
      </c>
    </row>
    <row r="7" customFormat="false" ht="26.85" hidden="false" customHeight="false" outlineLevel="0" collapsed="false">
      <c r="A7" s="4" t="s">
        <v>199</v>
      </c>
      <c r="B7" s="39" t="s">
        <v>200</v>
      </c>
    </row>
    <row r="8" customFormat="false" ht="26.85" hidden="false" customHeight="false" outlineLevel="0" collapsed="false">
      <c r="A8" s="4" t="s">
        <v>33</v>
      </c>
      <c r="B8" s="39" t="s">
        <v>201</v>
      </c>
    </row>
    <row r="9" customFormat="false" ht="26.85" hidden="false" customHeight="false" outlineLevel="0" collapsed="false">
      <c r="A9" s="4" t="s">
        <v>34</v>
      </c>
      <c r="B9" s="39" t="s">
        <v>202</v>
      </c>
    </row>
    <row r="10" customFormat="false" ht="26.85" hidden="false" customHeight="false" outlineLevel="0" collapsed="false">
      <c r="A10" s="4" t="s">
        <v>159</v>
      </c>
      <c r="B10" s="39" t="s">
        <v>203</v>
      </c>
    </row>
    <row r="11" customFormat="false" ht="15" hidden="false" customHeight="false" outlineLevel="0" collapsed="false">
      <c r="A11" s="4" t="s">
        <v>204</v>
      </c>
      <c r="B11" s="39" t="s">
        <v>205</v>
      </c>
    </row>
    <row r="12" customFormat="false" ht="26.85" hidden="false" customHeight="false" outlineLevel="0" collapsed="false">
      <c r="A12" s="4" t="s">
        <v>206</v>
      </c>
      <c r="B12" s="39" t="s">
        <v>207</v>
      </c>
    </row>
    <row r="13" customFormat="false" ht="39.55" hidden="false" customHeight="false" outlineLevel="0" collapsed="false">
      <c r="A13" s="4" t="s">
        <v>96</v>
      </c>
      <c r="B13" s="39" t="s">
        <v>208</v>
      </c>
    </row>
    <row r="14" customFormat="false" ht="26.85" hidden="false" customHeight="false" outlineLevel="0" collapsed="false">
      <c r="A14" s="4" t="s">
        <v>27</v>
      </c>
      <c r="B14" s="39" t="s">
        <v>209</v>
      </c>
    </row>
    <row r="15" customFormat="false" ht="26.85" hidden="false" customHeight="false" outlineLevel="0" collapsed="false">
      <c r="A15" s="4" t="s">
        <v>210</v>
      </c>
      <c r="B15" s="39" t="s">
        <v>211</v>
      </c>
    </row>
    <row r="16" customFormat="false" ht="26.85" hidden="false" customHeight="false" outlineLevel="0" collapsed="false">
      <c r="A16" s="4" t="s">
        <v>174</v>
      </c>
      <c r="B16" s="39" t="s">
        <v>212</v>
      </c>
    </row>
    <row r="17" customFormat="false" ht="26.85" hidden="false" customHeight="false" outlineLevel="0" collapsed="false">
      <c r="A17" s="4" t="s">
        <v>213</v>
      </c>
      <c r="B17" s="39" t="s">
        <v>214</v>
      </c>
    </row>
    <row r="18" customFormat="false" ht="15" hidden="false" customHeight="false" outlineLevel="0" collapsed="false">
      <c r="A18" s="4" t="s">
        <v>215</v>
      </c>
      <c r="B18" s="39" t="s">
        <v>216</v>
      </c>
    </row>
    <row r="19" customFormat="false" ht="26.85" hidden="false" customHeight="false" outlineLevel="0" collapsed="false">
      <c r="A19" s="4" t="s">
        <v>217</v>
      </c>
      <c r="B19" s="39" t="s">
        <v>218</v>
      </c>
    </row>
    <row r="20" customFormat="false" ht="15" hidden="false" customHeight="false" outlineLevel="0" collapsed="false">
      <c r="A20" s="4"/>
      <c r="B20" s="39"/>
    </row>
    <row r="21" customFormat="false" ht="39.55" hidden="false" customHeight="false" outlineLevel="0" collapsed="false">
      <c r="A21" s="4" t="s">
        <v>219</v>
      </c>
      <c r="B21" s="39" t="s">
        <v>220</v>
      </c>
    </row>
    <row r="22" customFormat="false" ht="26.85" hidden="false" customHeight="false" outlineLevel="0" collapsed="false">
      <c r="A22" s="4" t="s">
        <v>221</v>
      </c>
      <c r="B22" s="39" t="s">
        <v>222</v>
      </c>
    </row>
    <row r="23" customFormat="false" ht="15" hidden="false" customHeight="false" outlineLevel="0" collapsed="false">
      <c r="A23" s="4" t="s">
        <v>223</v>
      </c>
      <c r="B23" s="39" t="s">
        <v>224</v>
      </c>
    </row>
    <row r="24" customFormat="false" ht="15" hidden="false" customHeight="false" outlineLevel="0" collapsed="false">
      <c r="A24" s="4" t="s">
        <v>223</v>
      </c>
      <c r="B24" s="39" t="s">
        <v>225</v>
      </c>
    </row>
    <row r="25" customFormat="false" ht="26.85" hidden="false" customHeight="false" outlineLevel="0" collapsed="false">
      <c r="A25" s="4" t="s">
        <v>223</v>
      </c>
      <c r="B25" s="39" t="s">
        <v>226</v>
      </c>
    </row>
    <row r="26" customFormat="false" ht="26.85" hidden="false" customHeight="false" outlineLevel="0" collapsed="false">
      <c r="A26" s="4" t="s">
        <v>223</v>
      </c>
      <c r="B26" s="39" t="s">
        <v>227</v>
      </c>
    </row>
    <row r="27" customFormat="false" ht="15" hidden="false" customHeight="false" outlineLevel="0" collapsed="false">
      <c r="A27" s="4" t="s">
        <v>223</v>
      </c>
      <c r="B27" s="39" t="s">
        <v>228</v>
      </c>
    </row>
    <row r="28" customFormat="false" ht="15" hidden="false" customHeight="false" outlineLevel="0" collapsed="false">
      <c r="A28" s="4" t="s">
        <v>223</v>
      </c>
      <c r="B28" s="39" t="s">
        <v>229</v>
      </c>
    </row>
    <row r="29" customFormat="false" ht="26.85" hidden="false" customHeight="false" outlineLevel="0" collapsed="false">
      <c r="A29" s="4" t="s">
        <v>230</v>
      </c>
      <c r="B29" s="39" t="s">
        <v>231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8"/>
    <col collapsed="false" customWidth="true" hidden="false" outlineLevel="0" max="3" min="3" style="0" width="14"/>
    <col collapsed="false" customWidth="true" hidden="false" outlineLevel="0" max="4" min="4" style="0" width="12"/>
    <col collapsed="false" customWidth="true" hidden="false" outlineLevel="0" max="5" min="5" style="0" width="14"/>
    <col collapsed="false" customWidth="true" hidden="false" outlineLevel="0" max="6" min="6" style="0" width="18"/>
    <col collapsed="false" customWidth="true" hidden="false" outlineLevel="0" max="8" min="7" style="0" width="20"/>
    <col collapsed="false" customWidth="true" hidden="false" outlineLevel="0" max="9" min="9" style="0" width="120"/>
  </cols>
  <sheetData>
    <row r="1" customFormat="false" ht="17.35" hidden="false" customHeight="false" outlineLevel="0" collapsed="false">
      <c r="A1" s="1" t="s">
        <v>232</v>
      </c>
    </row>
    <row r="3" customFormat="false" ht="15" hidden="false" customHeight="false" outlineLevel="0" collapsed="false">
      <c r="A3" s="4" t="s">
        <v>233</v>
      </c>
    </row>
    <row r="4" customFormat="false" ht="15" hidden="false" customHeight="false" outlineLevel="0" collapsed="false">
      <c r="A4" s="40" t="s">
        <v>53</v>
      </c>
      <c r="B4" s="40" t="s">
        <v>234</v>
      </c>
      <c r="C4" s="40" t="s">
        <v>235</v>
      </c>
      <c r="D4" s="40" t="s">
        <v>33</v>
      </c>
      <c r="E4" s="40" t="s">
        <v>236</v>
      </c>
      <c r="F4" s="40" t="s">
        <v>237</v>
      </c>
      <c r="G4" s="40" t="s">
        <v>238</v>
      </c>
      <c r="H4" s="40" t="s">
        <v>239</v>
      </c>
      <c r="I4" s="40" t="s">
        <v>240</v>
      </c>
    </row>
    <row r="5" customFormat="false" ht="15" hidden="false" customHeight="false" outlineLevel="0" collapsed="false">
      <c r="A5" s="16" t="s">
        <v>54</v>
      </c>
    </row>
    <row r="6" customFormat="false" ht="15" hidden="false" customHeight="false" outlineLevel="0" collapsed="false">
      <c r="A6" s="41" t="s">
        <v>241</v>
      </c>
      <c r="B6" s="24" t="n">
        <v>387000</v>
      </c>
      <c r="C6" s="24" t="n">
        <v>2182</v>
      </c>
      <c r="D6" s="23" t="n">
        <v>0.00767</v>
      </c>
      <c r="F6" s="19" t="n">
        <v>0.2898</v>
      </c>
      <c r="G6" s="23" t="n">
        <v>0.0322</v>
      </c>
      <c r="H6" s="23" t="n">
        <v>0.0424</v>
      </c>
      <c r="I6" s="3" t="s">
        <v>242</v>
      </c>
    </row>
    <row r="7" customFormat="false" ht="15" hidden="false" customHeight="false" outlineLevel="0" collapsed="false">
      <c r="A7" s="41" t="s">
        <v>243</v>
      </c>
      <c r="B7" s="24" t="n">
        <v>844600</v>
      </c>
      <c r="C7" s="24" t="n">
        <v>3526</v>
      </c>
      <c r="D7" s="23" t="n">
        <v>0.00948</v>
      </c>
      <c r="F7" s="19" t="n">
        <v>0.3108</v>
      </c>
      <c r="G7" s="23" t="n">
        <v>0.0325</v>
      </c>
      <c r="H7" s="23" t="n">
        <v>0.0441</v>
      </c>
      <c r="I7" s="3" t="s">
        <v>244</v>
      </c>
    </row>
    <row r="8" customFormat="false" ht="15" hidden="false" customHeight="false" outlineLevel="0" collapsed="false">
      <c r="A8" s="41" t="s">
        <v>245</v>
      </c>
      <c r="B8" s="24" t="n">
        <v>438600</v>
      </c>
      <c r="C8" s="24" t="n">
        <v>2294</v>
      </c>
      <c r="D8" s="23" t="n">
        <v>0.01793</v>
      </c>
      <c r="F8" s="19" t="n">
        <v>0.0292</v>
      </c>
      <c r="G8" s="23" t="n">
        <v>0.0329</v>
      </c>
      <c r="H8" s="23" t="n">
        <v>0.0346</v>
      </c>
      <c r="I8" s="3" t="s">
        <v>246</v>
      </c>
    </row>
    <row r="9" customFormat="false" ht="15" hidden="false" customHeight="false" outlineLevel="0" collapsed="false">
      <c r="A9" s="41" t="s">
        <v>247</v>
      </c>
      <c r="B9" s="24" t="n">
        <v>380100</v>
      </c>
      <c r="C9" s="24" t="n">
        <v>2431</v>
      </c>
      <c r="D9" s="23" t="n">
        <v>0.01245</v>
      </c>
      <c r="E9" s="19" t="n">
        <v>0.1</v>
      </c>
      <c r="F9" s="19" t="n">
        <v>0.3461</v>
      </c>
      <c r="G9" s="23" t="n">
        <v>0.0343</v>
      </c>
      <c r="H9" s="23" t="n">
        <v>0.0437</v>
      </c>
      <c r="I9" s="3" t="s">
        <v>248</v>
      </c>
    </row>
    <row r="10" customFormat="false" ht="15" hidden="false" customHeight="false" outlineLevel="0" collapsed="false">
      <c r="A10" s="41" t="s">
        <v>249</v>
      </c>
      <c r="B10" s="24" t="n">
        <v>668300</v>
      </c>
      <c r="C10" s="24" t="n">
        <v>2734</v>
      </c>
      <c r="D10" s="23" t="n">
        <v>0.00519</v>
      </c>
      <c r="F10" s="19" t="n">
        <v>0.4022</v>
      </c>
      <c r="G10" s="23" t="n">
        <v>0.0391</v>
      </c>
      <c r="H10" s="23" t="n">
        <v>0.0565</v>
      </c>
      <c r="I10" s="3" t="s">
        <v>250</v>
      </c>
    </row>
    <row r="11" customFormat="false" ht="15" hidden="false" customHeight="false" outlineLevel="0" collapsed="false">
      <c r="A11" s="41" t="s">
        <v>251</v>
      </c>
      <c r="B11" s="24" t="n">
        <v>311800</v>
      </c>
      <c r="C11" s="24" t="n">
        <v>1724</v>
      </c>
      <c r="D11" s="23" t="n">
        <v>0.01129</v>
      </c>
      <c r="E11" s="19" t="n">
        <v>0.028</v>
      </c>
      <c r="F11" s="19" t="n">
        <v>0.1363</v>
      </c>
      <c r="G11" s="23" t="n">
        <v>0.0278</v>
      </c>
      <c r="H11" s="23" t="n">
        <v>0.0359</v>
      </c>
      <c r="I11" s="3" t="s">
        <v>252</v>
      </c>
    </row>
    <row r="12" customFormat="false" ht="15" hidden="false" customHeight="false" outlineLevel="0" collapsed="false">
      <c r="A12" s="41" t="s">
        <v>253</v>
      </c>
      <c r="B12" s="24" t="n">
        <v>1190000</v>
      </c>
      <c r="C12" s="24" t="n">
        <v>3674</v>
      </c>
      <c r="D12" s="23" t="n">
        <v>0.0032</v>
      </c>
      <c r="F12" s="19" t="n">
        <v>0.2674</v>
      </c>
      <c r="G12" s="23" t="n">
        <v>0.0293</v>
      </c>
      <c r="H12" s="23" t="n">
        <v>0.0379</v>
      </c>
      <c r="I12" s="3" t="s">
        <v>254</v>
      </c>
    </row>
    <row r="13" customFormat="false" ht="15" hidden="false" customHeight="false" outlineLevel="0" collapsed="false">
      <c r="A13" s="41" t="s">
        <v>255</v>
      </c>
      <c r="B13" s="24" t="n">
        <v>345200</v>
      </c>
      <c r="C13" s="24" t="n">
        <v>2116</v>
      </c>
      <c r="D13" s="23" t="n">
        <v>0.01245</v>
      </c>
      <c r="E13" s="19" t="n">
        <v>0.1</v>
      </c>
      <c r="F13" s="19" t="n">
        <v>0.3415</v>
      </c>
      <c r="G13" s="23" t="n">
        <v>0.0339</v>
      </c>
      <c r="H13" s="23" t="n">
        <v>0.0426</v>
      </c>
      <c r="I13" s="3" t="s">
        <v>248</v>
      </c>
    </row>
    <row r="14" customFormat="false" ht="15" hidden="false" customHeight="false" outlineLevel="0" collapsed="false">
      <c r="A14" s="41" t="s">
        <v>256</v>
      </c>
      <c r="B14" s="24" t="n">
        <v>879900</v>
      </c>
      <c r="C14" s="24" t="n">
        <v>3298</v>
      </c>
      <c r="D14" s="23" t="n">
        <v>0.0115</v>
      </c>
      <c r="E14" s="19" t="n">
        <v>0.02</v>
      </c>
      <c r="F14" s="19" t="n">
        <v>0.3512</v>
      </c>
      <c r="G14" s="23" t="n">
        <v>0.0342</v>
      </c>
      <c r="H14" s="23" t="n">
        <v>0.043</v>
      </c>
      <c r="I14" s="3" t="s">
        <v>257</v>
      </c>
    </row>
    <row r="15" customFormat="false" ht="15" hidden="false" customHeight="false" outlineLevel="0" collapsed="false">
      <c r="A15" s="41" t="s">
        <v>258</v>
      </c>
      <c r="B15" s="24" t="n">
        <v>659000</v>
      </c>
      <c r="C15" s="24" t="n">
        <v>3127</v>
      </c>
      <c r="D15" s="23" t="n">
        <v>0.0076</v>
      </c>
      <c r="E15" s="19" t="n">
        <v>0.028</v>
      </c>
      <c r="F15" s="19" t="n">
        <v>0.5507</v>
      </c>
      <c r="G15" s="23" t="n">
        <v>0.0409</v>
      </c>
      <c r="H15" s="23" t="n">
        <v>0.061</v>
      </c>
      <c r="I15" s="3" t="s">
        <v>259</v>
      </c>
    </row>
    <row r="16" customFormat="false" ht="15" hidden="false" customHeight="false" outlineLevel="0" collapsed="false">
      <c r="A16" s="41" t="s">
        <v>260</v>
      </c>
      <c r="B16" s="24" t="n">
        <v>414300</v>
      </c>
      <c r="C16" s="24" t="n">
        <v>2262</v>
      </c>
      <c r="D16" s="23" t="n">
        <v>0.00987</v>
      </c>
      <c r="F16" s="19" t="n">
        <v>0.1864</v>
      </c>
      <c r="G16" s="23" t="n">
        <v>0.0296</v>
      </c>
      <c r="H16" s="23" t="n">
        <v>0.0417</v>
      </c>
      <c r="I16" s="3" t="s">
        <v>261</v>
      </c>
    </row>
    <row r="17" customFormat="false" ht="15" hidden="false" customHeight="false" outlineLevel="0" collapsed="false">
      <c r="A17" s="41" t="s">
        <v>262</v>
      </c>
      <c r="B17" s="24" t="n">
        <v>802400</v>
      </c>
      <c r="C17" s="24" t="n">
        <v>3644</v>
      </c>
      <c r="D17" s="23" t="n">
        <v>0.01227</v>
      </c>
      <c r="F17" s="19" t="n">
        <v>0.2595</v>
      </c>
      <c r="G17" s="23" t="n">
        <v>0.0341</v>
      </c>
      <c r="H17" s="23" t="n">
        <v>0.0411</v>
      </c>
      <c r="I17" s="3" t="s">
        <v>263</v>
      </c>
    </row>
    <row r="18" customFormat="false" ht="15" hidden="false" customHeight="false" outlineLevel="0" collapsed="false">
      <c r="A18" s="41" t="s">
        <v>264</v>
      </c>
      <c r="B18" s="24" t="n">
        <v>419800</v>
      </c>
      <c r="C18" s="24" t="n">
        <v>2170</v>
      </c>
      <c r="D18" s="23" t="n">
        <v>0.01137</v>
      </c>
      <c r="F18" s="19" t="n">
        <v>0.3458</v>
      </c>
      <c r="G18" s="23" t="n">
        <v>0.029</v>
      </c>
      <c r="H18" s="23" t="n">
        <v>0.0401</v>
      </c>
      <c r="I18" s="3" t="s">
        <v>265</v>
      </c>
    </row>
    <row r="19" customFormat="false" ht="15" hidden="false" customHeight="false" outlineLevel="0" collapsed="false">
      <c r="A19" s="41" t="s">
        <v>266</v>
      </c>
      <c r="B19" s="24" t="n">
        <v>1075000</v>
      </c>
      <c r="C19" s="24" t="n">
        <v>3998</v>
      </c>
      <c r="D19" s="23" t="n">
        <v>0.0115</v>
      </c>
      <c r="E19" s="19" t="n">
        <v>0.02</v>
      </c>
      <c r="F19" s="19" t="n">
        <v>0.2936</v>
      </c>
      <c r="G19" s="23" t="n">
        <v>0.0374</v>
      </c>
      <c r="H19" s="23" t="n">
        <v>0.0474</v>
      </c>
      <c r="I19" s="3" t="s">
        <v>257</v>
      </c>
    </row>
    <row r="20" customFormat="false" ht="15" hidden="false" customHeight="false" outlineLevel="0" collapsed="false">
      <c r="A20" s="41" t="s">
        <v>267</v>
      </c>
      <c r="B20" s="24" t="n">
        <v>1500000</v>
      </c>
      <c r="C20" s="24" t="n">
        <v>4604</v>
      </c>
      <c r="D20" s="23" t="n">
        <v>0.0115</v>
      </c>
      <c r="E20" s="19" t="n">
        <v>0.02</v>
      </c>
      <c r="F20" s="19" t="n">
        <v>0.2261</v>
      </c>
      <c r="G20" s="23" t="n">
        <v>0.036</v>
      </c>
      <c r="H20" s="23" t="n">
        <v>0.0438</v>
      </c>
      <c r="I20" s="3" t="s">
        <v>257</v>
      </c>
    </row>
    <row r="21" customFormat="false" ht="15" hidden="false" customHeight="false" outlineLevel="0" collapsed="false">
      <c r="A21" s="41" t="s">
        <v>268</v>
      </c>
      <c r="B21" s="24" t="n">
        <v>314100</v>
      </c>
      <c r="C21" s="24" t="n">
        <v>1568</v>
      </c>
      <c r="D21" s="23" t="n">
        <v>0.00849</v>
      </c>
      <c r="F21" s="19" t="n">
        <v>0.1983</v>
      </c>
      <c r="G21" s="23" t="n">
        <v>0.0261</v>
      </c>
      <c r="H21" s="23" t="n">
        <v>0.036</v>
      </c>
      <c r="I21" s="3" t="s">
        <v>269</v>
      </c>
    </row>
    <row r="22" customFormat="false" ht="15" hidden="false" customHeight="false" outlineLevel="0" collapsed="false">
      <c r="A22" s="41" t="s">
        <v>270</v>
      </c>
      <c r="B22" s="24" t="n">
        <v>415000</v>
      </c>
      <c r="C22" s="24" t="n">
        <v>2527</v>
      </c>
      <c r="D22" s="23" t="n">
        <v>0.0076</v>
      </c>
      <c r="E22" s="19" t="n">
        <v>0.028</v>
      </c>
      <c r="F22" s="19" t="n">
        <v>0.4243</v>
      </c>
      <c r="G22" s="23" t="n">
        <v>0.039</v>
      </c>
      <c r="H22" s="23" t="n">
        <v>0.0536</v>
      </c>
      <c r="I22" s="3" t="s">
        <v>259</v>
      </c>
    </row>
    <row r="23" customFormat="false" ht="15" hidden="false" customHeight="false" outlineLevel="0" collapsed="false">
      <c r="A23" s="41" t="s">
        <v>271</v>
      </c>
      <c r="B23" s="24" t="n">
        <v>688200</v>
      </c>
      <c r="C23" s="24" t="n">
        <v>2835</v>
      </c>
      <c r="D23" s="23" t="n">
        <v>0.0112</v>
      </c>
      <c r="F23" s="19" t="n">
        <v>0.2191</v>
      </c>
      <c r="G23" s="23" t="n">
        <v>0.0344</v>
      </c>
      <c r="H23" s="23" t="n">
        <v>0.0504</v>
      </c>
      <c r="I23" s="3" t="s">
        <v>272</v>
      </c>
    </row>
    <row r="31" customFormat="false" ht="15" hidden="false" customHeight="false" outlineLevel="0" collapsed="false">
      <c r="A31" s="4" t="s">
        <v>273</v>
      </c>
    </row>
    <row r="32" customFormat="false" ht="15" hidden="false" customHeight="false" outlineLevel="0" collapsed="false">
      <c r="A32" s="40" t="s">
        <v>274</v>
      </c>
      <c r="B32" s="40" t="s">
        <v>275</v>
      </c>
      <c r="C32" s="40" t="s">
        <v>276</v>
      </c>
      <c r="D32" s="40" t="s">
        <v>240</v>
      </c>
    </row>
    <row r="33" customFormat="false" ht="15" hidden="false" customHeight="false" outlineLevel="0" collapsed="false">
      <c r="A33" s="41" t="s">
        <v>54</v>
      </c>
      <c r="D33" s="3" t="s">
        <v>277</v>
      </c>
    </row>
    <row r="34" customFormat="false" ht="15" hidden="false" customHeight="false" outlineLevel="0" collapsed="false">
      <c r="A34" s="41" t="s">
        <v>278</v>
      </c>
      <c r="B34" s="41" t="s">
        <v>119</v>
      </c>
      <c r="D34" s="3" t="s">
        <v>279</v>
      </c>
    </row>
    <row r="35" customFormat="false" ht="15" hidden="false" customHeight="false" outlineLevel="0" collapsed="false">
      <c r="A35" s="41" t="s">
        <v>280</v>
      </c>
      <c r="B35" s="41" t="s">
        <v>119</v>
      </c>
      <c r="D35" s="3" t="s">
        <v>281</v>
      </c>
    </row>
    <row r="36" customFormat="false" ht="15" hidden="false" customHeight="false" outlineLevel="0" collapsed="false">
      <c r="A36" s="41" t="s">
        <v>282</v>
      </c>
      <c r="B36" s="41" t="s">
        <v>283</v>
      </c>
      <c r="C36" s="20" t="n">
        <v>24</v>
      </c>
      <c r="D36" s="3" t="s">
        <v>284</v>
      </c>
    </row>
    <row r="37" customFormat="false" ht="15" hidden="false" customHeight="false" outlineLevel="0" collapsed="false">
      <c r="A37" s="41" t="s">
        <v>285</v>
      </c>
      <c r="B37" s="41" t="s">
        <v>283</v>
      </c>
      <c r="C37" s="20" t="n">
        <v>11</v>
      </c>
      <c r="D37" s="3" t="s">
        <v>286</v>
      </c>
    </row>
    <row r="38" customFormat="false" ht="15" hidden="false" customHeight="false" outlineLevel="0" collapsed="false">
      <c r="A38" s="41" t="s">
        <v>287</v>
      </c>
      <c r="B38" s="41" t="s">
        <v>283</v>
      </c>
      <c r="C38" s="20" t="n">
        <v>2</v>
      </c>
      <c r="D38" s="3" t="s">
        <v>288</v>
      </c>
    </row>
    <row r="41" customFormat="false" ht="15" hidden="false" customHeight="false" outlineLevel="0" collapsed="false">
      <c r="A41" s="4" t="s">
        <v>58</v>
      </c>
    </row>
    <row r="42" customFormat="false" ht="15" hidden="false" customHeight="false" outlineLevel="0" collapsed="false">
      <c r="A42" s="40" t="s">
        <v>289</v>
      </c>
      <c r="B42" s="40" t="s">
        <v>290</v>
      </c>
      <c r="C42" s="40" t="s">
        <v>240</v>
      </c>
    </row>
    <row r="43" customFormat="false" ht="15" hidden="false" customHeight="false" outlineLevel="0" collapsed="false">
      <c r="A43" s="41" t="s">
        <v>54</v>
      </c>
      <c r="C43" s="3" t="s">
        <v>291</v>
      </c>
    </row>
    <row r="44" customFormat="false" ht="15" hidden="false" customHeight="false" outlineLevel="0" collapsed="false">
      <c r="A44" s="41" t="s">
        <v>292</v>
      </c>
      <c r="B44" s="19" t="n">
        <v>0.05</v>
      </c>
      <c r="C44" s="3" t="s">
        <v>293</v>
      </c>
    </row>
    <row r="45" customFormat="false" ht="15" hidden="false" customHeight="false" outlineLevel="0" collapsed="false">
      <c r="A45" s="41" t="s">
        <v>294</v>
      </c>
      <c r="B45" s="19" t="n">
        <v>0.07</v>
      </c>
      <c r="C45" s="3" t="s">
        <v>295</v>
      </c>
    </row>
    <row r="46" customFormat="false" ht="15" hidden="false" customHeight="false" outlineLevel="0" collapsed="false">
      <c r="A46" s="41" t="s">
        <v>296</v>
      </c>
      <c r="B46" s="19" t="n">
        <v>0.1</v>
      </c>
      <c r="C46" s="3" t="s">
        <v>297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2026-10-02T20:25:57Z</dcterms:created>
  <dc:creator>openpyxl</dc:creator>
  <dc:description/>
  <dc:language>en-US</dc:language>
  <cp:lastModifiedBy/>
  <dcterms:modified xsi:type="dcterms:W3CDTF">2026-10-02T20:25:57Z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